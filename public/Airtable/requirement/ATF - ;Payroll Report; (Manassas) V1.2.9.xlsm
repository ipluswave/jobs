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6.xml" ContentType="application/vnd.openxmlformats-officedocument.spreadsheetml.comments+xml"/>
  <Override PartName="/xl/drawings/drawing8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omments7.xml" ContentType="application/vnd.openxmlformats-officedocument.spreadsheetml.comments+xml"/>
  <Override PartName="/xl/drawings/drawing9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8.xml" ContentType="application/vnd.openxmlformats-officedocument.spreadsheetml.comments+xml"/>
  <Override PartName="/xl/drawings/drawing10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9.xml" ContentType="application/vnd.openxmlformats-officedocument.spreadsheetml.comments+xml"/>
  <Override PartName="/xl/drawings/drawing11.xml" ContentType="application/vnd.openxmlformats-officedocument.drawing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omments10.xml" ContentType="application/vnd.openxmlformats-officedocument.spreadsheetml.comments+xml"/>
  <Override PartName="/xl/drawings/drawing12.xml" ContentType="application/vnd.openxmlformats-officedocument.drawing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omments11.xml" ContentType="application/vnd.openxmlformats-officedocument.spreadsheetml.comments+xml"/>
  <Override PartName="/xl/drawings/drawing13.xml" ContentType="application/vnd.openxmlformats-officedocument.drawing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comments12.xml" ContentType="application/vnd.openxmlformats-officedocument.spreadsheetml.comments+xml"/>
  <Override PartName="/xl/drawings/drawing14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comments1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y-01\Dropbox\ANYTIME FITNESS - Reporting\"/>
    </mc:Choice>
  </mc:AlternateContent>
  <bookViews>
    <workbookView xWindow="0" yWindow="0" windowWidth="20490" windowHeight="7530" firstSheet="2" activeTab="6"/>
  </bookViews>
  <sheets>
    <sheet name="Master_Sheet" sheetId="14" state="veryHidden" r:id="rId1"/>
    <sheet name="List" sheetId="18" state="veryHidden" r:id="rId2"/>
    <sheet name="Login" sheetId="19" r:id="rId3"/>
    <sheet name="Summary" sheetId="13" r:id="rId4"/>
    <sheet name="Working" sheetId="16" state="veryHidden" r:id="rId5"/>
    <sheet name="Jan.17" sheetId="1" r:id="rId6"/>
    <sheet name="Feb.17" sheetId="2" r:id="rId7"/>
    <sheet name="Mar.17" sheetId="3" r:id="rId8"/>
    <sheet name="Apr.17" sheetId="4" r:id="rId9"/>
    <sheet name="May.17" sheetId="5" r:id="rId10"/>
    <sheet name="Jun.17" sheetId="6" r:id="rId11"/>
    <sheet name="Jul.17" sheetId="7" r:id="rId12"/>
    <sheet name="Aug.17" sheetId="8" r:id="rId13"/>
    <sheet name="Sep.17" sheetId="9" r:id="rId14"/>
    <sheet name="Oct.17" sheetId="10" r:id="rId15"/>
    <sheet name="Nov.17" sheetId="11" r:id="rId16"/>
    <sheet name="Dec.17" sheetId="12" r:id="rId17"/>
  </sheets>
  <definedNames>
    <definedName name="_xlnm._FilterDatabase" localSheetId="3" hidden="1">Summary!$A$1:$AJ$65</definedName>
    <definedName name="Edit_Employee_Name">List!$D$2</definedName>
    <definedName name="NR_Admin_Password">Master_Sheet!$E$2</definedName>
    <definedName name="NR_Apr_2017_Archive_Status">List!$H$5</definedName>
    <definedName name="NR_Aug_2017_Archive_Status">List!$H$9</definedName>
    <definedName name="NR_Dec_2017_Archive_Status">List!$H$13</definedName>
    <definedName name="NR_Edit_Apr_Period_1">List!$E$8</definedName>
    <definedName name="NR_Edit_Apr_Period_2">List!$E$9</definedName>
    <definedName name="NR_Edit_Aug_Period_1">List!$E$16</definedName>
    <definedName name="NR_Edit_Aug_Period_2">List!$E$17</definedName>
    <definedName name="NR_Edit_Dec_Period_1">List!$E$24</definedName>
    <definedName name="NR_Edit_Dec_Period_2">List!$E$25</definedName>
    <definedName name="NR_Edit_Feb_Period_1">List!$E$4</definedName>
    <definedName name="NR_Edit_Feb_Period_2">List!$E$5</definedName>
    <definedName name="NR_Edit_Jan_Period_1">List!$E$2</definedName>
    <definedName name="NR_Edit_Jan_Period_2">List!$E$3</definedName>
    <definedName name="NR_Edit_Jul_Period_1">List!$E$14</definedName>
    <definedName name="NR_Edit_Jul_Period_2">List!$E$15</definedName>
    <definedName name="NR_Edit_Jun_Period_1">List!$E$12</definedName>
    <definedName name="NR_Edit_Jun_Period_2">List!$E$13</definedName>
    <definedName name="NR_Edit_Mar_Period_1">List!$E$6</definedName>
    <definedName name="NR_Edit_Mar_Period_2">List!$E$7</definedName>
    <definedName name="NR_Edit_May_Period_1">List!$E$10</definedName>
    <definedName name="NR_Edit_May_Period_2">List!$E$11</definedName>
    <definedName name="NR_Edit_Nov_Period_1">List!$E$22</definedName>
    <definedName name="NR_Edit_Nov_Period_2">List!$E$23</definedName>
    <definedName name="NR_Edit_Oct_Period_1">List!$E$20</definedName>
    <definedName name="NR_Edit_Oct_Period_2">List!$E$21</definedName>
    <definedName name="NR_Edit_Sep_Period_1">List!$E$18</definedName>
    <definedName name="NR_Edit_Sep_Period_2">List!$E$19</definedName>
    <definedName name="NR_edit10">Summary!$AI$10</definedName>
    <definedName name="NR_edit11">Summary!$AI$11</definedName>
    <definedName name="NR_edit12">Summary!$AI$12</definedName>
    <definedName name="NR_edit13">Summary!$AI$13</definedName>
    <definedName name="NR_edit14">Summary!$AI$14</definedName>
    <definedName name="NR_edit15">Summary!$AI$15</definedName>
    <definedName name="NR_edit16">Summary!$AI$16</definedName>
    <definedName name="NR_edit17">Summary!$AI$17</definedName>
    <definedName name="NR_edit18">Summary!$AI$18</definedName>
    <definedName name="NR_edit19">Summary!$AI$19</definedName>
    <definedName name="NR_edit20">Summary!$AI$20</definedName>
    <definedName name="NR_edit21">Summary!$AI$21</definedName>
    <definedName name="NR_edit22">Summary!$AI$22</definedName>
    <definedName name="NR_edit23">Summary!$AI$23</definedName>
    <definedName name="NR_edit24">Summary!$AI$24</definedName>
    <definedName name="NR_edit25">Summary!$AI$25</definedName>
    <definedName name="NR_edit26">Summary!$AI$26</definedName>
    <definedName name="NR_edit27">Summary!$AI$27</definedName>
    <definedName name="NR_edit28">Summary!$AI$28</definedName>
    <definedName name="NR_edit29">Summary!$AI$29</definedName>
    <definedName name="NR_edit30">Summary!$AI$30</definedName>
    <definedName name="NR_edit31">Summary!$AI$31</definedName>
    <definedName name="NR_edit32">Summary!$AI$32</definedName>
    <definedName name="NR_edit33">Summary!$AI$33</definedName>
    <definedName name="NR_edit34">Summary!$AI$34</definedName>
    <definedName name="NR_edit35">Summary!$AI$35</definedName>
    <definedName name="NR_edit36">Summary!$AI$36</definedName>
    <definedName name="NR_edit37">Summary!$AI$37</definedName>
    <definedName name="NR_edit38">Summary!$AI$38</definedName>
    <definedName name="NR_edit39">Summary!$AI$39</definedName>
    <definedName name="NR_edit4">Summary!$AI$4</definedName>
    <definedName name="NR_edit40">Summary!$AI$40</definedName>
    <definedName name="NR_edit41">Summary!$AI$41</definedName>
    <definedName name="NR_edit42">Summary!$AI$42</definedName>
    <definedName name="NR_edit43">Summary!$AI$43</definedName>
    <definedName name="NR_edit44">Summary!$AI$44</definedName>
    <definedName name="NR_edit45">Summary!$AI$45</definedName>
    <definedName name="NR_edit46">Summary!$AI$46</definedName>
    <definedName name="NR_edit47">Summary!$AI$47</definedName>
    <definedName name="NR_edit48">Summary!$AI$48</definedName>
    <definedName name="NR_edit49">Summary!$AI$49</definedName>
    <definedName name="NR_edit5">Summary!$AI$5</definedName>
    <definedName name="NR_edit50">Summary!$AI$50</definedName>
    <definedName name="NR_edit51">Summary!$AI$51</definedName>
    <definedName name="NR_edit52">Summary!$AI$52</definedName>
    <definedName name="NR_edit53">Summary!$AI$53</definedName>
    <definedName name="NR_edit54">Summary!$AI$54</definedName>
    <definedName name="NR_edit55">Summary!$AI$55</definedName>
    <definedName name="NR_edit56">Summary!$AI$56</definedName>
    <definedName name="NR_edit57">Summary!$AI$57</definedName>
    <definedName name="NR_edit58">Summary!$AI$58</definedName>
    <definedName name="NR_edit59">Summary!$AI$59</definedName>
    <definedName name="NR_edit6">Summary!$AI$6</definedName>
    <definedName name="NR_edit60">Summary!$AI$60</definedName>
    <definedName name="NR_edit61">Summary!$AI$61</definedName>
    <definedName name="NR_edit62">Summary!$AI$62</definedName>
    <definedName name="NR_edit63">Summary!$AI$63</definedName>
    <definedName name="NR_edit7">Summary!$AI$7</definedName>
    <definedName name="NR_edit8">Summary!$AI$8</definedName>
    <definedName name="NR_edit9">Summary!$AI$9</definedName>
    <definedName name="NR_Feb_2017_Archive_Status">List!$H$3</definedName>
    <definedName name="NR_Jan_2017_Archive_Status">List!$H$2</definedName>
    <definedName name="NR_Jan_Archive_Period_1">Jan.17!#REF!</definedName>
    <definedName name="NR_Jan_P1_BONUS_YTD">Jan.17!$AC$12</definedName>
    <definedName name="NR_Jan_P1_CLASSES_YTD">Jan.17!$Z$12</definedName>
    <definedName name="NR_Jan_P1_EFT_COMMISSION_YTD">Jan.17!$AA$12</definedName>
    <definedName name="NR_Jan_P1_PERSONAL_TRAINING_YTD">Jan.17!$Y$12</definedName>
    <definedName name="NR_Jan_P1_PT_COMMISSION_YTD">Jan.17!$AB$12</definedName>
    <definedName name="NR_Jan_P1_REGULAR_WAGES_YTD">Jan.17!$X$12</definedName>
    <definedName name="NR_Jan_P1_TOTAL_PAY_YTD">Jan.17!$AD$12</definedName>
    <definedName name="NR_Jan_P2_BONUS_YTD">Jan.17!$AC$23</definedName>
    <definedName name="NR_Jan_P2_CLASSES_YTD">Jan.17!$Z$23</definedName>
    <definedName name="NR_Jan_P2_EFT_COMMISSION_YTD">Jan.17!$AA$23</definedName>
    <definedName name="NR_Jan_P2_PERSONAL_TRAINING_YTD">Jan.17!$Y$23</definedName>
    <definedName name="NR_Jan_P2_PT_COMMISSION_YTD">Jan.17!$AB$23</definedName>
    <definedName name="NR_Jan_P2_REGULAR_WAGES_YTD">Jan.17!$X$23</definedName>
    <definedName name="NR_Jan_P2_TOTAL_PAY_YTD">Jan.17!$AD$23</definedName>
    <definedName name="NR_Jul_2017_Archive_Status">List!$H$8</definedName>
    <definedName name="NR_Jun_2017_Archive_Status">List!$H$7</definedName>
    <definedName name="NR_Login_Type">List!$A$31</definedName>
    <definedName name="NR_Mar_2017_Archive_Status">List!$H$4</definedName>
    <definedName name="NR_Master_Password">Master_Sheet!$A$2</definedName>
    <definedName name="NR_May_2017_Archive_Status">List!$H$6</definedName>
    <definedName name="NR_Nov_2017_Archive_Status">List!$H$12</definedName>
    <definedName name="NR_Oct_2017_Archive_Status">List!$H$11</definedName>
    <definedName name="NR_Sep_2017_Archive_Status">List!$H$10</definedName>
    <definedName name="NR_Summary_E_Column_Formula">List!$M$2</definedName>
    <definedName name="NR_Summary_F_Column_Formula">List!$M$3</definedName>
    <definedName name="NR_Summary_G_Column_Formula">List!$M$4</definedName>
    <definedName name="NR_Summary_H_Column_Formula">List!$M$5</definedName>
    <definedName name="NR_Summary_I_Column_Formula">List!$M$6</definedName>
    <definedName name="NR_Summary_J_Column_Formula">List!$M$7</definedName>
    <definedName name="NR_Summary_K_Column_Formula">List!$M$8</definedName>
    <definedName name="NR_Summary_L_Column_Formula">List!$M$9</definedName>
    <definedName name="NR_Summary_M_Column_Formula">List!$M$10</definedName>
    <definedName name="NR_Summary_N_Column_Formula">List!$M$11</definedName>
    <definedName name="NR_Summary_O_Column_Formula">List!$M$12</definedName>
    <definedName name="NR_Summary_R_Column_Formula">List!$M$15</definedName>
    <definedName name="NR_Summary_S_Column_Formula">List!$M$16</definedName>
    <definedName name="NR_Summary_T_Column_Formula">List!$M$17</definedName>
    <definedName name="NR_Summary_U_Column_Formula">List!$M$18</definedName>
    <definedName name="NR_User_Password">Master_Sheet!$C$2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4" i="13" l="1"/>
  <c r="N64" i="13"/>
  <c r="M64" i="13"/>
  <c r="L64" i="13"/>
  <c r="K64" i="13"/>
  <c r="J64" i="13"/>
  <c r="I64" i="13"/>
  <c r="H64" i="13"/>
  <c r="G64" i="13"/>
  <c r="F64" i="13"/>
  <c r="E64" i="13"/>
  <c r="P64" i="13" l="1"/>
  <c r="AJ4" i="13"/>
  <c r="AJ5" i="13"/>
  <c r="AJ6" i="13"/>
  <c r="AJ7" i="13"/>
  <c r="AJ8" i="13"/>
  <c r="AJ9" i="13"/>
  <c r="AJ10" i="13"/>
  <c r="AJ11" i="13"/>
  <c r="AJ12" i="13"/>
  <c r="AJ13" i="13"/>
  <c r="AJ14" i="13"/>
  <c r="AJ15" i="13"/>
  <c r="AJ16" i="13"/>
  <c r="AJ17" i="13"/>
  <c r="AJ18" i="13"/>
  <c r="AJ19" i="13"/>
  <c r="AJ20" i="13"/>
  <c r="AJ21" i="13"/>
  <c r="AJ22" i="13"/>
  <c r="AJ23" i="13"/>
  <c r="AJ24" i="13"/>
  <c r="AJ25" i="13"/>
  <c r="AJ26" i="13"/>
  <c r="AJ27" i="13"/>
  <c r="AJ28" i="13"/>
  <c r="AJ29" i="13"/>
  <c r="AJ30" i="13"/>
  <c r="AJ31" i="13"/>
  <c r="AJ32" i="13"/>
  <c r="AJ33" i="13"/>
  <c r="AJ34" i="13"/>
  <c r="AJ35" i="13"/>
  <c r="AJ36" i="13"/>
  <c r="AJ37" i="13"/>
  <c r="AJ38" i="13"/>
  <c r="AJ39" i="13"/>
  <c r="AJ40" i="13"/>
  <c r="AJ41" i="13"/>
  <c r="AJ42" i="13"/>
  <c r="AJ43" i="13"/>
  <c r="AJ44" i="13"/>
  <c r="AJ45" i="13"/>
  <c r="AJ46" i="13"/>
  <c r="AJ47" i="13"/>
  <c r="AJ48" i="13"/>
  <c r="AJ49" i="13"/>
  <c r="AJ50" i="13"/>
  <c r="AJ51" i="13"/>
  <c r="AJ52" i="13"/>
  <c r="AJ53" i="13"/>
  <c r="AJ54" i="13"/>
  <c r="AJ55" i="13"/>
  <c r="AJ56" i="13"/>
  <c r="AJ57" i="13"/>
  <c r="AJ58" i="13"/>
  <c r="AJ59" i="13"/>
  <c r="AJ60" i="13"/>
  <c r="AJ61" i="13"/>
  <c r="AJ62" i="13"/>
  <c r="AJ63" i="13"/>
  <c r="G21" i="1"/>
  <c r="P21" i="1" s="1"/>
  <c r="AD21" i="1" s="1"/>
  <c r="W21" i="1"/>
  <c r="Y21" i="1"/>
  <c r="Z21" i="1"/>
  <c r="AA21" i="1"/>
  <c r="AB21" i="1"/>
  <c r="AC21" i="1"/>
  <c r="X21" i="1" l="1"/>
  <c r="U4" i="13"/>
  <c r="U5" i="13"/>
  <c r="U6" i="13"/>
  <c r="U7" i="13"/>
  <c r="U9" i="13"/>
  <c r="U8" i="13"/>
  <c r="U10" i="13"/>
  <c r="U11" i="13"/>
  <c r="U12" i="13"/>
  <c r="U13" i="13"/>
  <c r="U14" i="13"/>
  <c r="U15" i="13"/>
  <c r="U16" i="13"/>
  <c r="U17" i="13"/>
  <c r="U18" i="13"/>
  <c r="U19" i="13"/>
  <c r="U20" i="13"/>
  <c r="U21" i="13"/>
  <c r="U22" i="13"/>
  <c r="U23" i="13"/>
  <c r="U24" i="13"/>
  <c r="U25" i="13"/>
  <c r="U26" i="13"/>
  <c r="U27" i="13"/>
  <c r="U28" i="13"/>
  <c r="U29" i="13"/>
  <c r="U30" i="13"/>
  <c r="U31" i="13"/>
  <c r="U32" i="13"/>
  <c r="U33" i="13"/>
  <c r="U34" i="13"/>
  <c r="U35" i="13"/>
  <c r="U36" i="13"/>
  <c r="U37" i="13"/>
  <c r="U38" i="13"/>
  <c r="U39" i="13"/>
  <c r="U40" i="13"/>
  <c r="U41" i="13"/>
  <c r="U42" i="13"/>
  <c r="U43" i="13"/>
  <c r="U44" i="13"/>
  <c r="U45" i="13"/>
  <c r="U46" i="13"/>
  <c r="U47" i="13"/>
  <c r="U48" i="13"/>
  <c r="U49" i="13"/>
  <c r="U50" i="13"/>
  <c r="U51" i="13"/>
  <c r="U52" i="13"/>
  <c r="U53" i="13"/>
  <c r="U54" i="13"/>
  <c r="U55" i="13"/>
  <c r="U56" i="13"/>
  <c r="U57" i="13"/>
  <c r="U58" i="13"/>
  <c r="U59" i="13"/>
  <c r="U60" i="13"/>
  <c r="U61" i="13"/>
  <c r="U62" i="13"/>
  <c r="U63" i="13"/>
  <c r="U64" i="13"/>
  <c r="T4" i="13"/>
  <c r="T5" i="13"/>
  <c r="T6" i="13"/>
  <c r="T7" i="13"/>
  <c r="T9" i="13"/>
  <c r="T8" i="13"/>
  <c r="T10" i="13"/>
  <c r="T11" i="13"/>
  <c r="T12" i="13"/>
  <c r="T13" i="13"/>
  <c r="T14" i="13"/>
  <c r="T15" i="13"/>
  <c r="T16" i="13"/>
  <c r="T17" i="13"/>
  <c r="T18" i="13"/>
  <c r="T19" i="13"/>
  <c r="T20" i="13"/>
  <c r="T21" i="13"/>
  <c r="T22" i="13"/>
  <c r="T23" i="13"/>
  <c r="T24" i="13"/>
  <c r="T25" i="13"/>
  <c r="T26" i="13"/>
  <c r="T27" i="13"/>
  <c r="T28" i="13"/>
  <c r="T29" i="13"/>
  <c r="T30" i="13"/>
  <c r="T31" i="13"/>
  <c r="T32" i="13"/>
  <c r="T33" i="13"/>
  <c r="T34" i="13"/>
  <c r="T35" i="13"/>
  <c r="T36" i="13"/>
  <c r="T37" i="13"/>
  <c r="T38" i="13"/>
  <c r="T39" i="13"/>
  <c r="T40" i="13"/>
  <c r="T41" i="13"/>
  <c r="T42" i="13"/>
  <c r="T43" i="13"/>
  <c r="T44" i="13"/>
  <c r="T45" i="13"/>
  <c r="T46" i="13"/>
  <c r="T47" i="13"/>
  <c r="T48" i="13"/>
  <c r="T49" i="13"/>
  <c r="T50" i="13"/>
  <c r="T51" i="13"/>
  <c r="T52" i="13"/>
  <c r="T53" i="13"/>
  <c r="T54" i="13"/>
  <c r="T55" i="13"/>
  <c r="T56" i="13"/>
  <c r="T57" i="13"/>
  <c r="T58" i="13"/>
  <c r="T59" i="13"/>
  <c r="T60" i="13"/>
  <c r="T61" i="13"/>
  <c r="T62" i="13"/>
  <c r="T63" i="13"/>
  <c r="T64" i="13"/>
  <c r="S4" i="13"/>
  <c r="S5" i="13"/>
  <c r="S6" i="13"/>
  <c r="S7" i="13"/>
  <c r="S9" i="13"/>
  <c r="S8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S42" i="13"/>
  <c r="S43" i="13"/>
  <c r="S44" i="13"/>
  <c r="S45" i="13"/>
  <c r="S46" i="13"/>
  <c r="S47" i="13"/>
  <c r="S48" i="13"/>
  <c r="S49" i="13"/>
  <c r="S50" i="13"/>
  <c r="S51" i="13"/>
  <c r="S52" i="13"/>
  <c r="S53" i="13"/>
  <c r="S54" i="13"/>
  <c r="S55" i="13"/>
  <c r="S56" i="13"/>
  <c r="S57" i="13"/>
  <c r="S58" i="13"/>
  <c r="S59" i="13"/>
  <c r="S60" i="13"/>
  <c r="S61" i="13"/>
  <c r="S62" i="13"/>
  <c r="S63" i="13"/>
  <c r="S64" i="13"/>
  <c r="R4" i="13"/>
  <c r="R5" i="13"/>
  <c r="R6" i="13"/>
  <c r="R7" i="13"/>
  <c r="R9" i="13"/>
  <c r="R8" i="13"/>
  <c r="R10" i="13"/>
  <c r="R11" i="13"/>
  <c r="R12" i="13"/>
  <c r="R13" i="13"/>
  <c r="R14" i="13"/>
  <c r="R15" i="13"/>
  <c r="R16" i="13"/>
  <c r="R17" i="13"/>
  <c r="R18" i="13"/>
  <c r="R19" i="13"/>
  <c r="R20" i="13"/>
  <c r="R21" i="13"/>
  <c r="R22" i="13"/>
  <c r="R23" i="13"/>
  <c r="R24" i="13"/>
  <c r="R25" i="13"/>
  <c r="R26" i="13"/>
  <c r="R27" i="13"/>
  <c r="R28" i="13"/>
  <c r="R29" i="13"/>
  <c r="R30" i="13"/>
  <c r="R31" i="13"/>
  <c r="R32" i="13"/>
  <c r="R33" i="13"/>
  <c r="R34" i="13"/>
  <c r="R35" i="13"/>
  <c r="R36" i="13"/>
  <c r="R37" i="13"/>
  <c r="R38" i="13"/>
  <c r="R39" i="13"/>
  <c r="R40" i="13"/>
  <c r="R41" i="13"/>
  <c r="R42" i="13"/>
  <c r="R43" i="13"/>
  <c r="R44" i="13"/>
  <c r="R45" i="13"/>
  <c r="R46" i="13"/>
  <c r="R47" i="13"/>
  <c r="R48" i="13"/>
  <c r="R49" i="13"/>
  <c r="R50" i="13"/>
  <c r="R51" i="13"/>
  <c r="R52" i="13"/>
  <c r="R53" i="13"/>
  <c r="R54" i="13"/>
  <c r="R55" i="13"/>
  <c r="R56" i="13"/>
  <c r="R57" i="13"/>
  <c r="R58" i="13"/>
  <c r="R59" i="13"/>
  <c r="R60" i="13"/>
  <c r="R61" i="13"/>
  <c r="R62" i="13"/>
  <c r="R63" i="13"/>
  <c r="R64" i="13"/>
  <c r="O4" i="13"/>
  <c r="AC4" i="13" s="1"/>
  <c r="O5" i="13"/>
  <c r="AC5" i="13" s="1"/>
  <c r="O6" i="13"/>
  <c r="AC6" i="13" s="1"/>
  <c r="O7" i="13"/>
  <c r="AC7" i="13" s="1"/>
  <c r="O9" i="13"/>
  <c r="AC9" i="13" s="1"/>
  <c r="O8" i="13"/>
  <c r="AC8" i="13" s="1"/>
  <c r="O10" i="13"/>
  <c r="AC10" i="13" s="1"/>
  <c r="O11" i="13"/>
  <c r="AC11" i="13" s="1"/>
  <c r="O12" i="13"/>
  <c r="AC12" i="13" s="1"/>
  <c r="O13" i="13"/>
  <c r="AC13" i="13" s="1"/>
  <c r="O14" i="13"/>
  <c r="AC14" i="13" s="1"/>
  <c r="O15" i="13"/>
  <c r="AC15" i="13" s="1"/>
  <c r="O16" i="13"/>
  <c r="AC16" i="13" s="1"/>
  <c r="O17" i="13"/>
  <c r="AC17" i="13" s="1"/>
  <c r="O18" i="13"/>
  <c r="AC18" i="13" s="1"/>
  <c r="O19" i="13"/>
  <c r="AC19" i="13" s="1"/>
  <c r="O20" i="13"/>
  <c r="AC20" i="13" s="1"/>
  <c r="O21" i="13"/>
  <c r="AC21" i="13" s="1"/>
  <c r="O22" i="13"/>
  <c r="AC22" i="13" s="1"/>
  <c r="O23" i="13"/>
  <c r="AC23" i="13" s="1"/>
  <c r="O24" i="13"/>
  <c r="AC24" i="13" s="1"/>
  <c r="O25" i="13"/>
  <c r="AC25" i="13" s="1"/>
  <c r="O26" i="13"/>
  <c r="AC26" i="13" s="1"/>
  <c r="O27" i="13"/>
  <c r="AC27" i="13" s="1"/>
  <c r="O28" i="13"/>
  <c r="AC28" i="13" s="1"/>
  <c r="O29" i="13"/>
  <c r="AC29" i="13" s="1"/>
  <c r="O30" i="13"/>
  <c r="AC30" i="13" s="1"/>
  <c r="O31" i="13"/>
  <c r="AC31" i="13" s="1"/>
  <c r="O32" i="13"/>
  <c r="AC32" i="13" s="1"/>
  <c r="O33" i="13"/>
  <c r="AC33" i="13" s="1"/>
  <c r="O34" i="13"/>
  <c r="AC34" i="13" s="1"/>
  <c r="O35" i="13"/>
  <c r="AC35" i="13" s="1"/>
  <c r="O36" i="13"/>
  <c r="AC36" i="13" s="1"/>
  <c r="O37" i="13"/>
  <c r="AC37" i="13" s="1"/>
  <c r="O38" i="13"/>
  <c r="AC38" i="13" s="1"/>
  <c r="O39" i="13"/>
  <c r="AC39" i="13" s="1"/>
  <c r="O40" i="13"/>
  <c r="AC40" i="13" s="1"/>
  <c r="O41" i="13"/>
  <c r="AC41" i="13" s="1"/>
  <c r="O42" i="13"/>
  <c r="AC42" i="13" s="1"/>
  <c r="O43" i="13"/>
  <c r="AC43" i="13" s="1"/>
  <c r="O44" i="13"/>
  <c r="AC44" i="13" s="1"/>
  <c r="O45" i="13"/>
  <c r="AC45" i="13" s="1"/>
  <c r="O46" i="13"/>
  <c r="AC46" i="13" s="1"/>
  <c r="O47" i="13"/>
  <c r="AC47" i="13" s="1"/>
  <c r="O48" i="13"/>
  <c r="AC48" i="13" s="1"/>
  <c r="O49" i="13"/>
  <c r="AC49" i="13" s="1"/>
  <c r="O50" i="13"/>
  <c r="AC50" i="13" s="1"/>
  <c r="O51" i="13"/>
  <c r="AC51" i="13" s="1"/>
  <c r="O52" i="13"/>
  <c r="AC52" i="13" s="1"/>
  <c r="O53" i="13"/>
  <c r="AC53" i="13" s="1"/>
  <c r="O54" i="13"/>
  <c r="AC54" i="13" s="1"/>
  <c r="O55" i="13"/>
  <c r="AC55" i="13" s="1"/>
  <c r="O56" i="13"/>
  <c r="AC56" i="13" s="1"/>
  <c r="O57" i="13"/>
  <c r="AC57" i="13" s="1"/>
  <c r="O58" i="13"/>
  <c r="AC58" i="13" s="1"/>
  <c r="O59" i="13"/>
  <c r="AC59" i="13" s="1"/>
  <c r="O60" i="13"/>
  <c r="AC60" i="13" s="1"/>
  <c r="O61" i="13"/>
  <c r="AC61" i="13" s="1"/>
  <c r="O62" i="13"/>
  <c r="AC62" i="13" s="1"/>
  <c r="O63" i="13"/>
  <c r="AC63" i="13" s="1"/>
  <c r="AC64" i="13"/>
  <c r="N4" i="13"/>
  <c r="Z4" i="13" s="1"/>
  <c r="N5" i="13"/>
  <c r="Z5" i="13" s="1"/>
  <c r="N6" i="13"/>
  <c r="Z6" i="13" s="1"/>
  <c r="N7" i="13"/>
  <c r="Z7" i="13" s="1"/>
  <c r="N9" i="13"/>
  <c r="Z9" i="13" s="1"/>
  <c r="N8" i="13"/>
  <c r="Z8" i="13" s="1"/>
  <c r="N10" i="13"/>
  <c r="Z10" i="13" s="1"/>
  <c r="N11" i="13"/>
  <c r="Z11" i="13" s="1"/>
  <c r="N12" i="13"/>
  <c r="Z12" i="13" s="1"/>
  <c r="N13" i="13"/>
  <c r="Z13" i="13" s="1"/>
  <c r="N14" i="13"/>
  <c r="Z14" i="13" s="1"/>
  <c r="N15" i="13"/>
  <c r="Z15" i="13" s="1"/>
  <c r="N16" i="13"/>
  <c r="Z16" i="13" s="1"/>
  <c r="N17" i="13"/>
  <c r="Z17" i="13" s="1"/>
  <c r="N18" i="13"/>
  <c r="Z18" i="13" s="1"/>
  <c r="N19" i="13"/>
  <c r="Z19" i="13" s="1"/>
  <c r="N20" i="13"/>
  <c r="Z20" i="13" s="1"/>
  <c r="N21" i="13"/>
  <c r="Z21" i="13" s="1"/>
  <c r="N22" i="13"/>
  <c r="Z22" i="13" s="1"/>
  <c r="N23" i="13"/>
  <c r="Z23" i="13" s="1"/>
  <c r="N24" i="13"/>
  <c r="Z24" i="13" s="1"/>
  <c r="N25" i="13"/>
  <c r="Z25" i="13" s="1"/>
  <c r="N26" i="13"/>
  <c r="Z26" i="13" s="1"/>
  <c r="N27" i="13"/>
  <c r="Z27" i="13" s="1"/>
  <c r="N28" i="13"/>
  <c r="Z28" i="13" s="1"/>
  <c r="N29" i="13"/>
  <c r="Z29" i="13" s="1"/>
  <c r="N30" i="13"/>
  <c r="Z30" i="13" s="1"/>
  <c r="N31" i="13"/>
  <c r="Z31" i="13" s="1"/>
  <c r="N32" i="13"/>
  <c r="Z32" i="13" s="1"/>
  <c r="N33" i="13"/>
  <c r="Z33" i="13" s="1"/>
  <c r="N34" i="13"/>
  <c r="Z34" i="13" s="1"/>
  <c r="N35" i="13"/>
  <c r="Z35" i="13" s="1"/>
  <c r="N36" i="13"/>
  <c r="Z36" i="13" s="1"/>
  <c r="N37" i="13"/>
  <c r="Z37" i="13" s="1"/>
  <c r="N38" i="13"/>
  <c r="Z38" i="13" s="1"/>
  <c r="N39" i="13"/>
  <c r="Z39" i="13" s="1"/>
  <c r="N40" i="13"/>
  <c r="Z40" i="13" s="1"/>
  <c r="N41" i="13"/>
  <c r="Z41" i="13" s="1"/>
  <c r="N42" i="13"/>
  <c r="Z42" i="13" s="1"/>
  <c r="N43" i="13"/>
  <c r="Z43" i="13" s="1"/>
  <c r="N44" i="13"/>
  <c r="Z44" i="13" s="1"/>
  <c r="N45" i="13"/>
  <c r="Z45" i="13" s="1"/>
  <c r="N46" i="13"/>
  <c r="Z46" i="13" s="1"/>
  <c r="N47" i="13"/>
  <c r="Z47" i="13" s="1"/>
  <c r="N48" i="13"/>
  <c r="Z48" i="13" s="1"/>
  <c r="N49" i="13"/>
  <c r="Z49" i="13" s="1"/>
  <c r="N50" i="13"/>
  <c r="Z50" i="13" s="1"/>
  <c r="N51" i="13"/>
  <c r="Z51" i="13" s="1"/>
  <c r="N52" i="13"/>
  <c r="Z52" i="13" s="1"/>
  <c r="N53" i="13"/>
  <c r="Z53" i="13" s="1"/>
  <c r="N54" i="13"/>
  <c r="Z54" i="13" s="1"/>
  <c r="N55" i="13"/>
  <c r="Z55" i="13" s="1"/>
  <c r="N56" i="13"/>
  <c r="Z56" i="13" s="1"/>
  <c r="N57" i="13"/>
  <c r="Z57" i="13" s="1"/>
  <c r="N58" i="13"/>
  <c r="Z58" i="13" s="1"/>
  <c r="N59" i="13"/>
  <c r="Z59" i="13" s="1"/>
  <c r="N60" i="13"/>
  <c r="Z60" i="13" s="1"/>
  <c r="N61" i="13"/>
  <c r="Z61" i="13" s="1"/>
  <c r="N62" i="13"/>
  <c r="Z62" i="13" s="1"/>
  <c r="N63" i="13"/>
  <c r="Z63" i="13" s="1"/>
  <c r="Z64" i="13"/>
  <c r="M4" i="13"/>
  <c r="AA4" i="13" s="1"/>
  <c r="M5" i="13"/>
  <c r="AA5" i="13" s="1"/>
  <c r="M6" i="13"/>
  <c r="AA6" i="13" s="1"/>
  <c r="M7" i="13"/>
  <c r="AA7" i="13" s="1"/>
  <c r="M9" i="13"/>
  <c r="AA9" i="13" s="1"/>
  <c r="M8" i="13"/>
  <c r="AA8" i="13" s="1"/>
  <c r="M10" i="13"/>
  <c r="AA10" i="13" s="1"/>
  <c r="M11" i="13"/>
  <c r="AA11" i="13" s="1"/>
  <c r="M12" i="13"/>
  <c r="AA12" i="13" s="1"/>
  <c r="M13" i="13"/>
  <c r="AA13" i="13" s="1"/>
  <c r="M14" i="13"/>
  <c r="AA14" i="13" s="1"/>
  <c r="M15" i="13"/>
  <c r="AA15" i="13" s="1"/>
  <c r="M16" i="13"/>
  <c r="AA16" i="13" s="1"/>
  <c r="M17" i="13"/>
  <c r="AA17" i="13" s="1"/>
  <c r="M18" i="13"/>
  <c r="AA18" i="13" s="1"/>
  <c r="M19" i="13"/>
  <c r="AA19" i="13" s="1"/>
  <c r="M20" i="13"/>
  <c r="AA20" i="13" s="1"/>
  <c r="M21" i="13"/>
  <c r="AA21" i="13" s="1"/>
  <c r="M22" i="13"/>
  <c r="AA22" i="13" s="1"/>
  <c r="M23" i="13"/>
  <c r="AA23" i="13" s="1"/>
  <c r="M24" i="13"/>
  <c r="AA24" i="13" s="1"/>
  <c r="M25" i="13"/>
  <c r="AA25" i="13" s="1"/>
  <c r="M26" i="13"/>
  <c r="AA26" i="13" s="1"/>
  <c r="M27" i="13"/>
  <c r="AA27" i="13" s="1"/>
  <c r="M28" i="13"/>
  <c r="AA28" i="13" s="1"/>
  <c r="M29" i="13"/>
  <c r="AA29" i="13" s="1"/>
  <c r="M30" i="13"/>
  <c r="AA30" i="13" s="1"/>
  <c r="M31" i="13"/>
  <c r="AA31" i="13" s="1"/>
  <c r="M32" i="13"/>
  <c r="AA32" i="13" s="1"/>
  <c r="M33" i="13"/>
  <c r="AA33" i="13" s="1"/>
  <c r="M34" i="13"/>
  <c r="AA34" i="13" s="1"/>
  <c r="M35" i="13"/>
  <c r="AA35" i="13" s="1"/>
  <c r="M36" i="13"/>
  <c r="AA36" i="13" s="1"/>
  <c r="M37" i="13"/>
  <c r="AA37" i="13" s="1"/>
  <c r="M38" i="13"/>
  <c r="AA38" i="13" s="1"/>
  <c r="M39" i="13"/>
  <c r="AA39" i="13" s="1"/>
  <c r="M40" i="13"/>
  <c r="AA40" i="13" s="1"/>
  <c r="M41" i="13"/>
  <c r="AA41" i="13" s="1"/>
  <c r="M42" i="13"/>
  <c r="AA42" i="13" s="1"/>
  <c r="M43" i="13"/>
  <c r="AA43" i="13" s="1"/>
  <c r="M44" i="13"/>
  <c r="AA44" i="13" s="1"/>
  <c r="M45" i="13"/>
  <c r="AA45" i="13" s="1"/>
  <c r="M46" i="13"/>
  <c r="AA46" i="13" s="1"/>
  <c r="M47" i="13"/>
  <c r="AA47" i="13" s="1"/>
  <c r="M48" i="13"/>
  <c r="AA48" i="13" s="1"/>
  <c r="M49" i="13"/>
  <c r="AA49" i="13" s="1"/>
  <c r="M50" i="13"/>
  <c r="AA50" i="13" s="1"/>
  <c r="M51" i="13"/>
  <c r="AA51" i="13" s="1"/>
  <c r="M52" i="13"/>
  <c r="AA52" i="13" s="1"/>
  <c r="M53" i="13"/>
  <c r="AA53" i="13" s="1"/>
  <c r="M54" i="13"/>
  <c r="AA54" i="13" s="1"/>
  <c r="M55" i="13"/>
  <c r="AA55" i="13" s="1"/>
  <c r="M56" i="13"/>
  <c r="AA56" i="13" s="1"/>
  <c r="M57" i="13"/>
  <c r="AA57" i="13" s="1"/>
  <c r="M58" i="13"/>
  <c r="AA58" i="13" s="1"/>
  <c r="M59" i="13"/>
  <c r="AA59" i="13" s="1"/>
  <c r="M60" i="13"/>
  <c r="AA60" i="13" s="1"/>
  <c r="M61" i="13"/>
  <c r="AA61" i="13" s="1"/>
  <c r="M62" i="13"/>
  <c r="AA62" i="13" s="1"/>
  <c r="M63" i="13"/>
  <c r="AA63" i="13" s="1"/>
  <c r="AA64" i="13"/>
  <c r="L4" i="13"/>
  <c r="AB4" i="13" s="1"/>
  <c r="L5" i="13"/>
  <c r="AB5" i="13" s="1"/>
  <c r="L6" i="13"/>
  <c r="AB6" i="13" s="1"/>
  <c r="L7" i="13"/>
  <c r="AB7" i="13" s="1"/>
  <c r="L9" i="13"/>
  <c r="AB9" i="13" s="1"/>
  <c r="L8" i="13"/>
  <c r="AB8" i="13" s="1"/>
  <c r="L10" i="13"/>
  <c r="AB10" i="13" s="1"/>
  <c r="L11" i="13"/>
  <c r="AB11" i="13" s="1"/>
  <c r="L12" i="13"/>
  <c r="AB12" i="13" s="1"/>
  <c r="L13" i="13"/>
  <c r="AB13" i="13" s="1"/>
  <c r="L14" i="13"/>
  <c r="AB14" i="13" s="1"/>
  <c r="L15" i="13"/>
  <c r="AB15" i="13" s="1"/>
  <c r="L16" i="13"/>
  <c r="AB16" i="13" s="1"/>
  <c r="L17" i="13"/>
  <c r="AB17" i="13" s="1"/>
  <c r="L18" i="13"/>
  <c r="AB18" i="13" s="1"/>
  <c r="L19" i="13"/>
  <c r="AB19" i="13" s="1"/>
  <c r="L20" i="13"/>
  <c r="AB20" i="13" s="1"/>
  <c r="L21" i="13"/>
  <c r="AB21" i="13" s="1"/>
  <c r="L22" i="13"/>
  <c r="AB22" i="13" s="1"/>
  <c r="L23" i="13"/>
  <c r="AB23" i="13" s="1"/>
  <c r="L24" i="13"/>
  <c r="AB24" i="13" s="1"/>
  <c r="L25" i="13"/>
  <c r="AB25" i="13" s="1"/>
  <c r="L26" i="13"/>
  <c r="AB26" i="13" s="1"/>
  <c r="L27" i="13"/>
  <c r="AB27" i="13" s="1"/>
  <c r="L28" i="13"/>
  <c r="AB28" i="13" s="1"/>
  <c r="L29" i="13"/>
  <c r="AB29" i="13" s="1"/>
  <c r="L30" i="13"/>
  <c r="AB30" i="13" s="1"/>
  <c r="L31" i="13"/>
  <c r="AB31" i="13" s="1"/>
  <c r="L32" i="13"/>
  <c r="AB32" i="13" s="1"/>
  <c r="L33" i="13"/>
  <c r="AB33" i="13" s="1"/>
  <c r="L34" i="13"/>
  <c r="AB34" i="13" s="1"/>
  <c r="L35" i="13"/>
  <c r="AB35" i="13" s="1"/>
  <c r="L36" i="13"/>
  <c r="AB36" i="13" s="1"/>
  <c r="L37" i="13"/>
  <c r="AB37" i="13" s="1"/>
  <c r="L38" i="13"/>
  <c r="AB38" i="13" s="1"/>
  <c r="L39" i="13"/>
  <c r="AB39" i="13" s="1"/>
  <c r="L40" i="13"/>
  <c r="AB40" i="13" s="1"/>
  <c r="L41" i="13"/>
  <c r="AB41" i="13" s="1"/>
  <c r="L42" i="13"/>
  <c r="AB42" i="13" s="1"/>
  <c r="L43" i="13"/>
  <c r="AB43" i="13" s="1"/>
  <c r="L44" i="13"/>
  <c r="AB44" i="13" s="1"/>
  <c r="L45" i="13"/>
  <c r="AB45" i="13" s="1"/>
  <c r="L46" i="13"/>
  <c r="AB46" i="13" s="1"/>
  <c r="L47" i="13"/>
  <c r="AB47" i="13" s="1"/>
  <c r="L48" i="13"/>
  <c r="AB48" i="13" s="1"/>
  <c r="L49" i="13"/>
  <c r="AB49" i="13" s="1"/>
  <c r="L50" i="13"/>
  <c r="AB50" i="13" s="1"/>
  <c r="L51" i="13"/>
  <c r="AB51" i="13" s="1"/>
  <c r="L52" i="13"/>
  <c r="AB52" i="13" s="1"/>
  <c r="L53" i="13"/>
  <c r="AB53" i="13" s="1"/>
  <c r="L54" i="13"/>
  <c r="AB54" i="13" s="1"/>
  <c r="L55" i="13"/>
  <c r="AB55" i="13" s="1"/>
  <c r="L56" i="13"/>
  <c r="AB56" i="13" s="1"/>
  <c r="L57" i="13"/>
  <c r="AB57" i="13" s="1"/>
  <c r="L58" i="13"/>
  <c r="AB58" i="13" s="1"/>
  <c r="L59" i="13"/>
  <c r="AB59" i="13" s="1"/>
  <c r="L60" i="13"/>
  <c r="AB60" i="13" s="1"/>
  <c r="L61" i="13"/>
  <c r="AB61" i="13" s="1"/>
  <c r="L62" i="13"/>
  <c r="AB62" i="13" s="1"/>
  <c r="L63" i="13"/>
  <c r="AB63" i="13" s="1"/>
  <c r="AB64" i="13"/>
  <c r="K4" i="13"/>
  <c r="K5" i="13"/>
  <c r="K6" i="13"/>
  <c r="K7" i="13"/>
  <c r="K9" i="13"/>
  <c r="K8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K52" i="13"/>
  <c r="K53" i="13"/>
  <c r="K54" i="13"/>
  <c r="K55" i="13"/>
  <c r="K56" i="13"/>
  <c r="K57" i="13"/>
  <c r="K58" i="13"/>
  <c r="K59" i="13"/>
  <c r="K60" i="13"/>
  <c r="K61" i="13"/>
  <c r="K62" i="13"/>
  <c r="K63" i="13"/>
  <c r="J4" i="13"/>
  <c r="J5" i="13"/>
  <c r="J6" i="13"/>
  <c r="J7" i="13"/>
  <c r="J9" i="13"/>
  <c r="J8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I4" i="13"/>
  <c r="I5" i="13"/>
  <c r="I6" i="13"/>
  <c r="I7" i="13"/>
  <c r="I9" i="13"/>
  <c r="I8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H4" i="13"/>
  <c r="H5" i="13"/>
  <c r="H6" i="13"/>
  <c r="H7" i="13"/>
  <c r="H9" i="13"/>
  <c r="H8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G9" i="13"/>
  <c r="G10" i="13"/>
  <c r="G11" i="13"/>
  <c r="X11" i="13" s="1"/>
  <c r="G12" i="13"/>
  <c r="G13" i="13"/>
  <c r="G14" i="13"/>
  <c r="G15" i="13"/>
  <c r="X15" i="13" s="1"/>
  <c r="G16" i="13"/>
  <c r="G17" i="13"/>
  <c r="G18" i="13"/>
  <c r="G19" i="13"/>
  <c r="X19" i="13" s="1"/>
  <c r="G20" i="13"/>
  <c r="G21" i="13"/>
  <c r="G22" i="13"/>
  <c r="G23" i="13"/>
  <c r="X23" i="13" s="1"/>
  <c r="G24" i="13"/>
  <c r="G25" i="13"/>
  <c r="G26" i="13"/>
  <c r="G27" i="13"/>
  <c r="X27" i="13" s="1"/>
  <c r="G28" i="13"/>
  <c r="G29" i="13"/>
  <c r="G30" i="13"/>
  <c r="G31" i="13"/>
  <c r="X31" i="13" s="1"/>
  <c r="G32" i="13"/>
  <c r="G33" i="13"/>
  <c r="G34" i="13"/>
  <c r="G35" i="13"/>
  <c r="X35" i="13" s="1"/>
  <c r="G36" i="13"/>
  <c r="G37" i="13"/>
  <c r="G38" i="13"/>
  <c r="G39" i="13"/>
  <c r="X39" i="13" s="1"/>
  <c r="G40" i="13"/>
  <c r="G41" i="13"/>
  <c r="G42" i="13"/>
  <c r="G43" i="13"/>
  <c r="X43" i="13" s="1"/>
  <c r="G44" i="13"/>
  <c r="G45" i="13"/>
  <c r="G46" i="13"/>
  <c r="G47" i="13"/>
  <c r="X47" i="13" s="1"/>
  <c r="G48" i="13"/>
  <c r="G49" i="13"/>
  <c r="G50" i="13"/>
  <c r="G51" i="13"/>
  <c r="X51" i="13" s="1"/>
  <c r="G52" i="13"/>
  <c r="G53" i="13"/>
  <c r="G54" i="13"/>
  <c r="G55" i="13"/>
  <c r="X55" i="13" s="1"/>
  <c r="G56" i="13"/>
  <c r="G57" i="13"/>
  <c r="G58" i="13"/>
  <c r="G59" i="13"/>
  <c r="G60" i="13"/>
  <c r="G61" i="13"/>
  <c r="G62" i="13"/>
  <c r="G63" i="13"/>
  <c r="F4" i="13"/>
  <c r="F5" i="13"/>
  <c r="F6" i="13"/>
  <c r="F7" i="13"/>
  <c r="F9" i="13"/>
  <c r="F8" i="13"/>
  <c r="F10" i="13"/>
  <c r="F11" i="13"/>
  <c r="F12" i="13"/>
  <c r="F13" i="13"/>
  <c r="F14" i="13"/>
  <c r="F15" i="13"/>
  <c r="F16" i="13"/>
  <c r="F17" i="13"/>
  <c r="F18" i="13"/>
  <c r="F19" i="13"/>
  <c r="F20" i="13"/>
  <c r="F21" i="13"/>
  <c r="F22" i="13"/>
  <c r="F23" i="13"/>
  <c r="F24" i="13"/>
  <c r="F25" i="13"/>
  <c r="F26" i="13"/>
  <c r="F27" i="13"/>
  <c r="F28" i="13"/>
  <c r="F29" i="13"/>
  <c r="F30" i="13"/>
  <c r="F31" i="13"/>
  <c r="F32" i="13"/>
  <c r="F33" i="13"/>
  <c r="F34" i="13"/>
  <c r="F35" i="13"/>
  <c r="F36" i="13"/>
  <c r="F37" i="13"/>
  <c r="F38" i="13"/>
  <c r="F39" i="13"/>
  <c r="F40" i="13"/>
  <c r="F41" i="13"/>
  <c r="F42" i="13"/>
  <c r="F43" i="13"/>
  <c r="F44" i="13"/>
  <c r="F45" i="13"/>
  <c r="F46" i="13"/>
  <c r="F47" i="13"/>
  <c r="F48" i="13"/>
  <c r="F49" i="13"/>
  <c r="F50" i="13"/>
  <c r="F51" i="13"/>
  <c r="F52" i="13"/>
  <c r="F53" i="13"/>
  <c r="F54" i="13"/>
  <c r="F55" i="13"/>
  <c r="F56" i="13"/>
  <c r="F57" i="13"/>
  <c r="F58" i="13"/>
  <c r="F59" i="13"/>
  <c r="F60" i="13"/>
  <c r="F61" i="13"/>
  <c r="F62" i="13"/>
  <c r="F63" i="13"/>
  <c r="E4" i="13"/>
  <c r="E5" i="13"/>
  <c r="E6" i="13"/>
  <c r="E7" i="13"/>
  <c r="E9" i="13"/>
  <c r="E8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G18" i="12"/>
  <c r="P18" i="12" s="1"/>
  <c r="AD18" i="12" s="1"/>
  <c r="W18" i="12"/>
  <c r="Y18" i="12"/>
  <c r="Z18" i="12"/>
  <c r="AA18" i="12"/>
  <c r="AB18" i="12"/>
  <c r="AC18" i="12"/>
  <c r="G9" i="12"/>
  <c r="X9" i="12" s="1"/>
  <c r="W9" i="12"/>
  <c r="Y9" i="12"/>
  <c r="Z9" i="12"/>
  <c r="AA9" i="12"/>
  <c r="AB9" i="12"/>
  <c r="AC9" i="12"/>
  <c r="G18" i="11"/>
  <c r="X18" i="11" s="1"/>
  <c r="W18" i="11"/>
  <c r="Y18" i="11"/>
  <c r="Z18" i="11"/>
  <c r="AA18" i="11"/>
  <c r="AB18" i="11"/>
  <c r="AC18" i="11"/>
  <c r="G9" i="11"/>
  <c r="X9" i="11" s="1"/>
  <c r="W9" i="11"/>
  <c r="Y9" i="11"/>
  <c r="Z9" i="11"/>
  <c r="AA9" i="11"/>
  <c r="AB9" i="11"/>
  <c r="AC9" i="11"/>
  <c r="G18" i="10"/>
  <c r="X18" i="10" s="1"/>
  <c r="W18" i="10"/>
  <c r="Y18" i="10"/>
  <c r="Z18" i="10"/>
  <c r="AA18" i="10"/>
  <c r="AB18" i="10"/>
  <c r="AC18" i="10"/>
  <c r="G9" i="10"/>
  <c r="P9" i="10" s="1"/>
  <c r="AD9" i="10" s="1"/>
  <c r="W9" i="10"/>
  <c r="Y9" i="10"/>
  <c r="Z9" i="10"/>
  <c r="AA9" i="10"/>
  <c r="AB9" i="10"/>
  <c r="AC9" i="10"/>
  <c r="G18" i="9"/>
  <c r="X18" i="9" s="1"/>
  <c r="W18" i="9"/>
  <c r="Y18" i="9"/>
  <c r="Z18" i="9"/>
  <c r="AA18" i="9"/>
  <c r="AB18" i="9"/>
  <c r="AC18" i="9"/>
  <c r="G9" i="9"/>
  <c r="X9" i="9" s="1"/>
  <c r="W9" i="9"/>
  <c r="Y9" i="9"/>
  <c r="Z9" i="9"/>
  <c r="AA9" i="9"/>
  <c r="AB9" i="9"/>
  <c r="AC9" i="9"/>
  <c r="G18" i="8"/>
  <c r="P18" i="8" s="1"/>
  <c r="AD18" i="8" s="1"/>
  <c r="W18" i="8"/>
  <c r="Y18" i="8"/>
  <c r="Z18" i="8"/>
  <c r="AA18" i="8"/>
  <c r="AB18" i="8"/>
  <c r="AC18" i="8"/>
  <c r="G9" i="8"/>
  <c r="X9" i="8" s="1"/>
  <c r="W9" i="8"/>
  <c r="Y9" i="8"/>
  <c r="Z9" i="8"/>
  <c r="AA9" i="8"/>
  <c r="AB9" i="8"/>
  <c r="AC9" i="8"/>
  <c r="G18" i="7"/>
  <c r="P18" i="7" s="1"/>
  <c r="AD18" i="7" s="1"/>
  <c r="W18" i="7"/>
  <c r="Y18" i="7"/>
  <c r="Z18" i="7"/>
  <c r="AA18" i="7"/>
  <c r="AB18" i="7"/>
  <c r="AC18" i="7"/>
  <c r="G9" i="7"/>
  <c r="P9" i="7" s="1"/>
  <c r="AD9" i="7" s="1"/>
  <c r="W9" i="7"/>
  <c r="Y9" i="7"/>
  <c r="Z9" i="7"/>
  <c r="AA9" i="7"/>
  <c r="AB9" i="7"/>
  <c r="AC9" i="7"/>
  <c r="G18" i="6"/>
  <c r="X18" i="6" s="1"/>
  <c r="W18" i="6"/>
  <c r="Y18" i="6"/>
  <c r="Z18" i="6"/>
  <c r="AA18" i="6"/>
  <c r="AB18" i="6"/>
  <c r="AC18" i="6"/>
  <c r="G9" i="6"/>
  <c r="X9" i="6" s="1"/>
  <c r="W9" i="6"/>
  <c r="Y9" i="6"/>
  <c r="Z9" i="6"/>
  <c r="AA9" i="6"/>
  <c r="AB9" i="6"/>
  <c r="AC9" i="6"/>
  <c r="G18" i="5"/>
  <c r="X18" i="5" s="1"/>
  <c r="W18" i="5"/>
  <c r="Y18" i="5"/>
  <c r="Z18" i="5"/>
  <c r="AA18" i="5"/>
  <c r="AB18" i="5"/>
  <c r="AC18" i="5"/>
  <c r="G9" i="5"/>
  <c r="X9" i="5" s="1"/>
  <c r="W9" i="5"/>
  <c r="Y9" i="5"/>
  <c r="Z9" i="5"/>
  <c r="AA9" i="5"/>
  <c r="AB9" i="5"/>
  <c r="AC9" i="5"/>
  <c r="G18" i="4"/>
  <c r="X18" i="4" s="1"/>
  <c r="W18" i="4"/>
  <c r="Y18" i="4"/>
  <c r="Z18" i="4"/>
  <c r="AA18" i="4"/>
  <c r="AB18" i="4"/>
  <c r="AC18" i="4"/>
  <c r="G9" i="4"/>
  <c r="P9" i="4" s="1"/>
  <c r="AD9" i="4" s="1"/>
  <c r="W9" i="4"/>
  <c r="Y9" i="4"/>
  <c r="Z9" i="4"/>
  <c r="AA9" i="4"/>
  <c r="AB9" i="4"/>
  <c r="AC9" i="4"/>
  <c r="G18" i="3"/>
  <c r="P18" i="3" s="1"/>
  <c r="AD18" i="3" s="1"/>
  <c r="W18" i="3"/>
  <c r="Y18" i="3"/>
  <c r="Z18" i="3"/>
  <c r="AA18" i="3"/>
  <c r="AB18" i="3"/>
  <c r="AC18" i="3"/>
  <c r="G9" i="3"/>
  <c r="X9" i="3" s="1"/>
  <c r="W9" i="3"/>
  <c r="Y9" i="3"/>
  <c r="Z9" i="3"/>
  <c r="AA9" i="3"/>
  <c r="AB9" i="3"/>
  <c r="AC9" i="3"/>
  <c r="X63" i="13" l="1"/>
  <c r="X59" i="13"/>
  <c r="Y61" i="13"/>
  <c r="Y57" i="13"/>
  <c r="Y53" i="13"/>
  <c r="Y49" i="13"/>
  <c r="Y45" i="13"/>
  <c r="Y41" i="13"/>
  <c r="Y62" i="13"/>
  <c r="Y58" i="13"/>
  <c r="Y54" i="13"/>
  <c r="Y50" i="13"/>
  <c r="Y46" i="13"/>
  <c r="Y42" i="13"/>
  <c r="Y38" i="13"/>
  <c r="Y34" i="13"/>
  <c r="Y30" i="13"/>
  <c r="Y26" i="13"/>
  <c r="Y22" i="13"/>
  <c r="Y18" i="13"/>
  <c r="Y14" i="13"/>
  <c r="Y10" i="13"/>
  <c r="Y6" i="13"/>
  <c r="Y4" i="13"/>
  <c r="X64" i="13"/>
  <c r="X62" i="13"/>
  <c r="X58" i="13"/>
  <c r="X54" i="13"/>
  <c r="X50" i="13"/>
  <c r="X46" i="13"/>
  <c r="X42" i="13"/>
  <c r="X38" i="13"/>
  <c r="X34" i="13"/>
  <c r="X30" i="13"/>
  <c r="X26" i="13"/>
  <c r="X22" i="13"/>
  <c r="X18" i="13"/>
  <c r="X14" i="13"/>
  <c r="X10" i="13"/>
  <c r="X61" i="13"/>
  <c r="X57" i="13"/>
  <c r="X53" i="13"/>
  <c r="X49" i="13"/>
  <c r="X45" i="13"/>
  <c r="X41" i="13"/>
  <c r="X37" i="13"/>
  <c r="X33" i="13"/>
  <c r="X29" i="13"/>
  <c r="X25" i="13"/>
  <c r="X21" i="13"/>
  <c r="X17" i="13"/>
  <c r="X13" i="13"/>
  <c r="Y64" i="13"/>
  <c r="Y60" i="13"/>
  <c r="Y56" i="13"/>
  <c r="Y52" i="13"/>
  <c r="Y48" i="13"/>
  <c r="Y44" i="13"/>
  <c r="Y40" i="13"/>
  <c r="Y36" i="13"/>
  <c r="Y32" i="13"/>
  <c r="Y28" i="13"/>
  <c r="Y24" i="13"/>
  <c r="Y20" i="13"/>
  <c r="Y16" i="13"/>
  <c r="Y12" i="13"/>
  <c r="Y9" i="13"/>
  <c r="X60" i="13"/>
  <c r="X56" i="13"/>
  <c r="X52" i="13"/>
  <c r="X48" i="13"/>
  <c r="X44" i="13"/>
  <c r="X40" i="13"/>
  <c r="X36" i="13"/>
  <c r="X32" i="13"/>
  <c r="X28" i="13"/>
  <c r="X24" i="13"/>
  <c r="X20" i="13"/>
  <c r="X16" i="13"/>
  <c r="X12" i="13"/>
  <c r="X9" i="13"/>
  <c r="Y63" i="13"/>
  <c r="Y59" i="13"/>
  <c r="Y55" i="13"/>
  <c r="Y51" i="13"/>
  <c r="Y47" i="13"/>
  <c r="Y43" i="13"/>
  <c r="Y39" i="13"/>
  <c r="Y35" i="13"/>
  <c r="Y31" i="13"/>
  <c r="Y27" i="13"/>
  <c r="Y23" i="13"/>
  <c r="Y19" i="13"/>
  <c r="Y15" i="13"/>
  <c r="Y11" i="13"/>
  <c r="Y7" i="13"/>
  <c r="P62" i="13"/>
  <c r="AD62" i="13" s="1"/>
  <c r="P58" i="13"/>
  <c r="AD58" i="13" s="1"/>
  <c r="P54" i="13"/>
  <c r="AD54" i="13" s="1"/>
  <c r="P50" i="13"/>
  <c r="AD50" i="13" s="1"/>
  <c r="P46" i="13"/>
  <c r="AD46" i="13" s="1"/>
  <c r="P42" i="13"/>
  <c r="AD42" i="13" s="1"/>
  <c r="P38" i="13"/>
  <c r="AD38" i="13" s="1"/>
  <c r="P34" i="13"/>
  <c r="AD34" i="13" s="1"/>
  <c r="P30" i="13"/>
  <c r="AD30" i="13" s="1"/>
  <c r="P26" i="13"/>
  <c r="AD26" i="13" s="1"/>
  <c r="P22" i="13"/>
  <c r="AD22" i="13" s="1"/>
  <c r="P18" i="13"/>
  <c r="AD18" i="13" s="1"/>
  <c r="P14" i="13"/>
  <c r="AD14" i="13" s="1"/>
  <c r="P10" i="13"/>
  <c r="AD10" i="13" s="1"/>
  <c r="P61" i="13"/>
  <c r="AD61" i="13" s="1"/>
  <c r="P57" i="13"/>
  <c r="AD57" i="13" s="1"/>
  <c r="P53" i="13"/>
  <c r="AD53" i="13" s="1"/>
  <c r="P49" i="13"/>
  <c r="AD49" i="13" s="1"/>
  <c r="P45" i="13"/>
  <c r="AD45" i="13" s="1"/>
  <c r="P41" i="13"/>
  <c r="AD41" i="13" s="1"/>
  <c r="P37" i="13"/>
  <c r="AD37" i="13" s="1"/>
  <c r="P33" i="13"/>
  <c r="AD33" i="13" s="1"/>
  <c r="P29" i="13"/>
  <c r="AD29" i="13" s="1"/>
  <c r="P25" i="13"/>
  <c r="AD25" i="13" s="1"/>
  <c r="P21" i="13"/>
  <c r="AD21" i="13" s="1"/>
  <c r="P17" i="13"/>
  <c r="AD17" i="13" s="1"/>
  <c r="P13" i="13"/>
  <c r="AD13" i="13" s="1"/>
  <c r="P9" i="13"/>
  <c r="AD9" i="13" s="1"/>
  <c r="AD64" i="13"/>
  <c r="P60" i="13"/>
  <c r="AD60" i="13" s="1"/>
  <c r="P56" i="13"/>
  <c r="AD56" i="13" s="1"/>
  <c r="P52" i="13"/>
  <c r="AD52" i="13" s="1"/>
  <c r="P48" i="13"/>
  <c r="AD48" i="13" s="1"/>
  <c r="P44" i="13"/>
  <c r="AD44" i="13" s="1"/>
  <c r="P40" i="13"/>
  <c r="AD40" i="13" s="1"/>
  <c r="P36" i="13"/>
  <c r="AD36" i="13" s="1"/>
  <c r="P32" i="13"/>
  <c r="AD32" i="13" s="1"/>
  <c r="P28" i="13"/>
  <c r="AD28" i="13" s="1"/>
  <c r="P24" i="13"/>
  <c r="AD24" i="13" s="1"/>
  <c r="P20" i="13"/>
  <c r="AD20" i="13" s="1"/>
  <c r="P16" i="13"/>
  <c r="AD16" i="13" s="1"/>
  <c r="P12" i="13"/>
  <c r="AD12" i="13" s="1"/>
  <c r="Y37" i="13"/>
  <c r="Y33" i="13"/>
  <c r="Y29" i="13"/>
  <c r="Y25" i="13"/>
  <c r="Y21" i="13"/>
  <c r="Y17" i="13"/>
  <c r="Y13" i="13"/>
  <c r="Y8" i="13"/>
  <c r="Y5" i="13"/>
  <c r="P63" i="13"/>
  <c r="AD63" i="13" s="1"/>
  <c r="P59" i="13"/>
  <c r="AD59" i="13" s="1"/>
  <c r="P55" i="13"/>
  <c r="AD55" i="13" s="1"/>
  <c r="P51" i="13"/>
  <c r="AD51" i="13" s="1"/>
  <c r="P47" i="13"/>
  <c r="AD47" i="13" s="1"/>
  <c r="P43" i="13"/>
  <c r="AD43" i="13" s="1"/>
  <c r="P39" i="13"/>
  <c r="AD39" i="13" s="1"/>
  <c r="P35" i="13"/>
  <c r="AD35" i="13" s="1"/>
  <c r="P31" i="13"/>
  <c r="AD31" i="13" s="1"/>
  <c r="P27" i="13"/>
  <c r="AD27" i="13" s="1"/>
  <c r="P23" i="13"/>
  <c r="AD23" i="13" s="1"/>
  <c r="P19" i="13"/>
  <c r="AD19" i="13" s="1"/>
  <c r="P15" i="13"/>
  <c r="AD15" i="13" s="1"/>
  <c r="P11" i="13"/>
  <c r="AD11" i="13" s="1"/>
  <c r="P9" i="5"/>
  <c r="AD9" i="5" s="1"/>
  <c r="P18" i="9"/>
  <c r="AD18" i="9" s="1"/>
  <c r="P9" i="8"/>
  <c r="AD9" i="8" s="1"/>
  <c r="P9" i="11"/>
  <c r="AD9" i="11" s="1"/>
  <c r="P18" i="11"/>
  <c r="AD18" i="11" s="1"/>
  <c r="P9" i="12"/>
  <c r="AD9" i="12" s="1"/>
  <c r="P9" i="6"/>
  <c r="AD9" i="6" s="1"/>
  <c r="P18" i="6"/>
  <c r="AD18" i="6" s="1"/>
  <c r="P18" i="5"/>
  <c r="AD18" i="5" s="1"/>
  <c r="P18" i="4"/>
  <c r="AD18" i="4" s="1"/>
  <c r="P9" i="3"/>
  <c r="AD9" i="3" s="1"/>
  <c r="P18" i="10"/>
  <c r="AD18" i="10" s="1"/>
  <c r="X18" i="12"/>
  <c r="X9" i="10"/>
  <c r="P9" i="9"/>
  <c r="AD9" i="9" s="1"/>
  <c r="X18" i="8"/>
  <c r="X18" i="7"/>
  <c r="X9" i="7"/>
  <c r="X9" i="4"/>
  <c r="X18" i="3"/>
  <c r="W15" i="5" l="1"/>
  <c r="W16" i="5"/>
  <c r="W17" i="5"/>
  <c r="W6" i="5"/>
  <c r="W7" i="5"/>
  <c r="W8" i="5"/>
  <c r="W15" i="4"/>
  <c r="W16" i="4"/>
  <c r="W17" i="4"/>
  <c r="W6" i="4"/>
  <c r="W7" i="4"/>
  <c r="W8" i="4"/>
  <c r="W15" i="3"/>
  <c r="W6" i="3"/>
  <c r="W7" i="3"/>
  <c r="W8" i="3"/>
  <c r="W16" i="3"/>
  <c r="W17" i="3"/>
  <c r="W15" i="2"/>
  <c r="AC6" i="2"/>
  <c r="AB6" i="2"/>
  <c r="AA6" i="2"/>
  <c r="Z6" i="2"/>
  <c r="Y6" i="2"/>
  <c r="W6" i="2"/>
  <c r="W16" i="1"/>
  <c r="W6" i="1"/>
  <c r="AC15" i="12"/>
  <c r="AC16" i="12"/>
  <c r="AC17" i="12"/>
  <c r="AB15" i="12"/>
  <c r="AB16" i="12"/>
  <c r="AB17" i="12"/>
  <c r="AA15" i="12"/>
  <c r="AA16" i="12"/>
  <c r="AA17" i="12"/>
  <c r="Z15" i="12"/>
  <c r="Z16" i="12"/>
  <c r="Z17" i="12"/>
  <c r="Y15" i="12"/>
  <c r="Y16" i="12"/>
  <c r="Y17" i="12"/>
  <c r="W15" i="12"/>
  <c r="W16" i="12"/>
  <c r="W17" i="12"/>
  <c r="W6" i="12"/>
  <c r="W7" i="12"/>
  <c r="W8" i="12"/>
  <c r="AC6" i="12"/>
  <c r="AC7" i="12"/>
  <c r="AC8" i="12"/>
  <c r="AB6" i="12"/>
  <c r="AB7" i="12"/>
  <c r="AB8" i="12"/>
  <c r="AA6" i="12"/>
  <c r="AA7" i="12"/>
  <c r="AA8" i="12"/>
  <c r="Z6" i="12"/>
  <c r="Z7" i="12"/>
  <c r="Z8" i="12"/>
  <c r="Y6" i="12"/>
  <c r="Y7" i="12"/>
  <c r="Y8" i="12"/>
  <c r="AC15" i="11"/>
  <c r="AC16" i="11"/>
  <c r="AC17" i="11"/>
  <c r="AB15" i="11"/>
  <c r="AB16" i="11"/>
  <c r="AB17" i="11"/>
  <c r="AA15" i="11"/>
  <c r="AA16" i="11"/>
  <c r="AA17" i="11"/>
  <c r="Z15" i="11"/>
  <c r="Z16" i="11"/>
  <c r="Z17" i="11"/>
  <c r="Y15" i="11"/>
  <c r="Y16" i="11"/>
  <c r="Y17" i="11"/>
  <c r="W15" i="11"/>
  <c r="W16" i="11"/>
  <c r="W17" i="11"/>
  <c r="AC6" i="11"/>
  <c r="AC7" i="11"/>
  <c r="AC8" i="11"/>
  <c r="AB6" i="11"/>
  <c r="AB7" i="11"/>
  <c r="AB8" i="11"/>
  <c r="AA6" i="11"/>
  <c r="AA7" i="11"/>
  <c r="AA8" i="11"/>
  <c r="Z6" i="11"/>
  <c r="Z7" i="11"/>
  <c r="Z8" i="11"/>
  <c r="Y6" i="11"/>
  <c r="Y7" i="11"/>
  <c r="Y8" i="11"/>
  <c r="W6" i="11"/>
  <c r="W7" i="11"/>
  <c r="W8" i="11"/>
  <c r="AC15" i="10"/>
  <c r="AC16" i="10"/>
  <c r="AC17" i="10"/>
  <c r="AB15" i="10"/>
  <c r="AB16" i="10"/>
  <c r="AB17" i="10"/>
  <c r="AA15" i="10"/>
  <c r="AA16" i="10"/>
  <c r="AA17" i="10"/>
  <c r="Z15" i="10"/>
  <c r="Z16" i="10"/>
  <c r="Z17" i="10"/>
  <c r="Y15" i="10"/>
  <c r="Y16" i="10"/>
  <c r="Y17" i="10"/>
  <c r="W15" i="10"/>
  <c r="W16" i="10"/>
  <c r="W17" i="10"/>
  <c r="AC6" i="10"/>
  <c r="AC7" i="10"/>
  <c r="AC8" i="10"/>
  <c r="AB6" i="10"/>
  <c r="AB7" i="10"/>
  <c r="AB8" i="10"/>
  <c r="AA6" i="10"/>
  <c r="AA7" i="10"/>
  <c r="AA8" i="10"/>
  <c r="Z6" i="10"/>
  <c r="Z7" i="10"/>
  <c r="Z8" i="10"/>
  <c r="Y6" i="10"/>
  <c r="Y7" i="10"/>
  <c r="Y8" i="10"/>
  <c r="W6" i="10"/>
  <c r="W7" i="10"/>
  <c r="W8" i="10"/>
  <c r="AC15" i="9"/>
  <c r="AC16" i="9"/>
  <c r="AC17" i="9"/>
  <c r="AB15" i="9"/>
  <c r="AB16" i="9"/>
  <c r="AB17" i="9"/>
  <c r="AA15" i="9"/>
  <c r="AA16" i="9"/>
  <c r="AA17" i="9"/>
  <c r="Z15" i="9"/>
  <c r="Z16" i="9"/>
  <c r="Z17" i="9"/>
  <c r="Y15" i="9"/>
  <c r="Y16" i="9"/>
  <c r="Y17" i="9"/>
  <c r="W15" i="9"/>
  <c r="W16" i="9"/>
  <c r="W17" i="9"/>
  <c r="AC6" i="9"/>
  <c r="AC7" i="9"/>
  <c r="AC8" i="9"/>
  <c r="AB6" i="9"/>
  <c r="AB7" i="9"/>
  <c r="AB8" i="9"/>
  <c r="AA6" i="9"/>
  <c r="AA7" i="9"/>
  <c r="AA8" i="9"/>
  <c r="Z6" i="9"/>
  <c r="Z7" i="9"/>
  <c r="Z8" i="9"/>
  <c r="Y6" i="9"/>
  <c r="Y7" i="9"/>
  <c r="Y8" i="9"/>
  <c r="W6" i="9"/>
  <c r="W7" i="9"/>
  <c r="W8" i="9"/>
  <c r="AC15" i="8"/>
  <c r="AC16" i="8"/>
  <c r="AC17" i="8"/>
  <c r="AB15" i="8"/>
  <c r="AB16" i="8"/>
  <c r="AB17" i="8"/>
  <c r="AA15" i="8"/>
  <c r="AA16" i="8"/>
  <c r="AA17" i="8"/>
  <c r="Z15" i="8"/>
  <c r="Z16" i="8"/>
  <c r="Z17" i="8"/>
  <c r="Y15" i="8"/>
  <c r="Y16" i="8"/>
  <c r="Y17" i="8"/>
  <c r="W15" i="8"/>
  <c r="W16" i="8"/>
  <c r="W17" i="8"/>
  <c r="AC6" i="8"/>
  <c r="AC7" i="8"/>
  <c r="AC8" i="8"/>
  <c r="AB6" i="8"/>
  <c r="AB7" i="8"/>
  <c r="AB8" i="8"/>
  <c r="AA6" i="8"/>
  <c r="AA7" i="8"/>
  <c r="AA8" i="8"/>
  <c r="Z6" i="8"/>
  <c r="Z7" i="8"/>
  <c r="Z8" i="8"/>
  <c r="Y6" i="8"/>
  <c r="Y7" i="8"/>
  <c r="Y8" i="8"/>
  <c r="W6" i="8"/>
  <c r="W7" i="8"/>
  <c r="W8" i="8"/>
  <c r="AC15" i="7"/>
  <c r="AC16" i="7"/>
  <c r="AC17" i="7"/>
  <c r="AB15" i="7"/>
  <c r="AB16" i="7"/>
  <c r="AB17" i="7"/>
  <c r="AA15" i="7"/>
  <c r="AA16" i="7"/>
  <c r="AA17" i="7"/>
  <c r="Z15" i="7"/>
  <c r="Z16" i="7"/>
  <c r="Z17" i="7"/>
  <c r="Y15" i="7"/>
  <c r="Y16" i="7"/>
  <c r="Y17" i="7"/>
  <c r="W15" i="7"/>
  <c r="W16" i="7"/>
  <c r="W17" i="7"/>
  <c r="AC6" i="7"/>
  <c r="AC7" i="7"/>
  <c r="AC8" i="7"/>
  <c r="AB6" i="7"/>
  <c r="AB7" i="7"/>
  <c r="AB8" i="7"/>
  <c r="AA6" i="7"/>
  <c r="AA7" i="7"/>
  <c r="AA8" i="7"/>
  <c r="Z6" i="7"/>
  <c r="Z7" i="7"/>
  <c r="Z8" i="7"/>
  <c r="Y6" i="7"/>
  <c r="Y7" i="7"/>
  <c r="Y8" i="7"/>
  <c r="W6" i="7"/>
  <c r="W7" i="7"/>
  <c r="W8" i="7"/>
  <c r="AC15" i="6"/>
  <c r="AC16" i="6"/>
  <c r="AC17" i="6"/>
  <c r="AB15" i="6"/>
  <c r="AB16" i="6"/>
  <c r="AB17" i="6"/>
  <c r="AA15" i="6"/>
  <c r="AA16" i="6"/>
  <c r="AA17" i="6"/>
  <c r="Z15" i="6"/>
  <c r="Z16" i="6"/>
  <c r="Z17" i="6"/>
  <c r="Y15" i="6"/>
  <c r="Y16" i="6"/>
  <c r="Y17" i="6"/>
  <c r="W15" i="6"/>
  <c r="W16" i="6"/>
  <c r="W17" i="6"/>
  <c r="W6" i="6"/>
  <c r="W7" i="6"/>
  <c r="W8" i="6"/>
  <c r="AC6" i="6"/>
  <c r="AC7" i="6"/>
  <c r="AC8" i="6"/>
  <c r="AB6" i="6"/>
  <c r="AB7" i="6"/>
  <c r="AB8" i="6"/>
  <c r="AA6" i="6"/>
  <c r="AA7" i="6"/>
  <c r="AA8" i="6"/>
  <c r="Z6" i="6"/>
  <c r="Z7" i="6"/>
  <c r="Z8" i="6"/>
  <c r="Y6" i="6"/>
  <c r="Y7" i="6"/>
  <c r="Y8" i="6"/>
  <c r="AC15" i="5"/>
  <c r="AC16" i="5"/>
  <c r="AC17" i="5"/>
  <c r="AB15" i="5"/>
  <c r="AB16" i="5"/>
  <c r="AB17" i="5"/>
  <c r="AA15" i="5"/>
  <c r="AA16" i="5"/>
  <c r="AA17" i="5"/>
  <c r="Z15" i="5"/>
  <c r="Z16" i="5"/>
  <c r="Z17" i="5"/>
  <c r="Y15" i="5"/>
  <c r="Y16" i="5"/>
  <c r="Y17" i="5"/>
  <c r="AC6" i="5"/>
  <c r="AC7" i="5"/>
  <c r="AC8" i="5"/>
  <c r="AB6" i="5"/>
  <c r="AB7" i="5"/>
  <c r="AB8" i="5"/>
  <c r="AA6" i="5"/>
  <c r="AA7" i="5"/>
  <c r="AA8" i="5"/>
  <c r="Z6" i="5"/>
  <c r="Z7" i="5"/>
  <c r="Z8" i="5"/>
  <c r="Y6" i="5"/>
  <c r="Y7" i="5"/>
  <c r="Y8" i="5"/>
  <c r="AC15" i="4"/>
  <c r="AC16" i="4"/>
  <c r="AC17" i="4"/>
  <c r="AB15" i="4"/>
  <c r="AB16" i="4"/>
  <c r="AB17" i="4"/>
  <c r="AA15" i="4"/>
  <c r="AA16" i="4"/>
  <c r="AA17" i="4"/>
  <c r="Z15" i="4"/>
  <c r="Z16" i="4"/>
  <c r="Z17" i="4"/>
  <c r="Y15" i="4"/>
  <c r="Y16" i="4"/>
  <c r="Y17" i="4"/>
  <c r="AC6" i="4"/>
  <c r="AC7" i="4"/>
  <c r="AC8" i="4"/>
  <c r="AB6" i="4"/>
  <c r="AB7" i="4"/>
  <c r="AB8" i="4"/>
  <c r="AA6" i="4"/>
  <c r="AA7" i="4"/>
  <c r="AA8" i="4"/>
  <c r="Z6" i="4"/>
  <c r="Z7" i="4"/>
  <c r="Z8" i="4"/>
  <c r="Y6" i="4"/>
  <c r="Y7" i="4"/>
  <c r="Y8" i="4"/>
  <c r="AC15" i="3"/>
  <c r="AC16" i="3"/>
  <c r="AC17" i="3"/>
  <c r="AB15" i="3"/>
  <c r="AB16" i="3"/>
  <c r="AB17" i="3"/>
  <c r="AA15" i="3"/>
  <c r="AA16" i="3"/>
  <c r="AA17" i="3"/>
  <c r="Z15" i="3"/>
  <c r="Z16" i="3"/>
  <c r="Z17" i="3"/>
  <c r="Y15" i="3"/>
  <c r="Y16" i="3"/>
  <c r="Y17" i="3"/>
  <c r="AC6" i="3"/>
  <c r="AC7" i="3"/>
  <c r="AC8" i="3"/>
  <c r="AB6" i="3"/>
  <c r="AB7" i="3"/>
  <c r="AB8" i="3"/>
  <c r="AA6" i="3"/>
  <c r="AA7" i="3"/>
  <c r="AA8" i="3"/>
  <c r="Z6" i="3"/>
  <c r="Z7" i="3"/>
  <c r="Z8" i="3"/>
  <c r="Y6" i="3"/>
  <c r="Y7" i="3"/>
  <c r="Y8" i="3"/>
  <c r="AC16" i="1" l="1"/>
  <c r="AC17" i="1"/>
  <c r="AC18" i="1"/>
  <c r="AC19" i="1"/>
  <c r="AC20" i="1"/>
  <c r="AB16" i="1"/>
  <c r="AB17" i="1"/>
  <c r="AB18" i="1"/>
  <c r="AB19" i="1"/>
  <c r="AB20" i="1"/>
  <c r="AA16" i="1"/>
  <c r="AA17" i="1"/>
  <c r="AA18" i="1"/>
  <c r="AA19" i="1"/>
  <c r="AA20" i="1"/>
  <c r="Z16" i="1"/>
  <c r="Z17" i="1"/>
  <c r="Z18" i="1"/>
  <c r="Z19" i="1"/>
  <c r="Z20" i="1"/>
  <c r="Y16" i="1"/>
  <c r="Y17" i="1"/>
  <c r="Y18" i="1"/>
  <c r="Y19" i="1"/>
  <c r="Y20" i="1"/>
  <c r="W17" i="1"/>
  <c r="W18" i="1"/>
  <c r="W19" i="1"/>
  <c r="W20" i="1"/>
  <c r="G20" i="1" l="1"/>
  <c r="X20" i="1" s="1"/>
  <c r="P20" i="1" l="1"/>
  <c r="AD20" i="1" s="1"/>
  <c r="AC18" i="2"/>
  <c r="AB18" i="2"/>
  <c r="AA18" i="2"/>
  <c r="Z18" i="2"/>
  <c r="Y18" i="2"/>
  <c r="W18" i="2"/>
  <c r="AC17" i="2"/>
  <c r="AB17" i="2"/>
  <c r="AA17" i="2"/>
  <c r="Z17" i="2"/>
  <c r="Y17" i="2"/>
  <c r="W17" i="2"/>
  <c r="AC16" i="2"/>
  <c r="AB16" i="2"/>
  <c r="AA16" i="2"/>
  <c r="Z16" i="2"/>
  <c r="Y16" i="2"/>
  <c r="W16" i="2"/>
  <c r="AC15" i="2"/>
  <c r="AB15" i="2"/>
  <c r="AA15" i="2"/>
  <c r="Z15" i="2"/>
  <c r="Y15" i="2"/>
  <c r="AC9" i="2"/>
  <c r="AB9" i="2"/>
  <c r="AA9" i="2"/>
  <c r="Z9" i="2"/>
  <c r="Y9" i="2"/>
  <c r="W9" i="2"/>
  <c r="AC8" i="2"/>
  <c r="AB8" i="2"/>
  <c r="AA8" i="2"/>
  <c r="Z8" i="2"/>
  <c r="Y8" i="2"/>
  <c r="W8" i="2"/>
  <c r="AC7" i="2"/>
  <c r="AB7" i="2"/>
  <c r="AA7" i="2"/>
  <c r="Z7" i="2"/>
  <c r="Y7" i="2"/>
  <c r="W7" i="2"/>
  <c r="AC10" i="4"/>
  <c r="Y10" i="4"/>
  <c r="AA10" i="5"/>
  <c r="AB19" i="7"/>
  <c r="Y10" i="11"/>
  <c r="Y22" i="1"/>
  <c r="AC6" i="1"/>
  <c r="AC7" i="1"/>
  <c r="AC8" i="1"/>
  <c r="AC9" i="1"/>
  <c r="AC10" i="1"/>
  <c r="AB6" i="1"/>
  <c r="AB7" i="1"/>
  <c r="AB8" i="1"/>
  <c r="AB9" i="1"/>
  <c r="AB10" i="1"/>
  <c r="AA6" i="1"/>
  <c r="AA7" i="1"/>
  <c r="AA8" i="1"/>
  <c r="AA9" i="1"/>
  <c r="AA10" i="1"/>
  <c r="Z6" i="1"/>
  <c r="Z7" i="1"/>
  <c r="Z8" i="1"/>
  <c r="Z9" i="1"/>
  <c r="Z10" i="1"/>
  <c r="Y6" i="1"/>
  <c r="Y7" i="1"/>
  <c r="Y8" i="1"/>
  <c r="Y9" i="1"/>
  <c r="Y10" i="1"/>
  <c r="W7" i="1"/>
  <c r="W8" i="1"/>
  <c r="W9" i="1"/>
  <c r="W10" i="1"/>
  <c r="U22" i="1"/>
  <c r="T22" i="1"/>
  <c r="S22" i="1"/>
  <c r="R22" i="1"/>
  <c r="U11" i="1"/>
  <c r="T11" i="1"/>
  <c r="S11" i="1"/>
  <c r="S68" i="13" s="1"/>
  <c r="R11" i="1"/>
  <c r="R68" i="13" s="1"/>
  <c r="U19" i="11"/>
  <c r="T19" i="11"/>
  <c r="S19" i="11"/>
  <c r="R19" i="11"/>
  <c r="U10" i="11"/>
  <c r="T10" i="11"/>
  <c r="S10" i="11"/>
  <c r="R10" i="11"/>
  <c r="U19" i="10"/>
  <c r="T19" i="10"/>
  <c r="S19" i="10"/>
  <c r="R19" i="10"/>
  <c r="U10" i="10"/>
  <c r="T10" i="10"/>
  <c r="S10" i="10"/>
  <c r="S86" i="13" s="1"/>
  <c r="R10" i="10"/>
  <c r="U19" i="9"/>
  <c r="T19" i="9"/>
  <c r="S19" i="9"/>
  <c r="R19" i="9"/>
  <c r="U10" i="9"/>
  <c r="U84" i="13" s="1"/>
  <c r="T10" i="9"/>
  <c r="T84" i="13" s="1"/>
  <c r="S10" i="9"/>
  <c r="R10" i="9"/>
  <c r="U19" i="8"/>
  <c r="T19" i="8"/>
  <c r="S19" i="8"/>
  <c r="R19" i="8"/>
  <c r="U10" i="8"/>
  <c r="T10" i="8"/>
  <c r="T82" i="13" s="1"/>
  <c r="S10" i="8"/>
  <c r="R10" i="8"/>
  <c r="U19" i="7"/>
  <c r="T19" i="7"/>
  <c r="S19" i="7"/>
  <c r="R19" i="7"/>
  <c r="U10" i="7"/>
  <c r="U80" i="13" s="1"/>
  <c r="T10" i="7"/>
  <c r="S10" i="7"/>
  <c r="S80" i="13" s="1"/>
  <c r="R10" i="7"/>
  <c r="U19" i="6"/>
  <c r="T19" i="6"/>
  <c r="S19" i="6"/>
  <c r="R19" i="6"/>
  <c r="U10" i="6"/>
  <c r="T10" i="6"/>
  <c r="S10" i="6"/>
  <c r="S78" i="13" s="1"/>
  <c r="R10" i="6"/>
  <c r="U19" i="5"/>
  <c r="T19" i="5"/>
  <c r="S19" i="5"/>
  <c r="R19" i="5"/>
  <c r="U10" i="5"/>
  <c r="T10" i="5"/>
  <c r="S10" i="5"/>
  <c r="R10" i="5"/>
  <c r="R76" i="13" s="1"/>
  <c r="U19" i="4"/>
  <c r="T19" i="4"/>
  <c r="S19" i="4"/>
  <c r="R19" i="4"/>
  <c r="U10" i="4"/>
  <c r="T10" i="4"/>
  <c r="T74" i="13" s="1"/>
  <c r="S10" i="4"/>
  <c r="S74" i="13" s="1"/>
  <c r="R10" i="4"/>
  <c r="R74" i="13" s="1"/>
  <c r="U19" i="3"/>
  <c r="T19" i="3"/>
  <c r="S19" i="3"/>
  <c r="R19" i="3"/>
  <c r="U10" i="3"/>
  <c r="T10" i="3"/>
  <c r="T72" i="13" s="1"/>
  <c r="S10" i="3"/>
  <c r="S72" i="13" s="1"/>
  <c r="R10" i="3"/>
  <c r="U19" i="2"/>
  <c r="T19" i="2"/>
  <c r="S19" i="2"/>
  <c r="R19" i="2"/>
  <c r="U10" i="2"/>
  <c r="U70" i="13" s="1"/>
  <c r="T10" i="2"/>
  <c r="S10" i="2"/>
  <c r="R10" i="2"/>
  <c r="U19" i="12"/>
  <c r="T19" i="12"/>
  <c r="S19" i="12"/>
  <c r="R19" i="12"/>
  <c r="U10" i="12"/>
  <c r="U90" i="13" s="1"/>
  <c r="T10" i="12"/>
  <c r="S10" i="12"/>
  <c r="S90" i="13" s="1"/>
  <c r="R10" i="12"/>
  <c r="G6" i="3"/>
  <c r="G7" i="3"/>
  <c r="G8" i="3"/>
  <c r="C10" i="3"/>
  <c r="D10" i="3"/>
  <c r="E10" i="3"/>
  <c r="F10" i="3"/>
  <c r="H10" i="3"/>
  <c r="I10" i="3"/>
  <c r="J10" i="3"/>
  <c r="K10" i="3"/>
  <c r="L10" i="3"/>
  <c r="M10" i="3"/>
  <c r="N10" i="3"/>
  <c r="O10" i="3"/>
  <c r="D19" i="12"/>
  <c r="D10" i="12"/>
  <c r="D10" i="11"/>
  <c r="D19" i="11"/>
  <c r="D10" i="10"/>
  <c r="D19" i="10"/>
  <c r="D19" i="9"/>
  <c r="D10" i="9"/>
  <c r="D10" i="8"/>
  <c r="D19" i="8"/>
  <c r="D10" i="7"/>
  <c r="D19" i="7"/>
  <c r="D19" i="6"/>
  <c r="D10" i="6"/>
  <c r="D19" i="5"/>
  <c r="D10" i="5"/>
  <c r="D19" i="4"/>
  <c r="D10" i="4"/>
  <c r="D19" i="3"/>
  <c r="D19" i="2"/>
  <c r="D10" i="2"/>
  <c r="D11" i="1"/>
  <c r="D22" i="1"/>
  <c r="T86" i="13" l="1"/>
  <c r="T80" i="13"/>
  <c r="R80" i="13"/>
  <c r="T78" i="13"/>
  <c r="R78" i="13"/>
  <c r="U76" i="13"/>
  <c r="U88" i="13"/>
  <c r="R86" i="13"/>
  <c r="U78" i="13"/>
  <c r="R72" i="13"/>
  <c r="R88" i="13"/>
  <c r="S76" i="13"/>
  <c r="U72" i="13"/>
  <c r="R82" i="13"/>
  <c r="U74" i="13"/>
  <c r="X8" i="3"/>
  <c r="X7" i="3"/>
  <c r="X6" i="3"/>
  <c r="S88" i="13"/>
  <c r="S82" i="13"/>
  <c r="T76" i="13"/>
  <c r="T88" i="13"/>
  <c r="AC10" i="11"/>
  <c r="AB10" i="8"/>
  <c r="AB19" i="8"/>
  <c r="AA10" i="6"/>
  <c r="AA19" i="3"/>
  <c r="P8" i="3"/>
  <c r="AD8" i="3" s="1"/>
  <c r="P6" i="3"/>
  <c r="AD6" i="3" s="1"/>
  <c r="U86" i="13"/>
  <c r="AA10" i="10"/>
  <c r="AA19" i="10"/>
  <c r="Z10" i="10"/>
  <c r="Z19" i="10"/>
  <c r="U82" i="13"/>
  <c r="AB19" i="6"/>
  <c r="AB10" i="6"/>
  <c r="AB19" i="4"/>
  <c r="AA19" i="5"/>
  <c r="AB19" i="11"/>
  <c r="Y19" i="11"/>
  <c r="AC19" i="11"/>
  <c r="Y19" i="4"/>
  <c r="AA19" i="8"/>
  <c r="AB10" i="3"/>
  <c r="AC22" i="1"/>
  <c r="AC19" i="4"/>
  <c r="Z10" i="4"/>
  <c r="Z19" i="4"/>
  <c r="Y10" i="3"/>
  <c r="AC10" i="3"/>
  <c r="Y19" i="3"/>
  <c r="AC19" i="3"/>
  <c r="Y10" i="8"/>
  <c r="AC10" i="8"/>
  <c r="Y19" i="8"/>
  <c r="AC19" i="8"/>
  <c r="Y10" i="7"/>
  <c r="AC10" i="7"/>
  <c r="Y19" i="7"/>
  <c r="AC19" i="7"/>
  <c r="Z10" i="7"/>
  <c r="Z19" i="7"/>
  <c r="T90" i="13"/>
  <c r="Z10" i="12"/>
  <c r="Z19" i="12"/>
  <c r="Y19" i="6"/>
  <c r="AC19" i="6"/>
  <c r="Y10" i="6"/>
  <c r="AC10" i="6"/>
  <c r="AA19" i="12"/>
  <c r="AB10" i="7"/>
  <c r="AA19" i="4"/>
  <c r="S70" i="13"/>
  <c r="T70" i="13"/>
  <c r="Z19" i="11"/>
  <c r="AB10" i="11"/>
  <c r="AA19" i="7"/>
  <c r="U68" i="13"/>
  <c r="AB22" i="1"/>
  <c r="AB10" i="12"/>
  <c r="AB19" i="12"/>
  <c r="Y10" i="12"/>
  <c r="AC10" i="12"/>
  <c r="Y19" i="12"/>
  <c r="AC19" i="12"/>
  <c r="R70" i="13"/>
  <c r="Y10" i="2"/>
  <c r="AC10" i="2"/>
  <c r="Y19" i="2"/>
  <c r="AC19" i="2"/>
  <c r="Z22" i="1"/>
  <c r="Z10" i="11"/>
  <c r="AA19" i="11"/>
  <c r="S84" i="13"/>
  <c r="AB10" i="9"/>
  <c r="AB19" i="9"/>
  <c r="R84" i="13"/>
  <c r="Y10" i="9"/>
  <c r="AC10" i="9"/>
  <c r="Y19" i="9"/>
  <c r="AC19" i="9"/>
  <c r="AA10" i="4"/>
  <c r="AA22" i="1"/>
  <c r="AA10" i="12"/>
  <c r="Z10" i="8"/>
  <c r="Z19" i="8"/>
  <c r="AB10" i="5"/>
  <c r="AB19" i="5"/>
  <c r="AB19" i="3"/>
  <c r="AB10" i="2"/>
  <c r="AB19" i="2"/>
  <c r="AA19" i="2"/>
  <c r="Z10" i="9"/>
  <c r="Z19" i="9"/>
  <c r="AA19" i="9"/>
  <c r="Y10" i="5"/>
  <c r="AC10" i="5"/>
  <c r="Y19" i="5"/>
  <c r="AC19" i="5"/>
  <c r="Z10" i="5"/>
  <c r="Z19" i="5"/>
  <c r="Z10" i="3"/>
  <c r="Z19" i="3"/>
  <c r="AA10" i="2"/>
  <c r="AA10" i="11"/>
  <c r="AB10" i="10"/>
  <c r="AB19" i="10"/>
  <c r="Y10" i="10"/>
  <c r="AC10" i="10"/>
  <c r="Y19" i="10"/>
  <c r="AC19" i="10"/>
  <c r="AA10" i="9"/>
  <c r="AA10" i="8"/>
  <c r="AA10" i="7"/>
  <c r="Z19" i="6"/>
  <c r="Z10" i="6"/>
  <c r="AA19" i="6"/>
  <c r="AB10" i="4"/>
  <c r="AA10" i="3"/>
  <c r="Z10" i="2"/>
  <c r="Z19" i="2"/>
  <c r="R90" i="13"/>
  <c r="Z11" i="1"/>
  <c r="AA11" i="1"/>
  <c r="AA12" i="1"/>
  <c r="Y11" i="1"/>
  <c r="AB11" i="1"/>
  <c r="AB12" i="1"/>
  <c r="Y12" i="1"/>
  <c r="AC11" i="1"/>
  <c r="AC12" i="1"/>
  <c r="Z12" i="1"/>
  <c r="T68" i="13"/>
  <c r="G10" i="3"/>
  <c r="P7" i="3"/>
  <c r="AD7" i="3" s="1"/>
  <c r="U92" i="13" l="1"/>
  <c r="T92" i="13"/>
  <c r="S92" i="13"/>
  <c r="R92" i="13"/>
  <c r="X10" i="3"/>
  <c r="P10" i="3"/>
  <c r="AD10" i="3"/>
  <c r="AC11" i="12"/>
  <c r="AC11" i="10"/>
  <c r="AC11" i="8"/>
  <c r="AC11" i="6"/>
  <c r="AC11" i="4"/>
  <c r="AC11" i="2"/>
  <c r="AC20" i="12"/>
  <c r="AC20" i="10"/>
  <c r="AC20" i="8"/>
  <c r="AC20" i="6"/>
  <c r="AC20" i="4"/>
  <c r="AC20" i="2"/>
  <c r="AC11" i="11"/>
  <c r="AC11" i="9"/>
  <c r="AC11" i="7"/>
  <c r="AC11" i="5"/>
  <c r="AC11" i="3"/>
  <c r="AC20" i="11"/>
  <c r="AC20" i="9"/>
  <c r="AC20" i="7"/>
  <c r="AC20" i="5"/>
  <c r="AC20" i="3"/>
  <c r="AC23" i="1"/>
  <c r="Y11" i="12"/>
  <c r="Y11" i="10"/>
  <c r="Y11" i="8"/>
  <c r="Y11" i="6"/>
  <c r="Y11" i="4"/>
  <c r="Y11" i="2"/>
  <c r="Y20" i="12"/>
  <c r="Y20" i="10"/>
  <c r="Y20" i="8"/>
  <c r="Y20" i="6"/>
  <c r="Y20" i="4"/>
  <c r="Y11" i="3"/>
  <c r="Y20" i="2"/>
  <c r="Y11" i="11"/>
  <c r="Y11" i="9"/>
  <c r="Y11" i="7"/>
  <c r="Y11" i="5"/>
  <c r="Y20" i="11"/>
  <c r="Y20" i="9"/>
  <c r="Y20" i="7"/>
  <c r="Y20" i="5"/>
  <c r="Y20" i="3"/>
  <c r="Y23" i="1"/>
  <c r="AA11" i="11"/>
  <c r="AA11" i="9"/>
  <c r="AA11" i="7"/>
  <c r="AA11" i="5"/>
  <c r="AA11" i="3"/>
  <c r="AA20" i="11"/>
  <c r="AA20" i="9"/>
  <c r="AA20" i="7"/>
  <c r="AA20" i="5"/>
  <c r="AA20" i="3"/>
  <c r="AA23" i="1"/>
  <c r="AA11" i="12"/>
  <c r="AA11" i="10"/>
  <c r="AA11" i="8"/>
  <c r="AA11" i="6"/>
  <c r="AA11" i="4"/>
  <c r="AA11" i="2"/>
  <c r="AA20" i="12"/>
  <c r="AA20" i="10"/>
  <c r="AA20" i="8"/>
  <c r="AA20" i="6"/>
  <c r="AA20" i="4"/>
  <c r="AA20" i="2"/>
  <c r="AB20" i="11"/>
  <c r="AB20" i="9"/>
  <c r="AB20" i="7"/>
  <c r="AB20" i="5"/>
  <c r="AB20" i="3"/>
  <c r="AB23" i="1"/>
  <c r="AB11" i="12"/>
  <c r="AB11" i="10"/>
  <c r="AB11" i="8"/>
  <c r="AB11" i="6"/>
  <c r="AB11" i="4"/>
  <c r="AB11" i="2"/>
  <c r="AB20" i="12"/>
  <c r="AB20" i="10"/>
  <c r="AB20" i="8"/>
  <c r="AB20" i="6"/>
  <c r="AB20" i="4"/>
  <c r="AB20" i="2"/>
  <c r="AB11" i="11"/>
  <c r="AB11" i="9"/>
  <c r="AB11" i="7"/>
  <c r="AB11" i="5"/>
  <c r="AB11" i="3"/>
  <c r="Z20" i="12"/>
  <c r="Z20" i="10"/>
  <c r="Z20" i="8"/>
  <c r="Z20" i="6"/>
  <c r="Z20" i="4"/>
  <c r="Z20" i="2"/>
  <c r="Z11" i="11"/>
  <c r="Z11" i="9"/>
  <c r="Z11" i="7"/>
  <c r="Z11" i="5"/>
  <c r="Z20" i="11"/>
  <c r="Z20" i="9"/>
  <c r="Z20" i="7"/>
  <c r="Z20" i="5"/>
  <c r="Z20" i="3"/>
  <c r="Z23" i="1"/>
  <c r="Z11" i="12"/>
  <c r="Z11" i="10"/>
  <c r="Z11" i="8"/>
  <c r="Z11" i="6"/>
  <c r="Z11" i="4"/>
  <c r="Z11" i="3"/>
  <c r="Z11" i="2"/>
  <c r="G18" i="2"/>
  <c r="P18" i="2" l="1"/>
  <c r="AD18" i="2" s="1"/>
  <c r="X18" i="2"/>
  <c r="G6" i="1"/>
  <c r="G7" i="1"/>
  <c r="G8" i="1"/>
  <c r="G9" i="1"/>
  <c r="G8" i="13" s="1"/>
  <c r="G10" i="1"/>
  <c r="G9" i="2"/>
  <c r="AJ64" i="13"/>
  <c r="X8" i="13" l="1"/>
  <c r="P8" i="13"/>
  <c r="AD8" i="13" s="1"/>
  <c r="P9" i="2"/>
  <c r="AD9" i="2" s="1"/>
  <c r="X9" i="2"/>
  <c r="X8" i="1"/>
  <c r="X7" i="1"/>
  <c r="X10" i="1"/>
  <c r="X6" i="1"/>
  <c r="X9" i="1"/>
  <c r="P9" i="1"/>
  <c r="AD9" i="1" s="1"/>
  <c r="P10" i="1"/>
  <c r="AD10" i="1" s="1"/>
  <c r="P8" i="1"/>
  <c r="AD8" i="1" s="1"/>
  <c r="P7" i="1"/>
  <c r="AD7" i="1" s="1"/>
  <c r="P6" i="1"/>
  <c r="AD6" i="1" s="1"/>
  <c r="E25" i="18"/>
  <c r="E24" i="18"/>
  <c r="E23" i="18"/>
  <c r="E22" i="18"/>
  <c r="E21" i="18"/>
  <c r="E20" i="18"/>
  <c r="E19" i="18"/>
  <c r="E18" i="18"/>
  <c r="E17" i="18"/>
  <c r="E16" i="18"/>
  <c r="E15" i="18"/>
  <c r="E14" i="18"/>
  <c r="E13" i="18"/>
  <c r="E12" i="18"/>
  <c r="E11" i="18"/>
  <c r="E10" i="18"/>
  <c r="E9" i="18"/>
  <c r="E8" i="18"/>
  <c r="E7" i="18"/>
  <c r="E6" i="18"/>
  <c r="E5" i="18"/>
  <c r="E4" i="18"/>
  <c r="E3" i="18"/>
  <c r="E2" i="18"/>
  <c r="AL5" i="13"/>
  <c r="AM5" i="13"/>
  <c r="AL6" i="13"/>
  <c r="AM6" i="13"/>
  <c r="AL7" i="13"/>
  <c r="AM7" i="13"/>
  <c r="AL8" i="13"/>
  <c r="AM8" i="13"/>
  <c r="AL9" i="13"/>
  <c r="AM9" i="13"/>
  <c r="AL10" i="13"/>
  <c r="AM10" i="13"/>
  <c r="AL11" i="13"/>
  <c r="AM11" i="13"/>
  <c r="AL12" i="13"/>
  <c r="AM12" i="13"/>
  <c r="AL13" i="13"/>
  <c r="AM13" i="13"/>
  <c r="AL14" i="13"/>
  <c r="AM14" i="13"/>
  <c r="AL15" i="13"/>
  <c r="AM15" i="13"/>
  <c r="AL16" i="13"/>
  <c r="AM16" i="13"/>
  <c r="AL17" i="13"/>
  <c r="AM17" i="13"/>
  <c r="AL18" i="13"/>
  <c r="AM18" i="13"/>
  <c r="AL19" i="13"/>
  <c r="AM19" i="13"/>
  <c r="AL20" i="13"/>
  <c r="AM20" i="13"/>
  <c r="AL21" i="13"/>
  <c r="AM21" i="13"/>
  <c r="AL22" i="13"/>
  <c r="AM22" i="13"/>
  <c r="AL23" i="13"/>
  <c r="AM23" i="13"/>
  <c r="AL24" i="13"/>
  <c r="AM24" i="13"/>
  <c r="AL25" i="13"/>
  <c r="AM25" i="13"/>
  <c r="AL26" i="13"/>
  <c r="AM26" i="13"/>
  <c r="AL27" i="13"/>
  <c r="AM27" i="13"/>
  <c r="AL28" i="13"/>
  <c r="AM28" i="13"/>
  <c r="AL29" i="13"/>
  <c r="AM29" i="13"/>
  <c r="AL30" i="13"/>
  <c r="AM30" i="13"/>
  <c r="AL31" i="13"/>
  <c r="AM31" i="13"/>
  <c r="AL32" i="13"/>
  <c r="AM32" i="13"/>
  <c r="AL33" i="13"/>
  <c r="AM33" i="13"/>
  <c r="AL34" i="13"/>
  <c r="AM34" i="13"/>
  <c r="AL35" i="13"/>
  <c r="AM35" i="13"/>
  <c r="AL36" i="13"/>
  <c r="AM36" i="13"/>
  <c r="AL37" i="13"/>
  <c r="AM37" i="13"/>
  <c r="AL38" i="13"/>
  <c r="AM38" i="13"/>
  <c r="AL39" i="13"/>
  <c r="AM39" i="13"/>
  <c r="AL40" i="13"/>
  <c r="AM40" i="13"/>
  <c r="AL41" i="13"/>
  <c r="AM41" i="13"/>
  <c r="AL42" i="13"/>
  <c r="AM42" i="13"/>
  <c r="AL43" i="13"/>
  <c r="AM43" i="13"/>
  <c r="AL44" i="13"/>
  <c r="AM44" i="13"/>
  <c r="AL45" i="13"/>
  <c r="AM45" i="13"/>
  <c r="AL46" i="13"/>
  <c r="AM46" i="13"/>
  <c r="AL47" i="13"/>
  <c r="AM47" i="13"/>
  <c r="AL48" i="13"/>
  <c r="AM48" i="13"/>
  <c r="AL49" i="13"/>
  <c r="AM49" i="13"/>
  <c r="AL50" i="13"/>
  <c r="AM50" i="13"/>
  <c r="AL51" i="13"/>
  <c r="AM51" i="13"/>
  <c r="AL52" i="13"/>
  <c r="AM52" i="13"/>
  <c r="AL53" i="13"/>
  <c r="AM53" i="13"/>
  <c r="AL54" i="13"/>
  <c r="AM54" i="13"/>
  <c r="AL55" i="13"/>
  <c r="AM55" i="13"/>
  <c r="AL56" i="13"/>
  <c r="AM56" i="13"/>
  <c r="AL57" i="13"/>
  <c r="AM57" i="13"/>
  <c r="AL58" i="13"/>
  <c r="AM58" i="13"/>
  <c r="AL59" i="13"/>
  <c r="AM59" i="13"/>
  <c r="AL60" i="13"/>
  <c r="AM60" i="13"/>
  <c r="AL61" i="13"/>
  <c r="AM61" i="13"/>
  <c r="AL62" i="13"/>
  <c r="AM62" i="13"/>
  <c r="AL63" i="13"/>
  <c r="AM63" i="13"/>
  <c r="AL64" i="13"/>
  <c r="AM64" i="13"/>
  <c r="P65" i="13"/>
  <c r="AD12" i="1" l="1"/>
  <c r="X11" i="1"/>
  <c r="X12" i="1"/>
  <c r="AD11" i="1"/>
  <c r="G15" i="12"/>
  <c r="X15" i="12" s="1"/>
  <c r="G16" i="12"/>
  <c r="X16" i="12" s="1"/>
  <c r="G17" i="12"/>
  <c r="X17" i="12" s="1"/>
  <c r="G6" i="12"/>
  <c r="X6" i="12" s="1"/>
  <c r="G7" i="12"/>
  <c r="X7" i="12" s="1"/>
  <c r="G8" i="12"/>
  <c r="X8" i="12" s="1"/>
  <c r="G15" i="11"/>
  <c r="X15" i="11" s="1"/>
  <c r="G16" i="11"/>
  <c r="X16" i="11" s="1"/>
  <c r="G17" i="11"/>
  <c r="X17" i="11" s="1"/>
  <c r="G6" i="11"/>
  <c r="X6" i="11" s="1"/>
  <c r="G7" i="11"/>
  <c r="X7" i="11" s="1"/>
  <c r="G8" i="11"/>
  <c r="X8" i="11" s="1"/>
  <c r="G15" i="10"/>
  <c r="X15" i="10" s="1"/>
  <c r="G16" i="10"/>
  <c r="X16" i="10" s="1"/>
  <c r="G17" i="10"/>
  <c r="X17" i="10" s="1"/>
  <c r="G6" i="10"/>
  <c r="X6" i="10" s="1"/>
  <c r="G7" i="10"/>
  <c r="X7" i="10" s="1"/>
  <c r="G8" i="10"/>
  <c r="X8" i="10" s="1"/>
  <c r="G15" i="9"/>
  <c r="X15" i="9" s="1"/>
  <c r="G16" i="9"/>
  <c r="X16" i="9" s="1"/>
  <c r="G17" i="9"/>
  <c r="X17" i="9" s="1"/>
  <c r="G6" i="9"/>
  <c r="X6" i="9" s="1"/>
  <c r="G7" i="9"/>
  <c r="X7" i="9" s="1"/>
  <c r="G8" i="9"/>
  <c r="X8" i="9" s="1"/>
  <c r="G15" i="8"/>
  <c r="X15" i="8" s="1"/>
  <c r="G16" i="8"/>
  <c r="X16" i="8" s="1"/>
  <c r="G17" i="8"/>
  <c r="X17" i="8" s="1"/>
  <c r="G6" i="8"/>
  <c r="X6" i="8" s="1"/>
  <c r="G7" i="8"/>
  <c r="X7" i="8" s="1"/>
  <c r="G8" i="8"/>
  <c r="X8" i="8" s="1"/>
  <c r="G15" i="7"/>
  <c r="X15" i="7" s="1"/>
  <c r="G16" i="7"/>
  <c r="X16" i="7" s="1"/>
  <c r="G17" i="7"/>
  <c r="X17" i="7" s="1"/>
  <c r="G6" i="7"/>
  <c r="X6" i="7" s="1"/>
  <c r="G7" i="7"/>
  <c r="X7" i="7" s="1"/>
  <c r="G8" i="7"/>
  <c r="X8" i="7" s="1"/>
  <c r="G15" i="6"/>
  <c r="X15" i="6" s="1"/>
  <c r="G16" i="6"/>
  <c r="X16" i="6" s="1"/>
  <c r="G17" i="6"/>
  <c r="X17" i="6" s="1"/>
  <c r="G6" i="6"/>
  <c r="X6" i="6" s="1"/>
  <c r="G7" i="6"/>
  <c r="X7" i="6" s="1"/>
  <c r="G8" i="6"/>
  <c r="X8" i="6" s="1"/>
  <c r="G15" i="5"/>
  <c r="X15" i="5" s="1"/>
  <c r="G16" i="5"/>
  <c r="X16" i="5" s="1"/>
  <c r="G17" i="5"/>
  <c r="X17" i="5" s="1"/>
  <c r="G6" i="5"/>
  <c r="X6" i="5" s="1"/>
  <c r="G7" i="5"/>
  <c r="X7" i="5" s="1"/>
  <c r="G8" i="5"/>
  <c r="X8" i="5" s="1"/>
  <c r="G15" i="4"/>
  <c r="X15" i="4" s="1"/>
  <c r="G16" i="4"/>
  <c r="X16" i="4" s="1"/>
  <c r="G17" i="4"/>
  <c r="X17" i="4" s="1"/>
  <c r="G6" i="4"/>
  <c r="X6" i="4" s="1"/>
  <c r="G7" i="4"/>
  <c r="X7" i="4" s="1"/>
  <c r="G8" i="4"/>
  <c r="X8" i="4" s="1"/>
  <c r="G15" i="3"/>
  <c r="G16" i="3"/>
  <c r="G17" i="3"/>
  <c r="G15" i="2"/>
  <c r="G16" i="2"/>
  <c r="G17" i="2"/>
  <c r="G6" i="2"/>
  <c r="X6" i="2" s="1"/>
  <c r="G7" i="2"/>
  <c r="G8" i="2"/>
  <c r="G16" i="1"/>
  <c r="G17" i="1"/>
  <c r="G5" i="13" s="1"/>
  <c r="G18" i="1"/>
  <c r="G19" i="1"/>
  <c r="G7" i="13" s="1"/>
  <c r="G4" i="13" l="1"/>
  <c r="X4" i="13" s="1"/>
  <c r="G6" i="13"/>
  <c r="X6" i="13" s="1"/>
  <c r="X7" i="13"/>
  <c r="P7" i="13"/>
  <c r="AD7" i="13" s="1"/>
  <c r="X5" i="13"/>
  <c r="P5" i="13"/>
  <c r="AD5" i="13" s="1"/>
  <c r="X16" i="1"/>
  <c r="X18" i="1"/>
  <c r="X19" i="1"/>
  <c r="X17" i="1"/>
  <c r="X16" i="3"/>
  <c r="X17" i="3"/>
  <c r="X15" i="3"/>
  <c r="P7" i="12"/>
  <c r="AD7" i="12" s="1"/>
  <c r="X10" i="12"/>
  <c r="P15" i="12"/>
  <c r="AD15" i="12" s="1"/>
  <c r="P17" i="12"/>
  <c r="AD17" i="12" s="1"/>
  <c r="P16" i="12"/>
  <c r="AD16" i="12" s="1"/>
  <c r="P17" i="11"/>
  <c r="AD17" i="11" s="1"/>
  <c r="P8" i="11"/>
  <c r="AD8" i="11" s="1"/>
  <c r="P16" i="11"/>
  <c r="AD16" i="11" s="1"/>
  <c r="P7" i="11"/>
  <c r="AD7" i="11" s="1"/>
  <c r="P15" i="11"/>
  <c r="AD15" i="11" s="1"/>
  <c r="X19" i="11"/>
  <c r="P6" i="11"/>
  <c r="P7" i="10"/>
  <c r="AD7" i="10" s="1"/>
  <c r="P15" i="10"/>
  <c r="AD15" i="10" s="1"/>
  <c r="P6" i="10"/>
  <c r="AD6" i="10" s="1"/>
  <c r="P17" i="10"/>
  <c r="AD17" i="10" s="1"/>
  <c r="P8" i="10"/>
  <c r="AD8" i="10" s="1"/>
  <c r="P16" i="10"/>
  <c r="AD16" i="10" s="1"/>
  <c r="P17" i="9"/>
  <c r="AD17" i="9" s="1"/>
  <c r="P8" i="9"/>
  <c r="AD8" i="9" s="1"/>
  <c r="P16" i="9"/>
  <c r="AD16" i="9" s="1"/>
  <c r="P7" i="9"/>
  <c r="AD7" i="9" s="1"/>
  <c r="P15" i="9"/>
  <c r="AD15" i="9" s="1"/>
  <c r="P6" i="9"/>
  <c r="X10" i="9"/>
  <c r="P7" i="8"/>
  <c r="AD7" i="8" s="1"/>
  <c r="P15" i="8"/>
  <c r="AD15" i="8" s="1"/>
  <c r="P6" i="8"/>
  <c r="AD6" i="8" s="1"/>
  <c r="P17" i="8"/>
  <c r="AD17" i="8" s="1"/>
  <c r="P8" i="8"/>
  <c r="AD8" i="8" s="1"/>
  <c r="P16" i="8"/>
  <c r="AD16" i="8" s="1"/>
  <c r="P17" i="7"/>
  <c r="AD17" i="7" s="1"/>
  <c r="P8" i="7"/>
  <c r="AD8" i="7" s="1"/>
  <c r="P16" i="7"/>
  <c r="AD16" i="7" s="1"/>
  <c r="P7" i="7"/>
  <c r="AD7" i="7" s="1"/>
  <c r="P15" i="7"/>
  <c r="AD15" i="7" s="1"/>
  <c r="P6" i="7"/>
  <c r="AD6" i="7" s="1"/>
  <c r="P16" i="6"/>
  <c r="AD16" i="6" s="1"/>
  <c r="P7" i="6"/>
  <c r="AD7" i="6" s="1"/>
  <c r="P15" i="6"/>
  <c r="AD15" i="6" s="1"/>
  <c r="P6" i="6"/>
  <c r="AD6" i="6" s="1"/>
  <c r="P17" i="6"/>
  <c r="AD17" i="6" s="1"/>
  <c r="P8" i="6"/>
  <c r="AD8" i="6" s="1"/>
  <c r="P17" i="5"/>
  <c r="AD17" i="5" s="1"/>
  <c r="P8" i="5"/>
  <c r="AD8" i="5" s="1"/>
  <c r="P16" i="5"/>
  <c r="AD16" i="5" s="1"/>
  <c r="P7" i="5"/>
  <c r="AD7" i="5" s="1"/>
  <c r="P15" i="5"/>
  <c r="AD15" i="5" s="1"/>
  <c r="P6" i="5"/>
  <c r="X10" i="5"/>
  <c r="P7" i="4"/>
  <c r="AD7" i="4" s="1"/>
  <c r="P15" i="4"/>
  <c r="AD15" i="4" s="1"/>
  <c r="P6" i="4"/>
  <c r="AD6" i="4" s="1"/>
  <c r="P17" i="4"/>
  <c r="AD17" i="4" s="1"/>
  <c r="P8" i="4"/>
  <c r="AD8" i="4" s="1"/>
  <c r="P16" i="4"/>
  <c r="AD16" i="4" s="1"/>
  <c r="P17" i="3"/>
  <c r="AD17" i="3" s="1"/>
  <c r="P16" i="3"/>
  <c r="AD16" i="3" s="1"/>
  <c r="P15" i="3"/>
  <c r="AD15" i="3" s="1"/>
  <c r="P8" i="2"/>
  <c r="AD8" i="2" s="1"/>
  <c r="X8" i="2"/>
  <c r="P6" i="2"/>
  <c r="AD6" i="2" s="1"/>
  <c r="P17" i="2"/>
  <c r="AD17" i="2" s="1"/>
  <c r="X17" i="2"/>
  <c r="P16" i="2"/>
  <c r="AD16" i="2" s="1"/>
  <c r="X16" i="2"/>
  <c r="P7" i="2"/>
  <c r="AD7" i="2" s="1"/>
  <c r="X7" i="2"/>
  <c r="P15" i="2"/>
  <c r="AD15" i="2" s="1"/>
  <c r="X15" i="2"/>
  <c r="P6" i="12"/>
  <c r="AD6" i="12" s="1"/>
  <c r="P8" i="12"/>
  <c r="AD8" i="12" s="1"/>
  <c r="P19" i="1"/>
  <c r="AD19" i="1" s="1"/>
  <c r="P18" i="1"/>
  <c r="AD18" i="1" s="1"/>
  <c r="P17" i="1"/>
  <c r="AD17" i="1" s="1"/>
  <c r="P16" i="1"/>
  <c r="AD16" i="1" s="1"/>
  <c r="AM4" i="13"/>
  <c r="AL4" i="13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P4" i="13" l="1"/>
  <c r="AD4" i="13" s="1"/>
  <c r="P6" i="13"/>
  <c r="AD6" i="13" s="1"/>
  <c r="AD6" i="11"/>
  <c r="AD10" i="11" s="1"/>
  <c r="AD6" i="9"/>
  <c r="AD10" i="9" s="1"/>
  <c r="AD6" i="5"/>
  <c r="AD10" i="5" s="1"/>
  <c r="X10" i="11"/>
  <c r="AD10" i="7"/>
  <c r="AD19" i="12"/>
  <c r="AD19" i="10"/>
  <c r="AD19" i="8"/>
  <c r="AD19" i="6"/>
  <c r="AD19" i="4"/>
  <c r="AD19" i="11"/>
  <c r="AD19" i="9"/>
  <c r="AD19" i="7"/>
  <c r="AD19" i="5"/>
  <c r="X19" i="7"/>
  <c r="X19" i="9"/>
  <c r="X10" i="7"/>
  <c r="X19" i="3"/>
  <c r="X10" i="2"/>
  <c r="X19" i="5"/>
  <c r="X19" i="2"/>
  <c r="AD19" i="3"/>
  <c r="AD19" i="2"/>
  <c r="X22" i="1"/>
  <c r="AD10" i="12"/>
  <c r="X19" i="12"/>
  <c r="X19" i="10"/>
  <c r="X10" i="10"/>
  <c r="AD10" i="10"/>
  <c r="X19" i="8"/>
  <c r="X10" i="8"/>
  <c r="AD10" i="8"/>
  <c r="X10" i="6"/>
  <c r="AD10" i="6"/>
  <c r="X19" i="6"/>
  <c r="X19" i="4"/>
  <c r="X10" i="4"/>
  <c r="AD10" i="4"/>
  <c r="AD10" i="2"/>
  <c r="B20" i="19"/>
  <c r="AD22" i="1" l="1"/>
  <c r="AD20" i="4" s="1"/>
  <c r="X11" i="2"/>
  <c r="X11" i="5"/>
  <c r="X11" i="7"/>
  <c r="X11" i="12"/>
  <c r="X20" i="10"/>
  <c r="X20" i="4"/>
  <c r="X20" i="8"/>
  <c r="X23" i="1"/>
  <c r="X20" i="3"/>
  <c r="X11" i="6"/>
  <c r="X11" i="8"/>
  <c r="X20" i="5"/>
  <c r="X11" i="4"/>
  <c r="X11" i="3"/>
  <c r="X20" i="9"/>
  <c r="X11" i="11"/>
  <c r="X11" i="9"/>
  <c r="X20" i="6"/>
  <c r="X20" i="2"/>
  <c r="X20" i="7"/>
  <c r="X20" i="11"/>
  <c r="X11" i="10"/>
  <c r="X20" i="12"/>
  <c r="B12" i="12"/>
  <c r="B3" i="12"/>
  <c r="B12" i="11"/>
  <c r="B3" i="11"/>
  <c r="B12" i="10"/>
  <c r="B3" i="10"/>
  <c r="B12" i="9"/>
  <c r="B3" i="9"/>
  <c r="B12" i="8"/>
  <c r="B3" i="8"/>
  <c r="B12" i="7"/>
  <c r="B3" i="7"/>
  <c r="B12" i="6"/>
  <c r="B3" i="6"/>
  <c r="B12" i="5"/>
  <c r="B3" i="5"/>
  <c r="B12" i="4"/>
  <c r="B3" i="4"/>
  <c r="B12" i="3"/>
  <c r="B3" i="3"/>
  <c r="B12" i="2"/>
  <c r="B3" i="2"/>
  <c r="AD20" i="11" l="1"/>
  <c r="AD11" i="5"/>
  <c r="AD20" i="6"/>
  <c r="AD11" i="10"/>
  <c r="AD11" i="8"/>
  <c r="AD20" i="8"/>
  <c r="AD23" i="1"/>
  <c r="AD20" i="12"/>
  <c r="AD11" i="9"/>
  <c r="AD20" i="5"/>
  <c r="AD11" i="4"/>
  <c r="AD20" i="2"/>
  <c r="AD20" i="9"/>
  <c r="AD11" i="12"/>
  <c r="AD20" i="10"/>
  <c r="AD11" i="7"/>
  <c r="AD11" i="3"/>
  <c r="AD20" i="3"/>
  <c r="AD11" i="2"/>
  <c r="AD11" i="11"/>
  <c r="AD20" i="7"/>
  <c r="AD11" i="6"/>
  <c r="F19" i="12"/>
  <c r="F10" i="12"/>
  <c r="F19" i="11"/>
  <c r="F10" i="11"/>
  <c r="F19" i="10"/>
  <c r="F10" i="10"/>
  <c r="F19" i="9"/>
  <c r="F10" i="9"/>
  <c r="F19" i="8"/>
  <c r="F10" i="8"/>
  <c r="F19" i="7"/>
  <c r="F10" i="7"/>
  <c r="F19" i="6"/>
  <c r="F10" i="6"/>
  <c r="F10" i="5"/>
  <c r="F19" i="5"/>
  <c r="F19" i="4"/>
  <c r="F10" i="4"/>
  <c r="F19" i="3"/>
  <c r="F19" i="2"/>
  <c r="F10" i="2"/>
  <c r="F22" i="1"/>
  <c r="F11" i="1"/>
  <c r="C19" i="3" l="1"/>
  <c r="G19" i="3" l="1"/>
  <c r="G22" i="1" l="1"/>
  <c r="G10" i="2"/>
  <c r="G19" i="2"/>
  <c r="G11" i="1"/>
  <c r="G68" i="13" l="1"/>
  <c r="G70" i="13"/>
  <c r="G72" i="13"/>
  <c r="G74" i="13"/>
  <c r="G19" i="4"/>
  <c r="C10" i="4"/>
  <c r="E10" i="4"/>
  <c r="H10" i="4"/>
  <c r="I10" i="4"/>
  <c r="J10" i="4"/>
  <c r="K10" i="4"/>
  <c r="L10" i="4"/>
  <c r="M10" i="4"/>
  <c r="N10" i="4"/>
  <c r="O10" i="4"/>
  <c r="P10" i="4" l="1"/>
  <c r="G10" i="4"/>
  <c r="O19" i="12" l="1"/>
  <c r="N19" i="12"/>
  <c r="M19" i="12"/>
  <c r="L19" i="12"/>
  <c r="K19" i="12"/>
  <c r="J19" i="12"/>
  <c r="I19" i="12"/>
  <c r="H19" i="12"/>
  <c r="E19" i="12"/>
  <c r="C19" i="12"/>
  <c r="O10" i="12"/>
  <c r="N10" i="12"/>
  <c r="M10" i="12"/>
  <c r="L10" i="12"/>
  <c r="K10" i="12"/>
  <c r="J10" i="12"/>
  <c r="I10" i="12"/>
  <c r="H10" i="12"/>
  <c r="E10" i="12"/>
  <c r="C10" i="12"/>
  <c r="O19" i="11"/>
  <c r="N19" i="11"/>
  <c r="M19" i="11"/>
  <c r="L19" i="11"/>
  <c r="K19" i="11"/>
  <c r="J19" i="11"/>
  <c r="I19" i="11"/>
  <c r="H19" i="11"/>
  <c r="E19" i="11"/>
  <c r="C19" i="11"/>
  <c r="O10" i="11"/>
  <c r="N10" i="11"/>
  <c r="M10" i="11"/>
  <c r="L10" i="11"/>
  <c r="K10" i="11"/>
  <c r="J10" i="11"/>
  <c r="I10" i="11"/>
  <c r="H10" i="11"/>
  <c r="E10" i="11"/>
  <c r="C10" i="11"/>
  <c r="O19" i="10"/>
  <c r="N19" i="10"/>
  <c r="M19" i="10"/>
  <c r="L19" i="10"/>
  <c r="K19" i="10"/>
  <c r="J19" i="10"/>
  <c r="I19" i="10"/>
  <c r="H19" i="10"/>
  <c r="E19" i="10"/>
  <c r="C19" i="10"/>
  <c r="O10" i="10"/>
  <c r="N10" i="10"/>
  <c r="M10" i="10"/>
  <c r="L10" i="10"/>
  <c r="K10" i="10"/>
  <c r="J10" i="10"/>
  <c r="I10" i="10"/>
  <c r="H10" i="10"/>
  <c r="E10" i="10"/>
  <c r="C10" i="10"/>
  <c r="O19" i="9"/>
  <c r="N19" i="9"/>
  <c r="M19" i="9"/>
  <c r="L19" i="9"/>
  <c r="K19" i="9"/>
  <c r="J19" i="9"/>
  <c r="I19" i="9"/>
  <c r="H19" i="9"/>
  <c r="E19" i="9"/>
  <c r="C19" i="9"/>
  <c r="O10" i="9"/>
  <c r="N10" i="9"/>
  <c r="M10" i="9"/>
  <c r="L10" i="9"/>
  <c r="K10" i="9"/>
  <c r="J10" i="9"/>
  <c r="I10" i="9"/>
  <c r="H10" i="9"/>
  <c r="E10" i="9"/>
  <c r="C10" i="9"/>
  <c r="O19" i="8"/>
  <c r="N19" i="8"/>
  <c r="M19" i="8"/>
  <c r="L19" i="8"/>
  <c r="K19" i="8"/>
  <c r="J19" i="8"/>
  <c r="I19" i="8"/>
  <c r="H19" i="8"/>
  <c r="E19" i="8"/>
  <c r="C19" i="8"/>
  <c r="O10" i="8"/>
  <c r="N10" i="8"/>
  <c r="M10" i="8"/>
  <c r="L10" i="8"/>
  <c r="K10" i="8"/>
  <c r="J10" i="8"/>
  <c r="I10" i="8"/>
  <c r="H10" i="8"/>
  <c r="E10" i="8"/>
  <c r="C10" i="8"/>
  <c r="O19" i="7"/>
  <c r="N19" i="7"/>
  <c r="M19" i="7"/>
  <c r="L19" i="7"/>
  <c r="K19" i="7"/>
  <c r="J19" i="7"/>
  <c r="I19" i="7"/>
  <c r="H19" i="7"/>
  <c r="E19" i="7"/>
  <c r="C19" i="7"/>
  <c r="O10" i="7"/>
  <c r="N10" i="7"/>
  <c r="M10" i="7"/>
  <c r="L10" i="7"/>
  <c r="K10" i="7"/>
  <c r="J10" i="7"/>
  <c r="I10" i="7"/>
  <c r="H10" i="7"/>
  <c r="E10" i="7"/>
  <c r="C10" i="7"/>
  <c r="O19" i="6"/>
  <c r="N19" i="6"/>
  <c r="M19" i="6"/>
  <c r="L19" i="6"/>
  <c r="K19" i="6"/>
  <c r="J19" i="6"/>
  <c r="I19" i="6"/>
  <c r="H19" i="6"/>
  <c r="E19" i="6"/>
  <c r="C19" i="6"/>
  <c r="O10" i="6"/>
  <c r="N10" i="6"/>
  <c r="M10" i="6"/>
  <c r="L10" i="6"/>
  <c r="K10" i="6"/>
  <c r="J10" i="6"/>
  <c r="I10" i="6"/>
  <c r="H10" i="6"/>
  <c r="E10" i="6"/>
  <c r="C10" i="6"/>
  <c r="O19" i="5"/>
  <c r="N19" i="5"/>
  <c r="M19" i="5"/>
  <c r="L19" i="5"/>
  <c r="K19" i="5"/>
  <c r="J19" i="5"/>
  <c r="I19" i="5"/>
  <c r="H19" i="5"/>
  <c r="E19" i="5"/>
  <c r="C19" i="5"/>
  <c r="O10" i="5"/>
  <c r="N10" i="5"/>
  <c r="M10" i="5"/>
  <c r="L10" i="5"/>
  <c r="K10" i="5"/>
  <c r="J10" i="5"/>
  <c r="I10" i="5"/>
  <c r="H10" i="5"/>
  <c r="E10" i="5"/>
  <c r="C10" i="5"/>
  <c r="O19" i="4"/>
  <c r="N19" i="4"/>
  <c r="M19" i="4"/>
  <c r="L19" i="4"/>
  <c r="K19" i="4"/>
  <c r="J19" i="4"/>
  <c r="I19" i="4"/>
  <c r="H19" i="4"/>
  <c r="E19" i="4"/>
  <c r="C19" i="4"/>
  <c r="O19" i="3"/>
  <c r="N19" i="3"/>
  <c r="M19" i="3"/>
  <c r="L19" i="3"/>
  <c r="K19" i="3"/>
  <c r="J19" i="3"/>
  <c r="I19" i="3"/>
  <c r="H19" i="3"/>
  <c r="E19" i="3"/>
  <c r="P19" i="3"/>
  <c r="O19" i="2"/>
  <c r="N19" i="2"/>
  <c r="M19" i="2"/>
  <c r="L19" i="2"/>
  <c r="K19" i="2"/>
  <c r="J19" i="2"/>
  <c r="I19" i="2"/>
  <c r="H19" i="2"/>
  <c r="E19" i="2"/>
  <c r="C19" i="2"/>
  <c r="O10" i="2"/>
  <c r="N10" i="2"/>
  <c r="M10" i="2"/>
  <c r="L10" i="2"/>
  <c r="K10" i="2"/>
  <c r="J10" i="2"/>
  <c r="I10" i="2"/>
  <c r="H10" i="2"/>
  <c r="E10" i="2"/>
  <c r="C10" i="2"/>
  <c r="P10" i="2"/>
  <c r="I70" i="13" l="1"/>
  <c r="E80" i="13"/>
  <c r="J80" i="13"/>
  <c r="N80" i="13"/>
  <c r="Z80" i="13" s="1"/>
  <c r="N84" i="13"/>
  <c r="Z84" i="13" s="1"/>
  <c r="E82" i="13"/>
  <c r="J82" i="13"/>
  <c r="E90" i="13"/>
  <c r="J90" i="13"/>
  <c r="N90" i="13"/>
  <c r="Z90" i="13" s="1"/>
  <c r="E88" i="13"/>
  <c r="J88" i="13"/>
  <c r="N88" i="13"/>
  <c r="Z88" i="13" s="1"/>
  <c r="N82" i="13"/>
  <c r="Z82" i="13" s="1"/>
  <c r="F84" i="13"/>
  <c r="K84" i="13"/>
  <c r="F90" i="13"/>
  <c r="O88" i="13"/>
  <c r="AC88" i="13" s="1"/>
  <c r="M70" i="13"/>
  <c r="AA70" i="13" s="1"/>
  <c r="M78" i="13"/>
  <c r="AA78" i="13" s="1"/>
  <c r="M84" i="13"/>
  <c r="AA84" i="13" s="1"/>
  <c r="M88" i="13"/>
  <c r="AA88" i="13" s="1"/>
  <c r="M90" i="13"/>
  <c r="AA90" i="13" s="1"/>
  <c r="F88" i="13"/>
  <c r="J78" i="13"/>
  <c r="N78" i="13"/>
  <c r="Z78" i="13" s="1"/>
  <c r="E78" i="13"/>
  <c r="I80" i="13"/>
  <c r="H86" i="13"/>
  <c r="L86" i="13"/>
  <c r="AB86" i="13" s="1"/>
  <c r="F82" i="13"/>
  <c r="M80" i="13"/>
  <c r="AA80" i="13" s="1"/>
  <c r="F86" i="13"/>
  <c r="O82" i="13"/>
  <c r="AC82" i="13" s="1"/>
  <c r="I90" i="13"/>
  <c r="E84" i="13"/>
  <c r="J84" i="13"/>
  <c r="I84" i="13"/>
  <c r="O78" i="13"/>
  <c r="AC78" i="13" s="1"/>
  <c r="M76" i="13"/>
  <c r="AA76" i="13" s="1"/>
  <c r="L70" i="13"/>
  <c r="AB70" i="13" s="1"/>
  <c r="O84" i="13"/>
  <c r="AC84" i="13" s="1"/>
  <c r="O90" i="13"/>
  <c r="AC90" i="13" s="1"/>
  <c r="H88" i="13"/>
  <c r="L88" i="13"/>
  <c r="AB88" i="13" s="1"/>
  <c r="H82" i="13"/>
  <c r="L82" i="13"/>
  <c r="AB82" i="13" s="1"/>
  <c r="M82" i="13"/>
  <c r="AA82" i="13" s="1"/>
  <c r="F78" i="13"/>
  <c r="I76" i="13"/>
  <c r="K86" i="13"/>
  <c r="O86" i="13"/>
  <c r="AC86" i="13" s="1"/>
  <c r="E76" i="13"/>
  <c r="J76" i="13"/>
  <c r="N76" i="13"/>
  <c r="Z76" i="13" s="1"/>
  <c r="F76" i="13"/>
  <c r="O76" i="13"/>
  <c r="AC76" i="13" s="1"/>
  <c r="L80" i="13"/>
  <c r="AB80" i="13" s="1"/>
  <c r="H80" i="13"/>
  <c r="K76" i="13"/>
  <c r="H78" i="13"/>
  <c r="L78" i="13"/>
  <c r="AB78" i="13" s="1"/>
  <c r="H76" i="13"/>
  <c r="L76" i="13"/>
  <c r="AB76" i="13" s="1"/>
  <c r="H70" i="13"/>
  <c r="X70" i="13" s="1"/>
  <c r="K90" i="13"/>
  <c r="H90" i="13"/>
  <c r="L90" i="13"/>
  <c r="AB90" i="13" s="1"/>
  <c r="I88" i="13"/>
  <c r="K88" i="13"/>
  <c r="E86" i="13"/>
  <c r="J86" i="13"/>
  <c r="N86" i="13"/>
  <c r="Z86" i="13" s="1"/>
  <c r="I86" i="13"/>
  <c r="M86" i="13"/>
  <c r="AA86" i="13" s="1"/>
  <c r="H84" i="13"/>
  <c r="L84" i="13"/>
  <c r="AB84" i="13" s="1"/>
  <c r="I82" i="13"/>
  <c r="K82" i="13"/>
  <c r="Y82" i="13" s="1"/>
  <c r="O80" i="13"/>
  <c r="AC80" i="13" s="1"/>
  <c r="K80" i="13"/>
  <c r="F80" i="13"/>
  <c r="I78" i="13"/>
  <c r="K78" i="13"/>
  <c r="H74" i="13"/>
  <c r="X74" i="13" s="1"/>
  <c r="H72" i="13"/>
  <c r="X72" i="13" s="1"/>
  <c r="I72" i="13"/>
  <c r="I74" i="13"/>
  <c r="M72" i="13"/>
  <c r="AA72" i="13" s="1"/>
  <c r="M74" i="13"/>
  <c r="AA74" i="13" s="1"/>
  <c r="E72" i="13"/>
  <c r="E74" i="13"/>
  <c r="J72" i="13"/>
  <c r="J74" i="13"/>
  <c r="N72" i="13"/>
  <c r="Z72" i="13" s="1"/>
  <c r="N74" i="13"/>
  <c r="Z74" i="13" s="1"/>
  <c r="L72" i="13"/>
  <c r="AB72" i="13" s="1"/>
  <c r="L74" i="13"/>
  <c r="AB74" i="13" s="1"/>
  <c r="F72" i="13"/>
  <c r="F74" i="13"/>
  <c r="K72" i="13"/>
  <c r="K74" i="13"/>
  <c r="O72" i="13"/>
  <c r="AC72" i="13" s="1"/>
  <c r="O74" i="13"/>
  <c r="AC74" i="13" s="1"/>
  <c r="N70" i="13"/>
  <c r="Z70" i="13" s="1"/>
  <c r="E70" i="13"/>
  <c r="J70" i="13"/>
  <c r="K70" i="13"/>
  <c r="O70" i="13"/>
  <c r="AC70" i="13" s="1"/>
  <c r="F70" i="13"/>
  <c r="G10" i="12"/>
  <c r="P10" i="12"/>
  <c r="G19" i="12"/>
  <c r="P19" i="12"/>
  <c r="P10" i="11"/>
  <c r="G10" i="11"/>
  <c r="P19" i="11"/>
  <c r="G19" i="11"/>
  <c r="G10" i="10"/>
  <c r="P10" i="10"/>
  <c r="G19" i="10"/>
  <c r="P19" i="10"/>
  <c r="P10" i="9"/>
  <c r="G10" i="9"/>
  <c r="P19" i="9"/>
  <c r="G19" i="9"/>
  <c r="P10" i="8"/>
  <c r="G10" i="8"/>
  <c r="G19" i="8"/>
  <c r="P19" i="8"/>
  <c r="P10" i="7"/>
  <c r="G10" i="7"/>
  <c r="P19" i="7"/>
  <c r="G19" i="7"/>
  <c r="P10" i="6"/>
  <c r="G10" i="6"/>
  <c r="P19" i="6"/>
  <c r="G19" i="6"/>
  <c r="P10" i="5"/>
  <c r="G10" i="5"/>
  <c r="G19" i="5"/>
  <c r="P19" i="5"/>
  <c r="P19" i="2"/>
  <c r="P19" i="4"/>
  <c r="O22" i="1"/>
  <c r="N22" i="1"/>
  <c r="M22" i="1"/>
  <c r="L22" i="1"/>
  <c r="K22" i="1"/>
  <c r="J22" i="1"/>
  <c r="I22" i="1"/>
  <c r="H22" i="1"/>
  <c r="E22" i="1"/>
  <c r="C22" i="1"/>
  <c r="O11" i="1"/>
  <c r="N11" i="1"/>
  <c r="M11" i="1"/>
  <c r="L11" i="1"/>
  <c r="K11" i="1"/>
  <c r="J11" i="1"/>
  <c r="I11" i="1"/>
  <c r="H11" i="1"/>
  <c r="E11" i="1"/>
  <c r="C11" i="1"/>
  <c r="B13" i="1"/>
  <c r="B3" i="1"/>
  <c r="Y80" i="13" l="1"/>
  <c r="Y90" i="13"/>
  <c r="Y88" i="13"/>
  <c r="Y84" i="13"/>
  <c r="Y86" i="13"/>
  <c r="Y78" i="13"/>
  <c r="Y76" i="13"/>
  <c r="Y74" i="13"/>
  <c r="Y72" i="13"/>
  <c r="Y70" i="13"/>
  <c r="K68" i="13"/>
  <c r="K92" i="13" s="1"/>
  <c r="F68" i="13"/>
  <c r="F92" i="13" s="1"/>
  <c r="O68" i="13"/>
  <c r="G90" i="13"/>
  <c r="N68" i="13"/>
  <c r="H68" i="13"/>
  <c r="L68" i="13"/>
  <c r="I68" i="13"/>
  <c r="I92" i="13" s="1"/>
  <c r="M68" i="13"/>
  <c r="E68" i="13"/>
  <c r="E92" i="13" s="1"/>
  <c r="G84" i="13"/>
  <c r="J68" i="13"/>
  <c r="G86" i="13"/>
  <c r="G82" i="13"/>
  <c r="G88" i="13"/>
  <c r="G80" i="13"/>
  <c r="G78" i="13"/>
  <c r="G76" i="13"/>
  <c r="P91" i="13"/>
  <c r="P89" i="13"/>
  <c r="P87" i="13"/>
  <c r="P85" i="13"/>
  <c r="P83" i="13"/>
  <c r="P81" i="13"/>
  <c r="P79" i="13"/>
  <c r="P77" i="13"/>
  <c r="P75" i="13"/>
  <c r="P74" i="13"/>
  <c r="AD74" i="13" s="1"/>
  <c r="P73" i="13"/>
  <c r="P72" i="13"/>
  <c r="AD72" i="13" s="1"/>
  <c r="P71" i="13"/>
  <c r="P70" i="13"/>
  <c r="AD70" i="13" s="1"/>
  <c r="P69" i="13"/>
  <c r="P90" i="13" l="1"/>
  <c r="AD90" i="13" s="1"/>
  <c r="X90" i="13"/>
  <c r="P88" i="13"/>
  <c r="AD88" i="13" s="1"/>
  <c r="X88" i="13"/>
  <c r="P86" i="13"/>
  <c r="AD86" i="13" s="1"/>
  <c r="X86" i="13"/>
  <c r="P84" i="13"/>
  <c r="AD84" i="13" s="1"/>
  <c r="X84" i="13"/>
  <c r="P82" i="13"/>
  <c r="AD82" i="13" s="1"/>
  <c r="X82" i="13"/>
  <c r="P80" i="13"/>
  <c r="AD80" i="13" s="1"/>
  <c r="X80" i="13"/>
  <c r="P78" i="13"/>
  <c r="AD78" i="13" s="1"/>
  <c r="X78" i="13"/>
  <c r="P76" i="13"/>
  <c r="AD76" i="13" s="1"/>
  <c r="X76" i="13"/>
  <c r="J92" i="13"/>
  <c r="Y68" i="13"/>
  <c r="Y92" i="13" s="1"/>
  <c r="L92" i="13"/>
  <c r="AB68" i="13"/>
  <c r="AB92" i="13" s="1"/>
  <c r="O92" i="13"/>
  <c r="AC68" i="13"/>
  <c r="AC92" i="13" s="1"/>
  <c r="H92" i="13"/>
  <c r="X68" i="13"/>
  <c r="M92" i="13"/>
  <c r="AA68" i="13"/>
  <c r="AA92" i="13" s="1"/>
  <c r="N92" i="13"/>
  <c r="Z68" i="13"/>
  <c r="Z92" i="13" s="1"/>
  <c r="P68" i="13"/>
  <c r="AD68" i="13" s="1"/>
  <c r="G92" i="13"/>
  <c r="P22" i="1"/>
  <c r="P11" i="1"/>
  <c r="AD92" i="13" l="1"/>
  <c r="X92" i="13"/>
  <c r="P92" i="13"/>
</calcChain>
</file>

<file path=xl/comments1.xml><?xml version="1.0" encoding="utf-8"?>
<comments xmlns="http://schemas.openxmlformats.org/spreadsheetml/2006/main">
  <authors>
    <author>ry-01</author>
    <author>AJROYA</author>
  </authors>
  <commentList>
    <comment ref="E3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3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3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3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3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3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3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W3" authorId="1" shapeId="0">
      <text>
        <r>
          <rPr>
            <b/>
            <sz val="9"/>
            <color indexed="81"/>
            <rFont val="Tahoma"/>
            <family val="2"/>
          </rPr>
          <t>Comment: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7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F67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I67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67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67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67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67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67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67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67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67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W67" authorId="1" shapeId="0">
      <text>
        <r>
          <rPr>
            <b/>
            <sz val="9"/>
            <color indexed="81"/>
            <rFont val="Tahoma"/>
            <family val="2"/>
          </rPr>
          <t>Comment: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3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4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5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6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7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8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9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10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11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12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comments13.xml><?xml version="1.0" encoding="utf-8"?>
<comments xmlns="http://schemas.openxmlformats.org/spreadsheetml/2006/main">
  <authors>
    <author>ry-01</author>
  </authors>
  <commentList>
    <comment ref="C5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5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5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5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5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5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5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5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5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5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  <comment ref="C14" authorId="0" shapeId="0">
      <text>
        <r>
          <rPr>
            <b/>
            <sz val="9"/>
            <color indexed="81"/>
            <rFont val="Tahoma"/>
            <family val="2"/>
          </rPr>
          <t>Only for Salary Staff.</t>
        </r>
      </text>
    </comment>
    <comment ref="D14" authorId="0" shapeId="0">
      <text>
        <r>
          <rPr>
            <b/>
            <sz val="9"/>
            <color indexed="81"/>
            <rFont val="Tahoma"/>
            <family val="2"/>
          </rPr>
          <t xml:space="preserve">Approved Holidays:
</t>
        </r>
        <r>
          <rPr>
            <sz val="9"/>
            <color indexed="81"/>
            <rFont val="Tahoma"/>
            <family val="2"/>
          </rPr>
          <t>-memorial day
-independence day
-labor day
-thanksgiving day
-easter day
-christmas eve
-christmas</t>
        </r>
      </text>
    </comment>
    <comment ref="E14" authorId="0" shapeId="0">
      <text>
        <r>
          <rPr>
            <b/>
            <sz val="9"/>
            <color indexed="81"/>
            <rFont val="Tahoma"/>
            <family val="2"/>
          </rPr>
          <t xml:space="preserve"># of hours worked this pay period. </t>
        </r>
        <r>
          <rPr>
            <sz val="9"/>
            <color indexed="81"/>
            <rFont val="Tahoma"/>
            <family val="2"/>
          </rPr>
          <t xml:space="preserve">
If staff member is on Salary, it should be 40 minus any PTO or HOLIDAY PTO</t>
        </r>
      </text>
    </comment>
    <comment ref="F14" authorId="0" shapeId="0">
      <text>
        <r>
          <rPr>
            <b/>
            <sz val="9"/>
            <color indexed="81"/>
            <rFont val="Tahoma"/>
            <family val="2"/>
          </rPr>
          <t>Hourly rate paid for scheduled office hours.</t>
        </r>
      </text>
    </comment>
    <comment ref="I14" authorId="0" shapeId="0">
      <text>
        <r>
          <rPr>
            <b/>
            <sz val="9"/>
            <color indexed="81"/>
            <rFont val="Tahoma"/>
            <family val="2"/>
          </rPr>
          <t xml:space="preserve">Total </t>
        </r>
        <r>
          <rPr>
            <b/>
            <u/>
            <sz val="9"/>
            <color indexed="81"/>
            <rFont val="Tahoma"/>
            <family val="2"/>
          </rPr>
          <t>paid AND free</t>
        </r>
        <r>
          <rPr>
            <b/>
            <sz val="9"/>
            <color indexed="81"/>
            <rFont val="Tahoma"/>
            <family val="2"/>
          </rPr>
          <t xml:space="preserve"> PT sessions completed by a salaried staff member.</t>
        </r>
      </text>
    </comment>
    <comment ref="J14" authorId="0" shapeId="0">
      <text>
        <r>
          <rPr>
            <u/>
            <sz val="9"/>
            <color indexed="81"/>
            <rFont val="Tahoma"/>
            <family val="2"/>
          </rPr>
          <t>Total $ of FREE PT Sessions and Consults</t>
        </r>
        <r>
          <rPr>
            <sz val="9"/>
            <color indexed="81"/>
            <rFont val="Tahoma"/>
            <family val="2"/>
          </rPr>
          <t xml:space="preserve"> Conducted by</t>
        </r>
        <r>
          <rPr>
            <b/>
            <sz val="9"/>
            <color indexed="81"/>
            <rFont val="Tahoma"/>
            <family val="2"/>
          </rPr>
          <t xml:space="preserve"> Non-Salaried staff.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PT contracts sold during the previous month.</t>
        </r>
      </text>
    </comment>
    <comment ref="M14" authorId="0" shapeId="0">
      <text>
        <r>
          <rPr>
            <b/>
            <sz val="9"/>
            <color indexed="81"/>
            <rFont val="Tahoma"/>
            <family val="2"/>
          </rPr>
          <t>Total amount of commission earned on all valid Membership contracts sold during the previous month.</t>
        </r>
      </text>
    </comment>
    <comment ref="N14" authorId="0" shapeId="0">
      <text>
        <r>
          <rPr>
            <b/>
            <sz val="9"/>
            <color indexed="81"/>
            <rFont val="Tahoma"/>
            <family val="2"/>
          </rPr>
          <t>Total pay for all classes lead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# Points earned during this pay period.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# of Points Redeemed during this pay period.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Total # of classes lead during this pay period.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Total # of attendees for all classes lead during this pay period.</t>
        </r>
      </text>
    </comment>
  </commentList>
</comments>
</file>

<file path=xl/sharedStrings.xml><?xml version="1.0" encoding="utf-8"?>
<sst xmlns="http://schemas.openxmlformats.org/spreadsheetml/2006/main" count="1227" uniqueCount="158">
  <si>
    <t>notes</t>
  </si>
  <si>
    <t>Roxy Ayala</t>
  </si>
  <si>
    <t>David Pecinovsky</t>
  </si>
  <si>
    <t>Justin Stead</t>
  </si>
  <si>
    <t>Kelly Glyptis</t>
  </si>
  <si>
    <t>PAY PERIOD:</t>
  </si>
  <si>
    <t>Paychecks</t>
  </si>
  <si>
    <t>$ FREE PT</t>
  </si>
  <si>
    <t>$ PAID PT</t>
  </si>
  <si>
    <t>$ SALARY PT</t>
  </si>
  <si>
    <t>$ SALARIES</t>
  </si>
  <si>
    <t>$ HRLY WAGES</t>
  </si>
  <si>
    <t># HRS WORKED</t>
  </si>
  <si>
    <t>$ CLASS PAY</t>
  </si>
  <si>
    <t>$ PT COMM</t>
  </si>
  <si>
    <t>$ EFT COMM</t>
  </si>
  <si>
    <t>$ BONUS PAY</t>
  </si>
  <si>
    <t>TOTAL PAY</t>
  </si>
  <si>
    <t># PTO USED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</si>
  <si>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</si>
  <si>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</si>
  <si>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</si>
  <si>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</si>
  <si>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</si>
  <si>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</si>
  <si>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</si>
  <si>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</si>
  <si>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</si>
  <si>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</si>
  <si>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</si>
  <si>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</si>
  <si>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YTD TOTALS:</t>
  </si>
  <si>
    <t>First Paycheck:</t>
  </si>
  <si>
    <t>Final Paycheck:</t>
  </si>
  <si>
    <t># PTO BANK</t>
  </si>
  <si>
    <t>8th - 23rd</t>
  </si>
  <si>
    <t>24th - 7th</t>
  </si>
  <si>
    <t xml:space="preserve">NOTES / REMINDERS: </t>
  </si>
  <si>
    <t>business day</t>
  </si>
  <si>
    <t>*If the 1st or 15th fall on a weekend or a holiday</t>
  </si>
  <si>
    <t>*LAST MONTH'S COMMISSION</t>
  </si>
  <si>
    <t>and recorded on BambooHR &amp; WhenIWork</t>
  </si>
  <si>
    <t>*Approved Holidays:</t>
  </si>
  <si>
    <t>-memorial day</t>
  </si>
  <si>
    <t>-independence day</t>
  </si>
  <si>
    <t>-labor day</t>
  </si>
  <si>
    <t>-thanksgiving day</t>
  </si>
  <si>
    <t>-easter day</t>
  </si>
  <si>
    <t>-christmas eve</t>
  </si>
  <si>
    <t>-christmas</t>
  </si>
  <si>
    <r>
      <rPr>
        <b/>
        <sz val="10"/>
        <color theme="1"/>
        <rFont val="Calibri"/>
        <family val="2"/>
        <scheme val="minor"/>
      </rPr>
      <t>*PTO Requests</t>
    </r>
    <r>
      <rPr>
        <sz val="10"/>
        <color theme="1"/>
        <rFont val="Calibri"/>
        <family val="2"/>
        <scheme val="minor"/>
      </rPr>
      <t xml:space="preserve"> must be approved in advance</t>
    </r>
  </si>
  <si>
    <r>
      <rPr>
        <b/>
        <sz val="10"/>
        <color theme="1"/>
        <rFont val="Calibri"/>
        <family val="2"/>
        <scheme val="minor"/>
      </rPr>
      <t>*Payroll submission</t>
    </r>
    <r>
      <rPr>
        <sz val="10"/>
        <color theme="1"/>
        <rFont val="Calibri"/>
        <family val="2"/>
        <scheme val="minor"/>
      </rPr>
      <t>s due on the 25th &amp; 10th</t>
    </r>
  </si>
  <si>
    <r>
      <t>paychecks will be deposited on the</t>
    </r>
    <r>
      <rPr>
        <b/>
        <sz val="10"/>
        <color theme="1"/>
        <rFont val="Calibri"/>
        <family val="2"/>
        <scheme val="minor"/>
      </rPr>
      <t xml:space="preserve"> following </t>
    </r>
  </si>
  <si>
    <r>
      <rPr>
        <i/>
        <sz val="10"/>
        <color theme="1"/>
        <rFont val="Calibri"/>
        <family val="2"/>
        <scheme val="minor"/>
      </rPr>
      <t>paid on</t>
    </r>
    <r>
      <rPr>
        <sz val="10"/>
        <color theme="1"/>
        <rFont val="Calibri"/>
        <family val="2"/>
        <scheme val="minor"/>
      </rPr>
      <t xml:space="preserve"> - 15th</t>
    </r>
  </si>
  <si>
    <t>archive</t>
  </si>
  <si>
    <t>User_Password</t>
  </si>
  <si>
    <t>Master_Password</t>
  </si>
  <si>
    <t>bbb</t>
  </si>
  <si>
    <t>Totals:</t>
  </si>
  <si>
    <t>Pay_Expiry</t>
  </si>
  <si>
    <t>Paycheck_Date</t>
  </si>
  <si>
    <t>anytimefitnessmaster2017</t>
  </si>
  <si>
    <t>Anytime Fitness - Login Page</t>
  </si>
  <si>
    <t>Date</t>
  </si>
  <si>
    <t>Instructions</t>
  </si>
  <si>
    <t>Please choose Admin or User login and enter the respective password for appropriate access rights over the file.</t>
  </si>
  <si>
    <t>Kindly contact the administrator in-case of login issues.</t>
  </si>
  <si>
    <t>Listbox_Index</t>
  </si>
  <si>
    <t>Edit_Name</t>
  </si>
  <si>
    <t>Georgine Diolamou</t>
  </si>
  <si>
    <t>Summary_Formulas</t>
  </si>
  <si>
    <t>Summary_Column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</si>
  <si>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</si>
  <si>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</si>
  <si>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</si>
  <si>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</si>
  <si>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</si>
  <si>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</si>
  <si>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</si>
  <si>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</si>
  <si>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</si>
  <si>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</si>
  <si>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</si>
  <si>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Anytime Fitness - Manassas Team | Club #3142</t>
  </si>
  <si>
    <t>PAYCHECK DATE:</t>
  </si>
  <si>
    <t>STAFF:</t>
  </si>
  <si>
    <t>Column1</t>
  </si>
  <si>
    <t># PTO Holiday</t>
  </si>
  <si>
    <t>$ Hourly RATE</t>
  </si>
  <si>
    <t>$ Hourly WAGES</t>
  </si>
  <si>
    <t>$ SALARY</t>
  </si>
  <si>
    <t># CLASSES LEAD</t>
  </si>
  <si>
    <t># CLASSES SHOW</t>
  </si>
  <si>
    <t># POINTS USED</t>
  </si>
  <si>
    <t># POINTS EARNED</t>
  </si>
  <si>
    <t>TRACKING</t>
  </si>
  <si>
    <t>PAY DATA</t>
  </si>
  <si>
    <t>Column12</t>
  </si>
  <si>
    <t>BR FITNESS, LLC</t>
  </si>
  <si>
    <t>$ REGULAR WAGES</t>
  </si>
  <si>
    <t>$ PERSONAL TRAINING</t>
  </si>
  <si>
    <t>$ CLASSES</t>
  </si>
  <si>
    <t>$ EFT COMMISSION</t>
  </si>
  <si>
    <t>$ PT COMMISSION</t>
  </si>
  <si>
    <t>BONUS</t>
  </si>
  <si>
    <t>TOTALS</t>
  </si>
  <si>
    <t>YTD TOTALS</t>
  </si>
  <si>
    <t>TOTAL
PAY</t>
  </si>
  <si>
    <r>
      <t>*</t>
    </r>
    <r>
      <rPr>
        <b/>
        <sz val="10"/>
        <color theme="0"/>
        <rFont val="Calibri"/>
        <family val="2"/>
        <scheme val="minor"/>
      </rPr>
      <t>PAY PERIOD</t>
    </r>
    <r>
      <rPr>
        <sz val="10"/>
        <color theme="0"/>
        <rFont val="Calibri"/>
        <family val="2"/>
        <scheme val="minor"/>
      </rPr>
      <t xml:space="preserve"> 8th-23rd </t>
    </r>
  </si>
  <si>
    <r>
      <rPr>
        <i/>
        <sz val="10"/>
        <color theme="0"/>
        <rFont val="Calibri"/>
        <family val="2"/>
        <scheme val="minor"/>
      </rPr>
      <t>paid on</t>
    </r>
    <r>
      <rPr>
        <sz val="10"/>
        <color theme="0"/>
        <rFont val="Calibri"/>
        <family val="2"/>
        <scheme val="minor"/>
      </rPr>
      <t xml:space="preserve"> - 1st</t>
    </r>
  </si>
  <si>
    <r>
      <t>*</t>
    </r>
    <r>
      <rPr>
        <b/>
        <sz val="10"/>
        <color theme="0"/>
        <rFont val="Calibri"/>
        <family val="2"/>
        <scheme val="minor"/>
      </rPr>
      <t>PAY PERIOD</t>
    </r>
    <r>
      <rPr>
        <sz val="10"/>
        <color theme="0"/>
        <rFont val="Calibri"/>
        <family val="2"/>
        <scheme val="minor"/>
      </rPr>
      <t xml:space="preserve"> 24th - 7th</t>
    </r>
  </si>
  <si>
    <r>
      <rPr>
        <i/>
        <sz val="10"/>
        <color theme="0"/>
        <rFont val="Calibri"/>
        <family val="2"/>
        <scheme val="minor"/>
      </rPr>
      <t>paid on</t>
    </r>
    <r>
      <rPr>
        <sz val="10"/>
        <color theme="0"/>
        <rFont val="Calibri"/>
        <family val="2"/>
        <scheme val="minor"/>
      </rPr>
      <t xml:space="preserve"> - 15th</t>
    </r>
  </si>
  <si>
    <t>$ BONUS</t>
  </si>
  <si>
    <t>Archive_Sheet</t>
  </si>
  <si>
    <t>Archive_Sheet_Status</t>
  </si>
  <si>
    <t>Jan_2017</t>
  </si>
  <si>
    <t>Feb_2017</t>
  </si>
  <si>
    <t>Mar_2017</t>
  </si>
  <si>
    <t>Apr_2017</t>
  </si>
  <si>
    <t>May_2017</t>
  </si>
  <si>
    <t>Jun_2017</t>
  </si>
  <si>
    <t>Jul_2017</t>
  </si>
  <si>
    <t>Aug_2017</t>
  </si>
  <si>
    <t>Sep_2017</t>
  </si>
  <si>
    <t>Oct_2017</t>
  </si>
  <si>
    <t>Nov_2017</t>
  </si>
  <si>
    <t>Dec_2017</t>
  </si>
  <si>
    <t>P</t>
  </si>
  <si>
    <t>Q</t>
  </si>
  <si>
    <t>R</t>
  </si>
  <si>
    <t>(SUMIF(Jan_Period_1_Tbl[[#All],[STAFF:]],$A4,Jan_Period_1_Tbl[[#All],['# POINTS EARNED]])+
SUMIF(Feb_Period_1_Tbl[[#All],[STAFF:]],$A4,Feb_Period_1_Tbl[[#All],['# POINTS EARNED]])+SUMIF(Mar_Period_1_Tbl[[#All],[STAFF:]],$A4,Mar_Period_1_Tbl[[#All],['# POINTS EARNED]])+SUMIF(Apr_Period_1_Tbl[[#All],[STAFF:]],$A4,Apr_Period_1_Tbl[[#All],['# POINTS EARNED]])+   SUMIF(May_Period_1_Tbl[[#All],[STAFF:]],$A4,May_Period_1_Tbl[[#All],['# POINTS EARNED]])+   SUMIF(Jun_Period_1_Tbl[[#All],[STAFF:]],$A4,Jun_Period_1_Tbl[[#All],['# POINTS EARNED]])+  SUMIF(Jul_Period_1_Tbl[[#All],[STAFF:]],$A4,Jul_Period_1_Tbl[[#All],['# POINTS EARNED]])+  SUMIF(Aug_Period_1_Tbl[[#All],[STAFF:]],$A4,Aug_Period_1_Tbl[[#All],['# POINTS EARNED]])+  SUMIF(Sep_Period_1_Tbl[[#All],[STAFF:]],$A4,Sep_Period_1_Tbl[[#All],['# POINTS EARNED]])+  SUMIF(Oct_Period_1_Tbl[[#All],[STAFF:]],$A4,Oct_Period_1_Tbl[[#All],['# POINTS EARNED]])+     SUMIF(Nov_Period_1_Tbl[[#All],[STAFF:]],$A4,Nov_Period_1_Tbl[[#All],['# POINTS EARNED]])+  SUMIF(Dec_Period_1_Tbl[[#All],[STAFF:]],$A4,Dec_Period_1_Tbl[[#All],['# POINTS EARNED]]))+   (SUMIF(Jan_Period_2_Tbl[[#All],[STAFF:]],$A4,Jan_Period_2_Tbl[[#All],['# POINTS EARNED]])+
SUMIF(Feb_Period_2_Tbl[[#All],[STAFF:]],$A4,Feb_Period_2_Tbl[[#All],['# POINTS EARNED]])+SUMIF(Mar_Period_2_Tbl[[#All],[STAFF:]],$A4,Mar_Period_2_Tbl[[#All],['# POINTS EARNED]])+SUMIF(Apr_Period_2_Tbl[[#All],[STAFF:]],$A4,Apr_Period_2_Tbl[[#All],['# POINTS EARNED]])+   SUMIF(May_Period_2_Tbl[[#All],[STAFF:]],$A4,May_Period_2_Tbl[[#All],['# POINTS EARNED]])+   SUMIF(Jun_Period_2_Tbl[[#All],[STAFF:]],$A4,Jun_Period_2_Tbl[[#All],['# POINTS EARNED]])+  SUMIF(Jul_Period_2_Tbl[[#All],[STAFF:]],$A4,Jul_Period_2_Tbl[[#All],['# POINTS EARNED]])+  SUMIF(Aug_Period_2_Tbl[[#All],[STAFF:]],$A4,Aug_Period_2_Tbl[[#All],['# POINTS EARNED]])+  SUMIF(Sep_Period_2_Tbl[[#All],[STAFF:]],$A4,Sep_Period_2_Tbl[[#All],['# POINTS EARNED]])+  SUMIF(Oct_Period_2_Tbl[[#All],[STAFF:]],$A4,Oct_Period_2_Tbl[[#All],['# POINTS EARNED]])+     SUMIF(Nov_Period_2_Tbl[[#All],[STAFF:]],$A4,Nov_Period_2_Tbl[[#All],['# POINTS EARNED]])+  SUMIF(Dec_Period_2_Tbl[[#All],[STAFF:]],$A4,Dec_Period_2_Tbl[[#All],['# POINTS EARNED]]))</t>
  </si>
  <si>
    <t>(SUMIF(Jan_Period_1_Tbl[[#All],[STAFF:]],$A4,Jan_Period_1_Tbl[[#All],['# POINTS USED]])+
SUMIF(Feb_Period_1_Tbl[[#All],[STAFF:]],$A4,Feb_Period_1_Tbl[[#All],['# POINTS USED]])+SUMIF(Mar_Period_1_Tbl[[#All],[STAFF:]],$A4,Mar_Period_1_Tbl[[#All],['# POINTS USED]])+SUMIF(Apr_Period_1_Tbl[[#All],[STAFF:]],$A4,Apr_Period_1_Tbl[[#All],['# POINTS USED]])+   SUMIF(May_Period_1_Tbl[[#All],[STAFF:]],$A4,May_Period_1_Tbl[[#All],['# POINTS USED]])+   SUMIF(Jun_Period_1_Tbl[[#All],[STAFF:]],$A4,Jun_Period_1_Tbl[[#All],['# POINTS USED]])+  SUMIF(Jul_Period_1_Tbl[[#All],[STAFF:]],$A4,Jul_Period_1_Tbl[[#All],['# POINTS USED]])+  SUMIF(Aug_Period_1_Tbl[[#All],[STAFF:]],$A4,Aug_Period_1_Tbl[[#All],['# POINTS USED]])+  SUMIF(Sep_Period_1_Tbl[[#All],[STAFF:]],$A4,Sep_Period_1_Tbl[[#All],['# POINTS USED]])+  SUMIF(Oct_Period_1_Tbl[[#All],[STAFF:]],$A4,Oct_Period_1_Tbl[[#All],['# POINTS USED]])+     SUMIF(Nov_Period_1_Tbl[[#All],[STAFF:]],$A4,Nov_Period_1_Tbl[[#All],['# POINTS USED]])+  SUMIF(Dec_Period_1_Tbl[[#All],[STAFF:]],$A4,Dec_Period_1_Tbl[[#All],['# POINTS USED]]))+   (SUMIF(Jan_Period_2_Tbl[[#All],[STAFF:]],$A4,Jan_Period_2_Tbl[[#All],['# POINTS USED]])+
SUMIF(Feb_Period_2_Tbl[[#All],[STAFF:]],$A4,Feb_Period_2_Tbl[[#All],['# POINTS USED]])+SUMIF(Mar_Period_2_Tbl[[#All],[STAFF:]],$A4,Mar_Period_2_Tbl[[#All],['# POINTS USED]])+SUMIF(Apr_Period_2_Tbl[[#All],[STAFF:]],$A4,Apr_Period_2_Tbl[[#All],['# POINTS USED]])+   SUMIF(May_Period_2_Tbl[[#All],[STAFF:]],$A4,May_Period_2_Tbl[[#All],['# POINTS USED]])+   SUMIF(Jun_Period_2_Tbl[[#All],[STAFF:]],$A4,Jun_Period_2_Tbl[[#All],['# POINTS USED]])+  SUMIF(Jul_Period_2_Tbl[[#All],[STAFF:]],$A4,Jul_Period_2_Tbl[[#All],['# POINTS USED]])+  SUMIF(Aug_Period_2_Tbl[[#All],[STAFF:]],$A4,Aug_Period_2_Tbl[[#All],['# POINTS USED]])+  SUMIF(Sep_Period_2_Tbl[[#All],[STAFF:]],$A4,Sep_Period_2_Tbl[[#All],['# POINTS USED]])+  SUMIF(Oct_Period_2_Tbl[[#All],[STAFF:]],$A4,Oct_Period_2_Tbl[[#All],['# POINTS USED]])+     SUMIF(Nov_Period_2_Tbl[[#All],[STAFF:]],$A4,Nov_Period_2_Tbl[[#All],['# POINTS USED]])+  SUMIF(Dec_Period_2_Tbl[[#All],[STAFF:]],$A4,Dec_Period_2_Tbl[[#All],['# POINTS USED]]))</t>
  </si>
  <si>
    <t>S</t>
  </si>
  <si>
    <t>(SUMIF(Jan_Period_1_Tbl[[#All],[STAFF:]],$A4,Jan_Period_1_Tbl[[#All],['# CLASSES LEAD]])+
SUMIF(Feb_Period_1_Tbl[[#All],[STAFF:]],$A4,Feb_Period_1_Tbl[[#All],['# CLASSES LEAD]])+SUMIF(Mar_Period_1_Tbl[[#All],[STAFF:]],$A4,Mar_Period_1_Tbl[[#All],['# CLASSES LEAD]])+SUMIF(Apr_Period_1_Tbl[[#All],[STAFF:]],$A4,Apr_Period_1_Tbl[[#All],['# CLASSES LEAD]])+   SUMIF(May_Period_1_Tbl[[#All],[STAFF:]],$A4,May_Period_1_Tbl[[#All],['# CLASSES LEAD]])+   SUMIF(Jun_Period_1_Tbl[[#All],[STAFF:]],$A4,Jun_Period_1_Tbl[[#All],['# CLASSES LEAD]])+  SUMIF(Jul_Period_1_Tbl[[#All],[STAFF:]],$A4,Jul_Period_1_Tbl[[#All],['# CLASSES LEAD]])+  SUMIF(Aug_Period_1_Tbl[[#All],[STAFF:]],$A4,Aug_Period_1_Tbl[[#All],['# CLASSES LEAD]])+  SUMIF(Sep_Period_1_Tbl[[#All],[STAFF:]],$A4,Sep_Period_1_Tbl[[#All],['# CLASSES LEAD]])+  SUMIF(Oct_Period_1_Tbl[[#All],[STAFF:]],$A4,Oct_Period_1_Tbl[[#All],['# CLASSES LEAD]])+     SUMIF(Nov_Period_1_Tbl[[#All],[STAFF:]],$A4,Nov_Period_1_Tbl[[#All],['# CLASSES LEAD]])+  SUMIF(Dec_Period_1_Tbl[[#All],[STAFF:]],$A4,Dec_Period_1_Tbl[[#All],['# CLASSES LEAD]]))+   (SUMIF(Jan_Period_2_Tbl[[#All],[STAFF:]],$A4,Jan_Period_2_Tbl[[#All],['# CLASSES LEAD]])+
SUMIF(Feb_Period_2_Tbl[[#All],[STAFF:]],$A4,Feb_Period_2_Tbl[[#All],['# CLASSES LEAD]])+SUMIF(Mar_Period_2_Tbl[[#All],[STAFF:]],$A4,Mar_Period_2_Tbl[[#All],['# CLASSES LEAD]])+SUMIF(Apr_Period_2_Tbl[[#All],[STAFF:]],$A4,Apr_Period_2_Tbl[[#All],['# CLASSES LEAD]])+   SUMIF(May_Period_2_Tbl[[#All],[STAFF:]],$A4,May_Period_2_Tbl[[#All],['# CLASSES LEAD]])+   SUMIF(Jun_Period_2_Tbl[[#All],[STAFF:]],$A4,Jun_Period_2_Tbl[[#All],['# CLASSES LEAD]])+  SUMIF(Jul_Period_2_Tbl[[#All],[STAFF:]],$A4,Jul_Period_2_Tbl[[#All],['# CLASSES LEAD]])+  SUMIF(Aug_Period_2_Tbl[[#All],[STAFF:]],$A4,Aug_Period_2_Tbl[[#All],['# CLASSES LEAD]])+  SUMIF(Sep_Period_2_Tbl[[#All],[STAFF:]],$A4,Sep_Period_2_Tbl[[#All],['# CLASSES LEAD]])+  SUMIF(Oct_Period_2_Tbl[[#All],[STAFF:]],$A4,Oct_Period_2_Tbl[[#All],['# CLASSES LEAD]])+     SUMIF(Nov_Period_2_Tbl[[#All],[STAFF:]],$A4,Nov_Period_2_Tbl[[#All],['# CLASSES LEAD]])+  SUMIF(Dec_Period_2_Tbl[[#All],[STAFF:]],$A4,Dec_Period_2_Tbl[[#All],['# CLASSES LEAD]]))</t>
  </si>
  <si>
    <t>T</t>
  </si>
  <si>
    <t>U</t>
  </si>
  <si>
    <t>(SUMIF(Jan_Period_1_Tbl[[#All],[STAFF:]],$A4,Jan_Period_1_Tbl[[#All],['# CLASSES SHOW]])+
SUMIF(Feb_Period_1_Tbl[[#All],[STAFF:]],$A4,Feb_Period_1_Tbl[[#All],['# CLASSES SHOW]])+SUMIF(Mar_Period_1_Tbl[[#All],[STAFF:]],$A4,Mar_Period_1_Tbl[[#All],['# CLASSES SHOW]])+SUMIF(Apr_Period_1_Tbl[[#All],[STAFF:]],$A4,Apr_Period_1_Tbl[[#All],['# CLASSES SHOW]])+   SUMIF(May_Period_1_Tbl[[#All],[STAFF:]],$A4,May_Period_1_Tbl[[#All],['# CLASSES SHOW]])+   SUMIF(Jun_Period_1_Tbl[[#All],[STAFF:]],$A4,Jun_Period_1_Tbl[[#All],['# CLASSES SHOW]])+  SUMIF(Jul_Period_1_Tbl[[#All],[STAFF:]],$A4,Jul_Period_1_Tbl[[#All],['# CLASSES SHOW]])+  SUMIF(Aug_Period_1_Tbl[[#All],[STAFF:]],$A4,Aug_Period_1_Tbl[[#All],['# CLASSES SHOW]])+  SUMIF(Sep_Period_1_Tbl[[#All],[STAFF:]],$A4,Sep_Period_1_Tbl[[#All],['# CLASSES SHOW]])+  SUMIF(Oct_Period_1_Tbl[[#All],[STAFF:]],$A4,Oct_Period_1_Tbl[[#All],['# CLASSES SHOW]])+     SUMIF(Nov_Period_1_Tbl[[#All],[STAFF:]],$A4,Nov_Period_1_Tbl[[#All],['# CLASSES SHOW]])+  SUMIF(Dec_Period_1_Tbl[[#All],[STAFF:]],$A4,Dec_Period_1_Tbl[[#All],['# CLASSES SHOW]]))+   (SUMIF(Jan_Period_2_Tbl[[#All],[STAFF:]],$A4,Jan_Period_2_Tbl[[#All],['# CLASSES SHOW]])+
SUMIF(Feb_Period_2_Tbl[[#All],[STAFF:]],$A4,Feb_Period_2_Tbl[[#All],['# CLASSES SHOW]])+SUMIF(Mar_Period_2_Tbl[[#All],[STAFF:]],$A4,Mar_Period_2_Tbl[[#All],['# CLASSES SHOW]])+SUMIF(Apr_Period_2_Tbl[[#All],[STAFF:]],$A4,Apr_Period_2_Tbl[[#All],['# CLASSES SHOW]])+   SUMIF(May_Period_2_Tbl[[#All],[STAFF:]],$A4,May_Period_2_Tbl[[#All],['# CLASSES SHOW]])+   SUMIF(Jun_Period_2_Tbl[[#All],[STAFF:]],$A4,Jun_Period_2_Tbl[[#All],['# CLASSES SHOW]])+  SUMIF(Jul_Period_2_Tbl[[#All],[STAFF:]],$A4,Jul_Period_2_Tbl[[#All],['# CLASSES SHOW]])+  SUMIF(Aug_Period_2_Tbl[[#All],[STAFF:]],$A4,Aug_Period_2_Tbl[[#All],['# CLASSES SHOW]])+  SUMIF(Sep_Period_2_Tbl[[#All],[STAFF:]],$A4,Sep_Period_2_Tbl[[#All],['# CLASSES SHOW]])+  SUMIF(Oct_Period_2_Tbl[[#All],[STAFF:]],$A4,Oct_Period_2_Tbl[[#All],['# CLASSES SHOW]])+     SUMIF(Nov_Period_2_Tbl[[#All],[STAFF:]],$A4,Nov_Period_2_Tbl[[#All],['# CLASSES SHOW]])+  SUMIF(Dec_Period_2_Tbl[[#All],[STAFF:]],$A4,Dec_Period_2_Tbl[[#All],['# CLASSES SHOW]]))</t>
  </si>
  <si>
    <t>unarchive</t>
  </si>
  <si>
    <t>No</t>
  </si>
  <si>
    <t>Login_Type</t>
  </si>
  <si>
    <t>(SUMIF(Jan_Period_1_Tbl[[#All],[STAFF:]],$A4,Jan_Period_1_Tbl[[#All],['# PTO USED]])+
SUMIF(Feb_Period_1_Tbl[[#All],[STAFF:]],$A4,Feb_Period_1_Tbl[[#All],['# PTO USED]])+SUMIF(Mar_Period_1_Tbl[[#All],[STAFF:]],$A4,Mar_Period_1_Tbl[[#All],['# PTO USED]])+SUMIF(Apr_Period_1_Tbl[[#All],[STAFF:]],$A4,Apr_Period_1_Tbl[[#All],['# PTO USED]])+   SUMIF(May_Period_1_Tbl[[#All],[STAFF:]],$A4,May_Period_1_Tbl[[#All],['# PTO USED]])+   SUMIF(Jun_Period_1_Tbl[[#All],[STAFF:]],$A4,Jun_Period_1_Tbl[[#All],['# PTO USED]])+  SUMIF(Jul_Period_1_Tbl[[#All],[STAFF:]],$A4,Jul_Period_1_Tbl[[#All],['# PTO USED]])+  SUMIF(Aug_Period_1_Tbl[[#All],[STAFF:]],$A4,Aug_Period_1_Tbl[[#All],['# PTO USED]])+  SUMIF(Sep_Period_1_Tbl[[#All],[STAFF:]],$A4,Sep_Period_1_Tbl[[#All],['# PTO USED]])+  SUMIF(Oct_Period_1_Tbl[[#All],[STAFF:]],$A4,Oct_Period_1_Tbl[[#All],['# PTO USED]])+     SUMIF(Nov_Period_1_Tbl[[#All],[STAFF:]],$A4,Nov_Period_1_Tbl[[#All],['# PTO USED]])+  SUMIF(Dec_Period_1_Tbl[[#All],[STAFF:]],$A4,Dec_Period_1_Tbl[[#All],['# PTO USED]]))+   (SUMIF(Jan_Period_2_Tbl[[#All],[STAFF:]],$A4,Jan_Period_2_Tbl[[#All],['# PTO USED]])+
SUMIF(Feb_Period_2_Tbl[[#All],[STAFF:]],$A4,Feb_Period_2_Tbl[[#All],['# PTO USED]])+SUMIF(Mar_Period_2_Tbl[[#All],[STAFF:]],$A4,Mar_Period_2_Tbl[[#All],['# PTO USED]])+SUMIF(Apr_Period_2_Tbl[[#All],[STAFF:]],$A4,Apr_Period_2_Tbl[[#All],['# PTO USED]])+   SUMIF(May_Period_2_Tbl[[#All],[STAFF:]],$A4,May_Period_2_Tbl[[#All],['# PTO USED]])+   SUMIF(Jun_Period_2_Tbl[[#All],[STAFF:]],$A4,Jun_Period_2_Tbl[[#All],['# PTO USED]])+  SUMIF(Jul_Period_2_Tbl[[#All],[STAFF:]],$A4,Jul_Period_2_Tbl[[#All],['# PTO USED]])+  SUMIF(Aug_Period_2_Tbl[[#All],[STAFF:]],$A4,Aug_Period_2_Tbl[[#All],['# PTO USED]])+  SUMIF(Sep_Period_2_Tbl[[#All],[STAFF:]],$A4,Sep_Period_2_Tbl[[#All],['# PTO USED]])+  SUMIF(Oct_Period_2_Tbl[[#All],[STAFF:]],$A4,Oct_Period_2_Tbl[[#All],['# PTO USED]])+     SUMIF(Nov_Period_2_Tbl[[#All],[STAFF:]],$A4,Nov_Period_2_Tbl[[#All],['# PTO USED]])+  SUMIF(Dec_Period_2_Tbl[[#All],[STAFF:]],$A4,Dec_Period_2_Tbl[[#All],['# PTO USED]]))</t>
  </si>
  <si>
    <t>(SUMIF(Jan_Period_1_Tbl[[#All],[STAFF:]],$A4,Jan_Period_1_Tbl[[#All],['# HRS WORKED]])+
SUMIF(Feb_Period_1_Tbl[[#All],[STAFF:]],$A4,Feb_Period_1_Tbl[[#All],['# HRS WORKED]])+SUMIF(Mar_Period_1_Tbl[[#All],[STAFF:]],$A4,Mar_Period_1_Tbl[[#All],['# HRS WORKED]])+SUMIF(Apr_Period_1_Tbl[[#All],[STAFF:]],$A4,Apr_Period_1_Tbl[[#All],['# HRS WORKED]])+   SUMIF(May_Period_1_Tbl[[#All],[STAFF:]],$A4,May_Period_1_Tbl[[#All],['# HRS WORKED]])+   SUMIF(Jun_Period_1_Tbl[[#All],[STAFF:]],$A4,Jun_Period_1_Tbl[[#All],['# HRS WORKED]])+  SUMIF(Jul_Period_1_Tbl[[#All],[STAFF:]],$A4,Jul_Period_1_Tbl[[#All],['# HRS WORKED]])+  SUMIF(Aug_Period_1_Tbl[[#All],[STAFF:]],$A4,Aug_Period_1_Tbl[[#All],['# HRS WORKED]])+  SUMIF(Sep_Period_1_Tbl[[#All],[STAFF:]],$A4,Sep_Period_1_Tbl[[#All],['# HRS WORKED]])+  SUMIF(Oct_Period_1_Tbl[[#All],[STAFF:]],$A4,Oct_Period_1_Tbl[[#All],['# HRS WORKED]])+     SUMIF(Nov_Period_1_Tbl[[#All],[STAFF:]],$A4,Nov_Period_1_Tbl[[#All],['# HRS WORKED]])+  SUMIF(Dec_Period_1_Tbl[[#All],[STAFF:]],$A4,Dec_Period_1_Tbl[[#All],['# HRS WORKED]]))+   (SUMIF(Jan_Period_2_Tbl[[#All],[STAFF:]],$A4,Jan_Period_2_Tbl[[#All],['# HRS WORKED]])+
SUMIF(Feb_Period_2_Tbl[[#All],[STAFF:]],$A4,Feb_Period_2_Tbl[[#All],['# HRS WORKED]])+SUMIF(Mar_Period_2_Tbl[[#All],[STAFF:]],$A4,Mar_Period_2_Tbl[[#All],['# HRS WORKED]])+SUMIF(Apr_Period_2_Tbl[[#All],[STAFF:]],$A4,Apr_Period_2_Tbl[[#All],['# HRS WORKED]])+   SUMIF(May_Period_2_Tbl[[#All],[STAFF:]],$A4,May_Period_2_Tbl[[#All],['# HRS WORKED]])+   SUMIF(Jun_Period_2_Tbl[[#All],[STAFF:]],$A4,Jun_Period_2_Tbl[[#All],['# HRS WORKED]])+  SUMIF(Jul_Period_2_Tbl[[#All],[STAFF:]],$A4,Jul_Period_2_Tbl[[#All],['# HRS WORKED]])+  SUMIF(Aug_Period_2_Tbl[[#All],[STAFF:]],$A4,Aug_Period_2_Tbl[[#All],['# HRS WORKED]])+  SUMIF(Sep_Period_2_Tbl[[#All],[STAFF:]],$A4,Sep_Period_2_Tbl[[#All],['# HRS WORKED]])+  SUMIF(Oct_Period_2_Tbl[[#All],[STAFF:]],$A4,Oct_Period_2_Tbl[[#All],['# HRS WORKED]])+     SUMIF(Nov_Period_2_Tbl[[#All],[STAFF:]],$A4,Nov_Period_2_Tbl[[#All],['# HRS WORKED]])+  SUMIF(Dec_Period_2_Tbl[[#All],[STAFF:]],$A4,Dec_Period_2_Tbl[[#All],['# HRS WORKED]]))</t>
  </si>
  <si>
    <t>(SUMIF(Jan_Period_1_Tbl[[#All],[STAFF:]],$A4,Jan_Period_1_Tbl[[#All],[$ SALARY PT]])+
SUMIF(Feb_Period_1_Tbl[[#All],[STAFF:]],$A4,Feb_Period_1_Tbl[[#All],[$ SALARY PT]])+SUMIF(Mar_Period_1_Tbl[[#All],[STAFF:]],$A4,Mar_Period_1_Tbl[[#All],[$ SALARY PT]])+SUMIF(Apr_Period_1_Tbl[[#All],[STAFF:]],$A4,Apr_Period_1_Tbl[[#All],[$ SALARY PT]])+   SUMIF(May_Period_1_Tbl[[#All],[STAFF:]],$A4,May_Period_1_Tbl[[#All],[$ SALARY PT]])+   SUMIF(Jun_Period_1_Tbl[[#All],[STAFF:]],$A4,Jun_Period_1_Tbl[[#All],[$ SALARY PT]])+  SUMIF(Jul_Period_1_Tbl[[#All],[STAFF:]],$A4,Jul_Period_1_Tbl[[#All],[$ SALARY PT]])+  SUMIF(Aug_Period_1_Tbl[[#All],[STAFF:]],$A4,Aug_Period_1_Tbl[[#All],[$ SALARY PT]])+  SUMIF(Sep_Period_1_Tbl[[#All],[STAFF:]],$A4,Sep_Period_1_Tbl[[#All],[$ SALARY PT]])+  SUMIF(Oct_Period_1_Tbl[[#All],[STAFF:]],$A4,Oct_Period_1_Tbl[[#All],[$ SALARY PT]])+     SUMIF(Nov_Period_1_Tbl[[#All],[STAFF:]],$A4,Nov_Period_1_Tbl[[#All],[$ SALARY PT]])+  SUMIF(Dec_Period_1_Tbl[[#All],[STAFF:]],$A4,Dec_Period_1_Tbl[[#All],[$ SALARY PT]]))+   (SUMIF(Jan_Period_2_Tbl[[#All],[STAFF:]],$A4,Jan_Period_2_Tbl[[#All],[$ SALARY PT]])+
SUMIF(Feb_Period_2_Tbl[[#All],[STAFF:]],$A4,Feb_Period_2_Tbl[[#All],[$ SALARY PT]])+SUMIF(Mar_Period_2_Tbl[[#All],[STAFF:]],$A4,Mar_Period_2_Tbl[[#All],[$ SALARY PT]])+SUMIF(Apr_Period_2_Tbl[[#All],[STAFF:]],$A4,Apr_Period_2_Tbl[[#All],[$ SALARY PT]])+   SUMIF(May_Period_2_Tbl[[#All],[STAFF:]],$A4,May_Period_2_Tbl[[#All],[$ SALARY PT]])+   SUMIF(Jun_Period_2_Tbl[[#All],[STAFF:]],$A4,Jun_Period_2_Tbl[[#All],[$ SALARY PT]])+  SUMIF(Jul_Period_2_Tbl[[#All],[STAFF:]],$A4,Jul_Period_2_Tbl[[#All],[$ SALARY PT]])+  SUMIF(Aug_Period_2_Tbl[[#All],[STAFF:]],$A4,Aug_Period_2_Tbl[[#All],[$ SALARY PT]])+  SUMIF(Sep_Period_2_Tbl[[#All],[STAFF:]],$A4,Sep_Period_2_Tbl[[#All],[$ SALARY PT]])+  SUMIF(Oct_Period_2_Tbl[[#All],[STAFF:]],$A4,Oct_Period_2_Tbl[[#All],[$ SALARY PT]])+     SUMIF(Nov_Period_2_Tbl[[#All],[STAFF:]],$A4,Nov_Period_2_Tbl[[#All],[$ SALARY PT]])+  SUMIF(Dec_Period_2_Tbl[[#All],[STAFF:]],$A4,Dec_Period_2_Tbl[[#All],[$ SALARY PT]]))</t>
  </si>
  <si>
    <t>(SUMIF(Jan_Period_1_Tbl[[#All],[STAFF:]],$A4,Jan_Period_1_Tbl[[#All],[$ FREE PT]])+
SUMIF(Feb_Period_1_Tbl[[#All],[STAFF:]],$A4,Feb_Period_1_Tbl[[#All],[$ FREE PT]])+SUMIF(Mar_Period_1_Tbl[[#All],[STAFF:]],$A4,Mar_Period_1_Tbl[[#All],[$ FREE PT]])+SUMIF(Apr_Period_1_Tbl[[#All],[STAFF:]],$A4,Apr_Period_1_Tbl[[#All],[$ FREE PT]])+   SUMIF(May_Period_1_Tbl[[#All],[STAFF:]],$A4,May_Period_1_Tbl[[#All],[$ FREE PT]])+   SUMIF(Jun_Period_1_Tbl[[#All],[STAFF:]],$A4,Jun_Period_1_Tbl[[#All],[$ FREE PT]])+  SUMIF(Jul_Period_1_Tbl[[#All],[STAFF:]],$A4,Jul_Period_1_Tbl[[#All],[$ FREE PT]])+  SUMIF(Aug_Period_1_Tbl[[#All],[STAFF:]],$A4,Aug_Period_1_Tbl[[#All],[$ FREE PT]])+  SUMIF(Sep_Period_1_Tbl[[#All],[STAFF:]],$A4,Sep_Period_1_Tbl[[#All],[$ FREE PT]])+  SUMIF(Oct_Period_1_Tbl[[#All],[STAFF:]],$A4,Oct_Period_1_Tbl[[#All],[$ FREE PT]])+     SUMIF(Nov_Period_1_Tbl[[#All],[STAFF:]],$A4,Nov_Period_1_Tbl[[#All],[$ FREE PT]])+  SUMIF(Dec_Period_1_Tbl[[#All],[STAFF:]],$A4,Dec_Period_1_Tbl[[#All],[$ FREE PT]]))+   (SUMIF(Jan_Period_2_Tbl[[#All],[STAFF:]],$A4,Jan_Period_2_Tbl[[#All],[$ FREE PT]])+
SUMIF(Feb_Period_2_Tbl[[#All],[STAFF:]],$A4,Feb_Period_2_Tbl[[#All],[$ FREE PT]])+SUMIF(Mar_Period_2_Tbl[[#All],[STAFF:]],$A4,Mar_Period_2_Tbl[[#All],[$ FREE PT]])+SUMIF(Apr_Period_2_Tbl[[#All],[STAFF:]],$A4,Apr_Period_2_Tbl[[#All],[$ FREE PT]])+   SUMIF(May_Period_2_Tbl[[#All],[STAFF:]],$A4,May_Period_2_Tbl[[#All],[$ FREE PT]])+   SUMIF(Jun_Period_2_Tbl[[#All],[STAFF:]],$A4,Jun_Period_2_Tbl[[#All],[$ FREE PT]])+  SUMIF(Jul_Period_2_Tbl[[#All],[STAFF:]],$A4,Jul_Period_2_Tbl[[#All],[$ FREE PT]])+  SUMIF(Aug_Period_2_Tbl[[#All],[STAFF:]],$A4,Aug_Period_2_Tbl[[#All],[$ FREE PT]])+  SUMIF(Sep_Period_2_Tbl[[#All],[STAFF:]],$A4,Sep_Period_2_Tbl[[#All],[$ FREE PT]])+  SUMIF(Oct_Period_2_Tbl[[#All],[STAFF:]],$A4,Oct_Period_2_Tbl[[#All],[$ FREE PT]])+     SUMIF(Nov_Period_2_Tbl[[#All],[STAFF:]],$A4,Nov_Period_2_Tbl[[#All],[$ FREE PT]])+  SUMIF(Dec_Period_2_Tbl[[#All],[STAFF:]],$A4,Dec_Period_2_Tbl[[#All],[$ FREE PT]]))</t>
  </si>
  <si>
    <t>(SUMIF(Jan_Period_1_Tbl[[#All],[STAFF:]],$A4,Jan_Period_1_Tbl[[#All],[$ PAID PT]])+
SUMIF(Feb_Period_1_Tbl[[#All],[STAFF:]],$A4,Feb_Period_1_Tbl[[#All],[$ PAID PT]])+SUMIF(Mar_Period_1_Tbl[[#All],[STAFF:]],$A4,Mar_Period_1_Tbl[[#All],[$ PAID PT]])+SUMIF(Apr_Period_1_Tbl[[#All],[STAFF:]],$A4,Apr_Period_1_Tbl[[#All],[$ PAID PT]])+   SUMIF(May_Period_1_Tbl[[#All],[STAFF:]],$A4,May_Period_1_Tbl[[#All],[$ PAID PT]])+   SUMIF(Jun_Period_1_Tbl[[#All],[STAFF:]],$A4,Jun_Period_1_Tbl[[#All],[$ PAID PT]])+  SUMIF(Jul_Period_1_Tbl[[#All],[STAFF:]],$A4,Jul_Period_1_Tbl[[#All],[$ PAID PT]])+  SUMIF(Aug_Period_1_Tbl[[#All],[STAFF:]],$A4,Aug_Period_1_Tbl[[#All],[$ PAID PT]])+  SUMIF(Sep_Period_1_Tbl[[#All],[STAFF:]],$A4,Sep_Period_1_Tbl[[#All],[$ PAID PT]])+  SUMIF(Oct_Period_1_Tbl[[#All],[STAFF:]],$A4,Oct_Period_1_Tbl[[#All],[$ PAID PT]])+     SUMIF(Nov_Period_1_Tbl[[#All],[STAFF:]],$A4,Nov_Period_1_Tbl[[#All],[$ PAID PT]])+  SUMIF(Dec_Period_1_Tbl[[#All],[STAFF:]],$A4,Dec_Period_1_Tbl[[#All],[$ PAID PT]]))+   (SUMIF(Jan_Period_2_Tbl[[#All],[STAFF:]],$A4,Jan_Period_2_Tbl[[#All],[$ PAID PT]])+
SUMIF(Feb_Period_2_Tbl[[#All],[STAFF:]],$A4,Feb_Period_2_Tbl[[#All],[$ PAID PT]])+SUMIF(Mar_Period_2_Tbl[[#All],[STAFF:]],$A4,Mar_Period_2_Tbl[[#All],[$ PAID PT]])+SUMIF(Apr_Period_2_Tbl[[#All],[STAFF:]],$A4,Apr_Period_2_Tbl[[#All],[$ PAID PT]])+   SUMIF(May_Period_2_Tbl[[#All],[STAFF:]],$A4,May_Period_2_Tbl[[#All],[$ PAID PT]])+   SUMIF(Jun_Period_2_Tbl[[#All],[STAFF:]],$A4,Jun_Period_2_Tbl[[#All],[$ PAID PT]])+  SUMIF(Jul_Period_2_Tbl[[#All],[STAFF:]],$A4,Jul_Period_2_Tbl[[#All],[$ PAID PT]])+  SUMIF(Aug_Period_2_Tbl[[#All],[STAFF:]],$A4,Aug_Period_2_Tbl[[#All],[$ PAID PT]])+  SUMIF(Sep_Period_2_Tbl[[#All],[STAFF:]],$A4,Sep_Period_2_Tbl[[#All],[$ PAID PT]])+  SUMIF(Oct_Period_2_Tbl[[#All],[STAFF:]],$A4,Oct_Period_2_Tbl[[#All],[$ PAID PT]])+     SUMIF(Nov_Period_2_Tbl[[#All],[STAFF:]],$A4,Nov_Period_2_Tbl[[#All],[$ PAID PT]])+  SUMIF(Dec_Period_2_Tbl[[#All],[STAFF:]],$A4,Dec_Period_2_Tbl[[#All],[$ PAID PT]]))</t>
  </si>
  <si>
    <t>(SUMIF(Jan_Period_1_Tbl[[#All],[STAFF:]],$A4,Jan_Period_1_Tbl[[#All],[$ PT COMM]])+
SUMIF(Feb_Period_1_Tbl[[#All],[STAFF:]],$A4,Feb_Period_1_Tbl[[#All],[$ PT COMM]])+SUMIF(Mar_Period_1_Tbl[[#All],[STAFF:]],$A4,Mar_Period_1_Tbl[[#All],[$ PT COMM]])+SUMIF(Apr_Period_1_Tbl[[#All],[STAFF:]],$A4,Apr_Period_1_Tbl[[#All],[$ PT COMM]])+   SUMIF(May_Period_1_Tbl[[#All],[STAFF:]],$A4,May_Period_1_Tbl[[#All],[$ PT COMM]])+   SUMIF(Jun_Period_1_Tbl[[#All],[STAFF:]],$A4,Jun_Period_1_Tbl[[#All],[$ PT COMM]])+  SUMIF(Jul_Period_1_Tbl[[#All],[STAFF:]],$A4,Jul_Period_1_Tbl[[#All],[$ PT COMM]])+  SUMIF(Aug_Period_1_Tbl[[#All],[STAFF:]],$A4,Aug_Period_1_Tbl[[#All],[$ PT COMM]])+  SUMIF(Sep_Period_1_Tbl[[#All],[STAFF:]],$A4,Sep_Period_1_Tbl[[#All],[$ PT COMM]])+  SUMIF(Oct_Period_1_Tbl[[#All],[STAFF:]],$A4,Oct_Period_1_Tbl[[#All],[$ PT COMM]])+     SUMIF(Nov_Period_1_Tbl[[#All],[STAFF:]],$A4,Nov_Period_1_Tbl[[#All],[$ PT COMM]])+  SUMIF(Dec_Period_1_Tbl[[#All],[STAFF:]],$A4,Dec_Period_1_Tbl[[#All],[$ PT COMM]]))+   (SUMIF(Jan_Period_2_Tbl[[#All],[STAFF:]],$A4,Jan_Period_2_Tbl[[#All],[$ PT COMM]])+
SUMIF(Feb_Period_2_Tbl[[#All],[STAFF:]],$A4,Feb_Period_2_Tbl[[#All],[$ PT COMM]])+SUMIF(Mar_Period_2_Tbl[[#All],[STAFF:]],$A4,Mar_Period_2_Tbl[[#All],[$ PT COMM]])+SUMIF(Apr_Period_2_Tbl[[#All],[STAFF:]],$A4,Apr_Period_2_Tbl[[#All],[$ PT COMM]])+   SUMIF(May_Period_2_Tbl[[#All],[STAFF:]],$A4,May_Period_2_Tbl[[#All],[$ PT COMM]])+   SUMIF(Jun_Period_2_Tbl[[#All],[STAFF:]],$A4,Jun_Period_2_Tbl[[#All],[$ PT COMM]])+  SUMIF(Jul_Period_2_Tbl[[#All],[STAFF:]],$A4,Jul_Period_2_Tbl[[#All],[$ PT COMM]])+  SUMIF(Aug_Period_2_Tbl[[#All],[STAFF:]],$A4,Aug_Period_2_Tbl[[#All],[$ PT COMM]])+  SUMIF(Sep_Period_2_Tbl[[#All],[STAFF:]],$A4,Sep_Period_2_Tbl[[#All],[$ PT COMM]])+  SUMIF(Oct_Period_2_Tbl[[#All],[STAFF:]],$A4,Oct_Period_2_Tbl[[#All],[$ PT COMM]])+     SUMIF(Nov_Period_2_Tbl[[#All],[STAFF:]],$A4,Nov_Period_2_Tbl[[#All],[$ PT COMM]])+  SUMIF(Dec_Period_2_Tbl[[#All],[STAFF:]],$A4,Dec_Period_2_Tbl[[#All],[$ PT COMM]]))</t>
  </si>
  <si>
    <t>(SUMIF(Jan_Period_1_Tbl[[#All],[STAFF:]],$A4,Jan_Period_1_Tbl[[#All],[$ EFT COMM]])+
SUMIF(Feb_Period_1_Tbl[[#All],[STAFF:]],$A4,Feb_Period_1_Tbl[[#All],[$ EFT COMM]])+SUMIF(Mar_Period_1_Tbl[[#All],[STAFF:]],$A4,Mar_Period_1_Tbl[[#All],[$ EFT COMM]])+SUMIF(Apr_Period_1_Tbl[[#All],[STAFF:]],$A4,Apr_Period_1_Tbl[[#All],[$ EFT COMM]])+   SUMIF(May_Period_1_Tbl[[#All],[STAFF:]],$A4,May_Period_1_Tbl[[#All],[$ EFT COMM]])+   SUMIF(Jun_Period_1_Tbl[[#All],[STAFF:]],$A4,Jun_Period_1_Tbl[[#All],[$ EFT COMM]])+  SUMIF(Jul_Period_1_Tbl[[#All],[STAFF:]],$A4,Jul_Period_1_Tbl[[#All],[$ EFT COMM]])+  SUMIF(Aug_Period_1_Tbl[[#All],[STAFF:]],$A4,Aug_Period_1_Tbl[[#All],[$ EFT COMM]])+  SUMIF(Sep_Period_1_Tbl[[#All],[STAFF:]],$A4,Sep_Period_1_Tbl[[#All],[$ EFT COMM]])+  SUMIF(Oct_Period_1_Tbl[[#All],[STAFF:]],$A4,Oct_Period_1_Tbl[[#All],[$ EFT COMM]])+     SUMIF(Nov_Period_1_Tbl[[#All],[STAFF:]],$A4,Nov_Period_1_Tbl[[#All],[$ EFT COMM]])+  SUMIF(Dec_Period_1_Tbl[[#All],[STAFF:]],$A4,Dec_Period_1_Tbl[[#All],[$ EFT COMM]]))+   (SUMIF(Jan_Period_2_Tbl[[#All],[STAFF:]],$A4,Jan_Period_2_Tbl[[#All],[$ EFT COMM]])+
SUMIF(Feb_Period_2_Tbl[[#All],[STAFF:]],$A4,Feb_Period_2_Tbl[[#All],[$ EFT COMM]])+SUMIF(Mar_Period_2_Tbl[[#All],[STAFF:]],$A4,Mar_Period_2_Tbl[[#All],[$ EFT COMM]])+SUMIF(Apr_Period_2_Tbl[[#All],[STAFF:]],$A4,Apr_Period_2_Tbl[[#All],[$ EFT COMM]])+   SUMIF(May_Period_2_Tbl[[#All],[STAFF:]],$A4,May_Period_2_Tbl[[#All],[$ EFT COMM]])+   SUMIF(Jun_Period_2_Tbl[[#All],[STAFF:]],$A4,Jun_Period_2_Tbl[[#All],[$ EFT COMM]])+  SUMIF(Jul_Period_2_Tbl[[#All],[STAFF:]],$A4,Jul_Period_2_Tbl[[#All],[$ EFT COMM]])+  SUMIF(Aug_Period_2_Tbl[[#All],[STAFF:]],$A4,Aug_Period_2_Tbl[[#All],[$ EFT COMM]])+  SUMIF(Sep_Period_2_Tbl[[#All],[STAFF:]],$A4,Sep_Period_2_Tbl[[#All],[$ EFT COMM]])+  SUMIF(Oct_Period_2_Tbl[[#All],[STAFF:]],$A4,Oct_Period_2_Tbl[[#All],[$ EFT COMM]])+     SUMIF(Nov_Period_2_Tbl[[#All],[STAFF:]],$A4,Nov_Period_2_Tbl[[#All],[$ EFT COMM]])+  SUMIF(Dec_Period_2_Tbl[[#All],[STAFF:]],$A4,Dec_Period_2_Tbl[[#All],[$ EFT COMM]]))</t>
  </si>
  <si>
    <t>(SUMIF(Jan_Period_1_Tbl[[#All],[STAFF:]],$A4,Jan_Period_1_Tbl[[#All],[$ CLASS PAY]])+
SUMIF(Feb_Period_1_Tbl[[#All],[STAFF:]],$A4,Feb_Period_1_Tbl[[#All],[$ CLASS PAY]])+SUMIF(Mar_Period_1_Tbl[[#All],[STAFF:]],$A4,Mar_Period_1_Tbl[[#All],[$ CLASS PAY]])+SUMIF(Apr_Period_1_Tbl[[#All],[STAFF:]],$A4,Apr_Period_1_Tbl[[#All],[$ CLASS PAY]])+   SUMIF(May_Period_1_Tbl[[#All],[STAFF:]],$A4,May_Period_1_Tbl[[#All],[$ CLASS PAY]])+   SUMIF(Jun_Period_1_Tbl[[#All],[STAFF:]],$A4,Jun_Period_1_Tbl[[#All],[$ CLASS PAY]])+  SUMIF(Jul_Period_1_Tbl[[#All],[STAFF:]],$A4,Jul_Period_1_Tbl[[#All],[$ CLASS PAY]])+  SUMIF(Aug_Period_1_Tbl[[#All],[STAFF:]],$A4,Aug_Period_1_Tbl[[#All],[$ CLASS PAY]])+  SUMIF(Sep_Period_1_Tbl[[#All],[STAFF:]],$A4,Sep_Period_1_Tbl[[#All],[$ CLASS PAY]])+  SUMIF(Oct_Period_1_Tbl[[#All],[STAFF:]],$A4,Oct_Period_1_Tbl[[#All],[$ CLASS PAY]])+     SUMIF(Nov_Period_1_Tbl[[#All],[STAFF:]],$A4,Nov_Period_1_Tbl[[#All],[$ CLASS PAY]])+  SUMIF(Dec_Period_1_Tbl[[#All],[STAFF:]],$A4,Dec_Period_1_Tbl[[#All],[$ CLASS PAY]]))+   (SUMIF(Jan_Period_2_Tbl[[#All],[STAFF:]],$A4,Jan_Period_2_Tbl[[#All],[$ CLASS PAY]])+
SUMIF(Feb_Period_2_Tbl[[#All],[STAFF:]],$A4,Feb_Period_2_Tbl[[#All],[$ CLASS PAY]])+SUMIF(Mar_Period_2_Tbl[[#All],[STAFF:]],$A4,Mar_Period_2_Tbl[[#All],[$ CLASS PAY]])+SUMIF(Apr_Period_2_Tbl[[#All],[STAFF:]],$A4,Apr_Period_2_Tbl[[#All],[$ CLASS PAY]])+   SUMIF(May_Period_2_Tbl[[#All],[STAFF:]],$A4,May_Period_2_Tbl[[#All],[$ CLASS PAY]])+   SUMIF(Jun_Period_2_Tbl[[#All],[STAFF:]],$A4,Jun_Period_2_Tbl[[#All],[$ CLASS PAY]])+  SUMIF(Jul_Period_2_Tbl[[#All],[STAFF:]],$A4,Jul_Period_2_Tbl[[#All],[$ CLASS PAY]])+  SUMIF(Aug_Period_2_Tbl[[#All],[STAFF:]],$A4,Aug_Period_2_Tbl[[#All],[$ CLASS PAY]])+  SUMIF(Sep_Period_2_Tbl[[#All],[STAFF:]],$A4,Sep_Period_2_Tbl[[#All],[$ CLASS PAY]])+  SUMIF(Oct_Period_2_Tbl[[#All],[STAFF:]],$A4,Oct_Period_2_Tbl[[#All],[$ CLASS PAY]])+     SUMIF(Nov_Period_2_Tbl[[#All],[STAFF:]],$A4,Nov_Period_2_Tbl[[#All],[$ CLASS PAY]])+  SUMIF(Dec_Period_2_Tbl[[#All],[STAFF:]],$A4,Dec_Period_2_Tbl[[#All],[$ CLASS PAY]]))</t>
  </si>
  <si>
    <t>(SUMIF(Jan_Period_1_Tbl[[#All],[STAFF:]],$A4,Jan_Period_1_Tbl[[#All],[$ BONUS PAY]])+
SUMIF(Feb_Period_1_Tbl[[#All],[STAFF:]],$A4,Feb_Period_1_Tbl[[#All],[$ BONUS PAY]])+SUMIF(Mar_Period_1_Tbl[[#All],[STAFF:]],$A4,Mar_Period_1_Tbl[[#All],[$ BONUS PAY]])+SUMIF(Apr_Period_1_Tbl[[#All],[STAFF:]],$A4,Apr_Period_1_Tbl[[#All],[$ BONUS PAY]])+   SUMIF(May_Period_1_Tbl[[#All],[STAFF:]],$A4,May_Period_1_Tbl[[#All],[$ BONUS PAY]])+   SUMIF(Jun_Period_1_Tbl[[#All],[STAFF:]],$A4,Jun_Period_1_Tbl[[#All],[$ BONUS PAY]])+  SUMIF(Jul_Period_1_Tbl[[#All],[STAFF:]],$A4,Jul_Period_1_Tbl[[#All],[$ BONUS PAY]])+  SUMIF(Aug_Period_1_Tbl[[#All],[STAFF:]],$A4,Aug_Period_1_Tbl[[#All],[$ BONUS PAY]])+  SUMIF(Sep_Period_1_Tbl[[#All],[STAFF:]],$A4,Sep_Period_1_Tbl[[#All],[$ BONUS PAY]])+  SUMIF(Oct_Period_1_Tbl[[#All],[STAFF:]],$A4,Oct_Period_1_Tbl[[#All],[$ BONUS PAY]])+     SUMIF(Nov_Period_1_Tbl[[#All],[STAFF:]],$A4,Nov_Period_1_Tbl[[#All],[$ BONUS PAY]])+  SUMIF(Dec_Period_1_Tbl[[#All],[STAFF:]],$A4,Dec_Period_1_Tbl[[#All],[$ BONUS PAY]]))+   (SUMIF(Jan_Period_2_Tbl[[#All],[STAFF:]],$A4,Jan_Period_2_Tbl[[#All],[$ BONUS PAY]])+
SUMIF(Feb_Period_2_Tbl[[#All],[STAFF:]],$A4,Feb_Period_2_Tbl[[#All],[$ BONUS PAY]])+SUMIF(Mar_Period_2_Tbl[[#All],[STAFF:]],$A4,Mar_Period_2_Tbl[[#All],[$ BONUS PAY]])+SUMIF(Apr_Period_2_Tbl[[#All],[STAFF:]],$A4,Apr_Period_2_Tbl[[#All],[$ BONUS PAY]])+   SUMIF(May_Period_2_Tbl[[#All],[STAFF:]],$A4,May_Period_2_Tbl[[#All],[$ BONUS PAY]])+   SUMIF(Jun_Period_2_Tbl[[#All],[STAFF:]],$A4,Jun_Period_2_Tbl[[#All],[$ BONUS PAY]])+  SUMIF(Jul_Period_2_Tbl[[#All],[STAFF:]],$A4,Jul_Period_2_Tbl[[#All],[$ BONUS PAY]])+  SUMIF(Aug_Period_2_Tbl[[#All],[STAFF:]],$A4,Aug_Period_2_Tbl[[#All],[$ BONUS PAY]])+  SUMIF(Sep_Period_2_Tbl[[#All],[STAFF:]],$A4,Sep_Period_2_Tbl[[#All],[$ BONUS PAY]])+  SUMIF(Oct_Period_2_Tbl[[#All],[STAFF:]],$A4,Oct_Period_2_Tbl[[#All],[$ BONUS PAY]])+     SUMIF(Nov_Period_2_Tbl[[#All],[STAFF:]],$A4,Nov_Period_2_Tbl[[#All],[$ BONUS PAY]])+  SUMIF(Dec_Period_2_Tbl[[#All],[STAFF:]],$A4,Dec_Period_2_Tbl[[#All],[$ BONUS PAY]]))</t>
  </si>
  <si>
    <t>(SUMIF(Jan_Period_1_Tbl[[#All],[STAFF:]],$A4,Jan_Period_1_Tbl[[#All],[$ Hourly WAGES]])+
SUMIF(Feb_Period_1_Tbl[[#All],[STAFF:]],$A4,Feb_Period_1_Tbl[[#All],[$ Hourly WAGES]])+SUMIF(Mar_Period_1_Tbl[[#All],[STAFF:]],$A4,Mar_Period_1_Tbl[[#All],[$ Hourly WAGES]])+SUMIF(Apr_Period_1_Tbl[[#All],[STAFF:]],$A4,Apr_Period_1_Tbl[[#All],[$ Hourly WAGES]])+   SUMIF(May_Period_1_Tbl[[#All],[STAFF:]],$A4,May_Period_1_Tbl[[#All],[$ Hourly WAGES]])+   SUMIF(Jun_Period_1_Tbl[[#All],[STAFF:]],$A4,Jun_Period_1_Tbl[[#All],[$ Hourly WAGES]])+  SUMIF(Jul_Period_1_Tbl[[#All],[STAFF:]],$A4,Jul_Period_1_Tbl[[#All],[$ Hourly WAGES]])+  SUMIF(Aug_Period_1_Tbl[[#All],[STAFF:]],$A4,Aug_Period_1_Tbl[[#All],[$ Hourly WAGES]])+  SUMIF(Sep_Period_1_Tbl[[#All],[STAFF:]],$A4,Sep_Period_1_Tbl[[#All],[$ Hourly WAGES]])+  SUMIF(Oct_Period_1_Tbl[[#All],[STAFF:]],$A4,Oct_Period_1_Tbl[[#All],[$ Hourly WAGES]])+     SUMIF(Nov_Period_1_Tbl[[#All],[STAFF:]],$A4,Nov_Period_1_Tbl[[#All],[$ Hourly WAGES]])+  SUMIF(Dec_Period_1_Tbl[[#All],[STAFF:]],$A4,Dec_Period_1_Tbl[[#All],[$ Hourly WAGES]]))+   (SUMIF(Jan_Period_2_Tbl[[#All],[STAFF:]],$A4,Jan_Period_2_Tbl[[#All],[$ Hourly WAGES]])+
SUMIF(Feb_Period_2_Tbl[[#All],[STAFF:]],$A4,Feb_Period_2_Tbl[[#All],[$ Hourly WAGES]])+SUMIF(Mar_Period_2_Tbl[[#All],[STAFF:]],$A4,Mar_Period_2_Tbl[[#All],[$ Hourly WAGES]])+SUMIF(Apr_Period_2_Tbl[[#All],[STAFF:]],$A4,Apr_Period_2_Tbl[[#All],[$ Hourly WAGES]])+   SUMIF(May_Period_2_Tbl[[#All],[STAFF:]],$A4,May_Period_2_Tbl[[#All],[$ Hourly WAGES]])+   SUMIF(Jun_Period_2_Tbl[[#All],[STAFF:]],$A4,Jun_Period_2_Tbl[[#All],[$ Hourly WAGES]])+  SUMIF(Jul_Period_2_Tbl[[#All],[STAFF:]],$A4,Jul_Period_2_Tbl[[#All],[$ Hourly WAGES]])+  SUMIF(Aug_Period_2_Tbl[[#All],[STAFF:]],$A4,Aug_Period_2_Tbl[[#All],[$ Hourly WAGES]])+  SUMIF(Sep_Period_2_Tbl[[#All],[STAFF:]],$A4,Sep_Period_2_Tbl[[#All],[$ Hourly WAGES]])+  SUMIF(Oct_Period_2_Tbl[[#All],[STAFF:]],$A4,Oct_Period_2_Tbl[[#All],[$ Hourly WAGES]])+     SUMIF(Nov_Period_2_Tbl[[#All],[STAFF:]],$A4,Nov_Period_2_Tbl[[#All],[$ Hourly WAGES]])+  SUMIF(Dec_Period_2_Tbl[[#All],[STAFF:]],$A4,Dec_Period_2_Tbl[[#All],[$ Hourly WAGES]]))</t>
  </si>
  <si>
    <t>(SUMIF(Jan_Period_1_Tbl[[#All],[STAFF:]],$A4,Jan_Period_1_Tbl[[#All],[$ SALARY]])+
SUMIF(Feb_Period_1_Tbl[[#All],[STAFF:]],$A4,Feb_Period_1_Tbl[[#All],[$ SALARY]])+SUMIF(Mar_Period_1_Tbl[[#All],[STAFF:]],$A4,Mar_Period_1_Tbl[[#All],[$ SALARY]])+SUMIF(Apr_Period_1_Tbl[[#All],[STAFF:]],$A4,Apr_Period_1_Tbl[[#All],[$ SALARY]])+   SUMIF(May_Period_1_Tbl[[#All],[STAFF:]],$A4,May_Period_1_Tbl[[#All],[$ SALARY]])+   SUMIF(Jun_Period_1_Tbl[[#All],[STAFF:]],$A4,Jun_Period_1_Tbl[[#All],[$ SALARY]])+  SUMIF(Jul_Period_1_Tbl[[#All],[STAFF:]],$A4,Jul_Period_1_Tbl[[#All],[$ SALARY]])+  SUMIF(Aug_Period_1_Tbl[[#All],[STAFF:]],$A4,Aug_Period_1_Tbl[[#All],[$ SALARY]])+  SUMIF(Sep_Period_1_Tbl[[#All],[STAFF:]],$A4,Sep_Period_1_Tbl[[#All],[$ SALARY]])+  SUMIF(Oct_Period_1_Tbl[[#All],[STAFF:]],$A4,Oct_Period_1_Tbl[[#All],[$ SALARY]])+     SUMIF(Nov_Period_1_Tbl[[#All],[STAFF:]],$A4,Nov_Period_1_Tbl[[#All],[$ SALARY]])+  SUMIF(Dec_Period_1_Tbl[[#All],[STAFF:]],$A4,Dec_Period_1_Tbl[[#All],[$ SALARY]]))+   (SUMIF(Jan_Period_2_Tbl[[#All],[STAFF:]],$A4,Jan_Period_2_Tbl[[#All],[$ SALARY]])+
SUMIF(Feb_Period_2_Tbl[[#All],[STAFF:]],$A4,Feb_Period_2_Tbl[[#All],[$ SALARY]])+SUMIF(Mar_Period_2_Tbl[[#All],[STAFF:]],$A4,Mar_Period_2_Tbl[[#All],[$ SALARY]])+SUMIF(Apr_Period_2_Tbl[[#All],[STAFF:]],$A4,Apr_Period_2_Tbl[[#All],[$ SALARY]])+   SUMIF(May_Period_2_Tbl[[#All],[STAFF:]],$A4,May_Period_2_Tbl[[#All],[$ SALARY]])+   SUMIF(Jun_Period_2_Tbl[[#All],[STAFF:]],$A4,Jun_Period_2_Tbl[[#All],[$ SALARY]])+  SUMIF(Jul_Period_2_Tbl[[#All],[STAFF:]],$A4,Jul_Period_2_Tbl[[#All],[$ SALARY]])+  SUMIF(Aug_Period_2_Tbl[[#All],[STAFF:]],$A4,Aug_Period_2_Tbl[[#All],[$ SALARY]])+  SUMIF(Sep_Period_2_Tbl[[#All],[STAFF:]],$A4,Sep_Period_2_Tbl[[#All],[$ SALARY]])+  SUMIF(Oct_Period_2_Tbl[[#All],[STAFF:]],$A4,Oct_Period_2_Tbl[[#All],[$ SALARY]])+     SUMIF(Nov_Period_2_Tbl[[#All],[STAFF:]],$A4,Nov_Period_2_Tbl[[#All],[$ SALARY]])+  SUMIF(Dec_Period_2_Tbl[[#All],[STAFF:]],$A4,Dec_Period_2_Tbl[[#All],[$ SALARY]]))</t>
  </si>
  <si>
    <r>
      <t xml:space="preserve">Anytime Fitness - Manassas Team </t>
    </r>
    <r>
      <rPr>
        <sz val="14"/>
        <color theme="0"/>
        <rFont val="Calibri"/>
        <family val="2"/>
        <scheme val="minor"/>
      </rPr>
      <t>| Club #3142</t>
    </r>
  </si>
  <si>
    <r>
      <t xml:space="preserve">Anytime Fitness - Manassas Team | </t>
    </r>
    <r>
      <rPr>
        <sz val="12"/>
        <color theme="0"/>
        <rFont val="Calibri"/>
        <family val="2"/>
        <scheme val="minor"/>
      </rPr>
      <t>Club #3142</t>
    </r>
  </si>
  <si>
    <t>hide</t>
  </si>
  <si>
    <t>admin</t>
  </si>
  <si>
    <t>LOGIN</t>
  </si>
  <si>
    <t>bDeactivate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</si>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</sst>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&quot;$&quot;#,##0.00"/>
    <numFmt numFmtId="165" formatCode="[$$-409]#,##0.00_ ;[Red]\-[$$-409]#,##0.00\ "/>
    <numFmt numFmtId="166" formatCode="[$-F800]dddd\,\ mmmm\ dd\,\ yyyy"/>
    <numFmt numFmtId="167" formatCode="#,##0_ ;[Red]\-#,##0\ "/>
    <numFmt numFmtId="168" formatCode="&quot;$&quot;#,##0"/>
  </numFmts>
  <fonts count="4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9"/>
      <color rgb="FF0070C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u/>
      <sz val="10"/>
      <color rgb="FF0070C0"/>
      <name val="Calibri"/>
      <family val="2"/>
      <scheme val="minor"/>
    </font>
    <font>
      <sz val="1"/>
      <color theme="0"/>
      <name val="Calibri"/>
      <family val="2"/>
      <scheme val="minor"/>
    </font>
    <font>
      <b/>
      <sz val="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10"/>
      <color theme="0"/>
      <name val="Calibri"/>
      <family val="2"/>
      <scheme val="minor"/>
    </font>
    <font>
      <b/>
      <u/>
      <sz val="9"/>
      <color indexed="81"/>
      <name val="Tahoma"/>
      <family val="2"/>
    </font>
    <font>
      <u/>
      <sz val="9"/>
      <color indexed="81"/>
      <name val="Tahoma"/>
      <family val="2"/>
    </font>
    <font>
      <b/>
      <sz val="14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u/>
      <sz val="8"/>
      <color theme="0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F57FF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23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/>
      <bottom/>
      <diagonal/>
    </border>
    <border>
      <left/>
      <right style="double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medium">
        <color theme="4"/>
      </bottom>
      <diagonal/>
    </border>
    <border>
      <left style="thin">
        <color theme="4"/>
      </left>
      <right style="thin">
        <color theme="4"/>
      </right>
      <top style="double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24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2" fillId="0" borderId="2" xfId="0" applyFont="1" applyBorder="1" applyAlignment="1">
      <alignment horizontal="right"/>
    </xf>
    <xf numFmtId="0" fontId="0" fillId="0" borderId="3" xfId="0" applyBorder="1" applyAlignment="1">
      <alignment horizontal="right"/>
    </xf>
    <xf numFmtId="0" fontId="2" fillId="0" borderId="2" xfId="0" applyFont="1" applyBorder="1"/>
    <xf numFmtId="14" fontId="0" fillId="0" borderId="0" xfId="0" applyNumberFormat="1" applyBorder="1"/>
    <xf numFmtId="14" fontId="0" fillId="0" borderId="3" xfId="0" applyNumberFormat="1" applyBorder="1"/>
    <xf numFmtId="14" fontId="0" fillId="0" borderId="4" xfId="0" applyNumberFormat="1" applyBorder="1"/>
    <xf numFmtId="14" fontId="0" fillId="0" borderId="3" xfId="0" applyNumberFormat="1" applyBorder="1" applyAlignment="1">
      <alignment horizontal="center"/>
    </xf>
    <xf numFmtId="0" fontId="0" fillId="6" borderId="1" xfId="0" applyFill="1" applyBorder="1"/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center"/>
    </xf>
    <xf numFmtId="0" fontId="4" fillId="5" borderId="5" xfId="0" applyFont="1" applyFill="1" applyBorder="1" applyAlignment="1"/>
    <xf numFmtId="0" fontId="4" fillId="5" borderId="6" xfId="0" applyFont="1" applyFill="1" applyBorder="1" applyAlignment="1"/>
    <xf numFmtId="0" fontId="4" fillId="5" borderId="5" xfId="0" applyFont="1" applyFill="1" applyBorder="1" applyAlignment="1">
      <alignment horizontal="left" indent="2"/>
    </xf>
    <xf numFmtId="0" fontId="2" fillId="5" borderId="6" xfId="0" applyFont="1" applyFill="1" applyBorder="1" applyAlignment="1"/>
    <xf numFmtId="0" fontId="2" fillId="5" borderId="5" xfId="0" applyFont="1" applyFill="1" applyBorder="1" applyAlignment="1"/>
    <xf numFmtId="0" fontId="0" fillId="0" borderId="7" xfId="0" applyBorder="1"/>
    <xf numFmtId="0" fontId="14" fillId="9" borderId="8" xfId="0" applyFont="1" applyFill="1" applyBorder="1"/>
    <xf numFmtId="0" fontId="4" fillId="0" borderId="0" xfId="0" applyFont="1" applyBorder="1" applyAlignment="1">
      <alignment horizontal="right"/>
    </xf>
    <xf numFmtId="0" fontId="0" fillId="0" borderId="0" xfId="0" applyNumberFormat="1" applyFont="1" applyFill="1" applyBorder="1" applyAlignment="1" applyProtection="1">
      <alignment horizontal="right"/>
    </xf>
    <xf numFmtId="0" fontId="4" fillId="0" borderId="0" xfId="0" applyNumberFormat="1" applyFont="1" applyFill="1" applyBorder="1" applyAlignment="1" applyProtection="1">
      <alignment horizontal="left"/>
    </xf>
    <xf numFmtId="164" fontId="4" fillId="0" borderId="0" xfId="0" applyNumberFormat="1" applyFont="1" applyFill="1" applyBorder="1" applyAlignment="1" applyProtection="1">
      <alignment horizontal="center"/>
    </xf>
    <xf numFmtId="0" fontId="4" fillId="0" borderId="0" xfId="0" applyNumberFormat="1" applyFont="1" applyFill="1" applyBorder="1" applyAlignment="1" applyProtection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Protection="1"/>
    <xf numFmtId="0" fontId="4" fillId="0" borderId="0" xfId="0" applyFont="1" applyProtection="1"/>
    <xf numFmtId="0" fontId="3" fillId="0" borderId="0" xfId="0" applyFont="1" applyAlignment="1" applyProtection="1">
      <alignment vertical="center" wrapText="1"/>
    </xf>
    <xf numFmtId="0" fontId="1" fillId="0" borderId="0" xfId="0" applyFont="1" applyProtection="1"/>
    <xf numFmtId="0" fontId="0" fillId="0" borderId="0" xfId="0" applyAlignment="1" applyProtection="1">
      <alignment horizontal="left"/>
    </xf>
    <xf numFmtId="164" fontId="0" fillId="0" borderId="0" xfId="0" applyNumberFormat="1" applyAlignment="1" applyProtection="1">
      <alignment horizontal="center"/>
    </xf>
    <xf numFmtId="164" fontId="0" fillId="0" borderId="0" xfId="0" applyNumberFormat="1" applyAlignment="1" applyProtection="1">
      <alignment horizontal="center" wrapText="1"/>
    </xf>
    <xf numFmtId="14" fontId="4" fillId="0" borderId="0" xfId="0" applyNumberFormat="1" applyFont="1" applyAlignment="1" applyProtection="1">
      <alignment horizontal="left"/>
    </xf>
    <xf numFmtId="0" fontId="4" fillId="0" borderId="0" xfId="0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/>
    </xf>
    <xf numFmtId="164" fontId="4" fillId="0" borderId="0" xfId="0" applyNumberFormat="1" applyFont="1" applyAlignment="1" applyProtection="1">
      <alignment horizontal="center" wrapText="1"/>
    </xf>
    <xf numFmtId="164" fontId="2" fillId="0" borderId="0" xfId="0" applyNumberFormat="1" applyFont="1" applyFill="1" applyBorder="1" applyAlignment="1" applyProtection="1">
      <alignment horizontal="center"/>
    </xf>
    <xf numFmtId="164" fontId="4" fillId="0" borderId="0" xfId="0" applyNumberFormat="1" applyFont="1" applyFill="1" applyBorder="1" applyAlignment="1" applyProtection="1">
      <alignment horizontal="center" wrapText="1"/>
    </xf>
    <xf numFmtId="1" fontId="0" fillId="0" borderId="0" xfId="0" applyNumberFormat="1" applyAlignment="1" applyProtection="1">
      <alignment horizontal="center"/>
    </xf>
    <xf numFmtId="1" fontId="4" fillId="0" borderId="0" xfId="0" applyNumberFormat="1" applyFont="1" applyAlignment="1" applyProtection="1">
      <alignment horizontal="center"/>
    </xf>
    <xf numFmtId="0" fontId="16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1" fontId="0" fillId="6" borderId="1" xfId="0" applyNumberFormat="1" applyFill="1" applyBorder="1" applyAlignment="1">
      <alignment horizontal="center"/>
    </xf>
    <xf numFmtId="0" fontId="7" fillId="10" borderId="0" xfId="0" applyFont="1" applyFill="1" applyAlignment="1" applyProtection="1">
      <alignment vertical="center"/>
      <protection locked="0"/>
    </xf>
    <xf numFmtId="0" fontId="0" fillId="11" borderId="0" xfId="0" applyFill="1"/>
    <xf numFmtId="0" fontId="4" fillId="11" borderId="0" xfId="0" applyFont="1" applyFill="1"/>
    <xf numFmtId="0" fontId="18" fillId="11" borderId="0" xfId="0" applyFont="1" applyFill="1" applyAlignment="1" applyProtection="1">
      <alignment vertical="center"/>
      <protection locked="0"/>
    </xf>
    <xf numFmtId="0" fontId="4" fillId="11" borderId="0" xfId="0" applyFont="1" applyFill="1" applyAlignment="1">
      <alignment horizontal="right" indent="1"/>
    </xf>
    <xf numFmtId="0" fontId="19" fillId="11" borderId="0" xfId="0" applyFont="1" applyFill="1" applyAlignment="1" applyProtection="1">
      <alignment vertical="center"/>
      <protection locked="0"/>
    </xf>
    <xf numFmtId="0" fontId="4" fillId="11" borderId="0" xfId="0" applyFont="1" applyFill="1" applyAlignment="1">
      <alignment horizontal="left" indent="1"/>
    </xf>
    <xf numFmtId="0" fontId="0" fillId="0" borderId="0" xfId="0" applyBorder="1"/>
    <xf numFmtId="0" fontId="5" fillId="8" borderId="0" xfId="0" applyFont="1" applyFill="1" applyBorder="1" applyAlignment="1" applyProtection="1">
      <alignment vertical="center"/>
    </xf>
    <xf numFmtId="164" fontId="5" fillId="4" borderId="0" xfId="0" applyNumberFormat="1" applyFont="1" applyFill="1" applyBorder="1" applyAlignment="1" applyProtection="1">
      <alignment horizontal="center" vertical="center" wrapText="1"/>
    </xf>
    <xf numFmtId="0" fontId="5" fillId="2" borderId="0" xfId="0" applyFont="1" applyFill="1" applyBorder="1" applyAlignment="1" applyProtection="1">
      <alignment horizontal="center" vertical="center" wrapText="1"/>
    </xf>
    <xf numFmtId="0" fontId="5" fillId="7" borderId="0" xfId="0" applyFont="1" applyFill="1" applyBorder="1" applyAlignment="1" applyProtection="1">
      <alignment horizontal="center" vertical="center" wrapText="1"/>
    </xf>
    <xf numFmtId="0" fontId="4" fillId="0" borderId="0" xfId="0" applyFont="1" applyFill="1" applyBorder="1" applyAlignment="1" applyProtection="1">
      <alignment horizontal="left"/>
      <protection locked="0"/>
    </xf>
    <xf numFmtId="1" fontId="4" fillId="0" borderId="0" xfId="0" applyNumberFormat="1" applyFont="1" applyFill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0" xfId="0" applyBorder="1" applyAlignment="1" applyProtection="1">
      <alignment horizontal="left"/>
    </xf>
    <xf numFmtId="1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center" wrapText="1"/>
    </xf>
    <xf numFmtId="0" fontId="0" fillId="0" borderId="0" xfId="0" applyBorder="1" applyAlignment="1" applyProtection="1">
      <alignment horizontal="center"/>
    </xf>
    <xf numFmtId="14" fontId="4" fillId="0" borderId="0" xfId="0" applyNumberFormat="1" applyFont="1" applyBorder="1" applyAlignment="1" applyProtection="1">
      <alignment horizontal="left"/>
    </xf>
    <xf numFmtId="1" fontId="4" fillId="0" borderId="0" xfId="0" applyNumberFormat="1" applyFon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/>
    </xf>
    <xf numFmtId="164" fontId="4" fillId="0" borderId="0" xfId="0" applyNumberFormat="1" applyFont="1" applyBorder="1" applyAlignment="1" applyProtection="1">
      <alignment horizontal="center" wrapText="1"/>
    </xf>
    <xf numFmtId="0" fontId="4" fillId="0" borderId="0" xfId="0" applyFont="1" applyBorder="1" applyAlignment="1" applyProtection="1">
      <alignment horizontal="center"/>
    </xf>
    <xf numFmtId="0" fontId="4" fillId="0" borderId="0" xfId="0" applyFont="1" applyFill="1" applyAlignment="1" applyProtection="1">
      <alignment horizontal="left"/>
      <protection locked="0"/>
    </xf>
    <xf numFmtId="1" fontId="4" fillId="0" borderId="0" xfId="0" applyNumberFormat="1" applyFont="1" applyFill="1" applyAlignment="1" applyProtection="1">
      <alignment horizontal="center"/>
      <protection locked="0"/>
    </xf>
    <xf numFmtId="0" fontId="0" fillId="0" borderId="0" xfId="0" applyNumberFormat="1"/>
    <xf numFmtId="0" fontId="20" fillId="0" borderId="0" xfId="0" applyFont="1" applyAlignment="1">
      <alignment horizontal="center"/>
    </xf>
    <xf numFmtId="0" fontId="21" fillId="0" borderId="0" xfId="0" applyFont="1" applyFill="1" applyAlignment="1" applyProtection="1">
      <alignment horizontal="left"/>
      <protection locked="0"/>
    </xf>
    <xf numFmtId="164" fontId="0" fillId="0" borderId="0" xfId="0" applyNumberFormat="1" applyFont="1" applyAlignment="1" applyProtection="1">
      <alignment horizontal="center"/>
    </xf>
    <xf numFmtId="164" fontId="0" fillId="0" borderId="0" xfId="0" applyNumberFormat="1" applyFont="1" applyBorder="1" applyAlignment="1" applyProtection="1">
      <alignment horizontal="center"/>
    </xf>
    <xf numFmtId="1" fontId="4" fillId="0" borderId="0" xfId="0" applyNumberFormat="1" applyFont="1" applyFill="1" applyBorder="1" applyAlignment="1" applyProtection="1">
      <alignment horizontal="center"/>
    </xf>
    <xf numFmtId="3" fontId="4" fillId="0" borderId="0" xfId="0" applyNumberFormat="1" applyFont="1" applyFill="1" applyBorder="1" applyAlignment="1" applyProtection="1">
      <alignment horizontal="center"/>
    </xf>
    <xf numFmtId="0" fontId="0" fillId="0" borderId="0" xfId="0" applyAlignment="1"/>
    <xf numFmtId="3" fontId="0" fillId="0" borderId="0" xfId="0" applyNumberFormat="1" applyAlignment="1" applyProtection="1">
      <alignment horizontal="center"/>
    </xf>
    <xf numFmtId="3" fontId="4" fillId="0" borderId="0" xfId="0" applyNumberFormat="1" applyFont="1" applyAlignment="1" applyProtection="1">
      <alignment horizontal="center"/>
    </xf>
    <xf numFmtId="3" fontId="4" fillId="0" borderId="0" xfId="0" applyNumberFormat="1" applyFont="1" applyFill="1" applyBorder="1" applyAlignment="1" applyProtection="1">
      <alignment horizontal="center"/>
      <protection locked="0"/>
    </xf>
    <xf numFmtId="3" fontId="4" fillId="0" borderId="0" xfId="0" applyNumberFormat="1" applyFont="1" applyFill="1" applyAlignment="1" applyProtection="1">
      <alignment horizontal="center"/>
      <protection locked="0"/>
    </xf>
    <xf numFmtId="3" fontId="0" fillId="0" borderId="0" xfId="0" applyNumberFormat="1" applyBorder="1" applyAlignment="1" applyProtection="1">
      <alignment horizontal="center"/>
    </xf>
    <xf numFmtId="3" fontId="4" fillId="0" borderId="0" xfId="0" applyNumberFormat="1" applyFont="1" applyBorder="1" applyAlignment="1" applyProtection="1">
      <alignment horizontal="center"/>
    </xf>
    <xf numFmtId="0" fontId="2" fillId="0" borderId="0" xfId="0" applyFont="1" applyAlignment="1" applyProtection="1">
      <alignment horizontal="left"/>
    </xf>
    <xf numFmtId="0" fontId="5" fillId="7" borderId="0" xfId="0" applyFont="1" applyFill="1" applyBorder="1" applyAlignment="1" applyProtection="1">
      <alignment horizontal="left" vertical="center" wrapText="1"/>
    </xf>
    <xf numFmtId="3" fontId="5" fillId="4" borderId="0" xfId="0" applyNumberFormat="1" applyFont="1" applyFill="1" applyBorder="1" applyAlignment="1" applyProtection="1">
      <alignment horizontal="center" vertical="center" wrapText="1"/>
    </xf>
    <xf numFmtId="164" fontId="5" fillId="2" borderId="0" xfId="0" applyNumberFormat="1" applyFont="1" applyFill="1" applyBorder="1" applyAlignment="1" applyProtection="1">
      <alignment horizontal="center" vertical="center" wrapText="1"/>
    </xf>
    <xf numFmtId="164" fontId="23" fillId="2" borderId="0" xfId="0" applyNumberFormat="1" applyFont="1" applyFill="1" applyBorder="1" applyAlignment="1" applyProtection="1">
      <alignment horizontal="center" vertical="center" wrapText="1"/>
    </xf>
    <xf numFmtId="164" fontId="5" fillId="7" borderId="0" xfId="0" applyNumberFormat="1" applyFont="1" applyFill="1" applyBorder="1" applyAlignment="1" applyProtection="1">
      <alignment horizontal="center" vertical="center" wrapText="1"/>
    </xf>
    <xf numFmtId="164" fontId="5" fillId="3" borderId="0" xfId="0" applyNumberFormat="1" applyFont="1" applyFill="1" applyBorder="1" applyAlignment="1" applyProtection="1">
      <alignment horizontal="center" vertical="center" wrapText="1"/>
    </xf>
    <xf numFmtId="0" fontId="25" fillId="0" borderId="0" xfId="0" applyFont="1" applyFill="1" applyBorder="1" applyProtection="1">
      <protection locked="0"/>
    </xf>
    <xf numFmtId="0" fontId="25" fillId="0" borderId="0" xfId="0" applyFont="1" applyFill="1" applyProtection="1">
      <protection locked="0"/>
    </xf>
    <xf numFmtId="168" fontId="4" fillId="0" borderId="0" xfId="0" applyNumberFormat="1" applyFont="1" applyFill="1" applyBorder="1" applyAlignment="1" applyProtection="1">
      <alignment horizontal="center"/>
    </xf>
    <xf numFmtId="168" fontId="4" fillId="0" borderId="0" xfId="0" applyNumberFormat="1" applyFont="1" applyFill="1" applyBorder="1" applyAlignment="1" applyProtection="1">
      <alignment horizontal="center" wrapText="1"/>
    </xf>
    <xf numFmtId="168" fontId="2" fillId="0" borderId="0" xfId="0" applyNumberFormat="1" applyFont="1" applyFill="1" applyBorder="1" applyAlignment="1" applyProtection="1">
      <alignment horizontal="center"/>
    </xf>
    <xf numFmtId="168" fontId="2" fillId="3" borderId="0" xfId="0" applyNumberFormat="1" applyFont="1" applyFill="1" applyBorder="1" applyAlignment="1" applyProtection="1">
      <alignment horizontal="center"/>
    </xf>
    <xf numFmtId="168" fontId="22" fillId="3" borderId="0" xfId="0" applyNumberFormat="1" applyFont="1" applyFill="1" applyBorder="1" applyAlignment="1" applyProtection="1">
      <alignment horizontal="center"/>
    </xf>
    <xf numFmtId="168" fontId="4" fillId="0" borderId="0" xfId="0" applyNumberFormat="1" applyFont="1" applyFill="1" applyBorder="1" applyAlignment="1" applyProtection="1">
      <alignment horizontal="center"/>
      <protection locked="0"/>
    </xf>
    <xf numFmtId="168" fontId="4" fillId="0" borderId="0" xfId="0" applyNumberFormat="1" applyFont="1" applyFill="1" applyBorder="1" applyAlignment="1" applyProtection="1">
      <alignment horizontal="center" wrapText="1"/>
      <protection locked="0"/>
    </xf>
    <xf numFmtId="168" fontId="2" fillId="0" borderId="0" xfId="0" applyNumberFormat="1" applyFont="1" applyFill="1" applyBorder="1" applyAlignment="1" applyProtection="1">
      <alignment horizontal="center"/>
      <protection locked="0"/>
    </xf>
    <xf numFmtId="168" fontId="4" fillId="0" borderId="0" xfId="0" applyNumberFormat="1" applyFont="1" applyFill="1" applyAlignment="1" applyProtection="1">
      <alignment horizontal="center"/>
      <protection locked="0"/>
    </xf>
    <xf numFmtId="168" fontId="4" fillId="0" borderId="0" xfId="0" applyNumberFormat="1" applyFont="1" applyFill="1" applyAlignment="1" applyProtection="1">
      <alignment horizontal="center"/>
    </xf>
    <xf numFmtId="168" fontId="4" fillId="0" borderId="0" xfId="0" applyNumberFormat="1" applyFont="1" applyFill="1" applyAlignment="1" applyProtection="1">
      <alignment horizontal="center" wrapText="1"/>
      <protection locked="0"/>
    </xf>
    <xf numFmtId="168" fontId="2" fillId="0" borderId="0" xfId="0" applyNumberFormat="1" applyFont="1" applyFill="1" applyAlignment="1" applyProtection="1">
      <alignment horizontal="center"/>
      <protection locked="0"/>
    </xf>
    <xf numFmtId="0" fontId="4" fillId="0" borderId="0" xfId="0" applyFont="1" applyFill="1" applyBorder="1" applyAlignment="1" applyProtection="1">
      <alignment horizontal="center"/>
    </xf>
    <xf numFmtId="164" fontId="0" fillId="0" borderId="0" xfId="0" applyNumberFormat="1" applyProtection="1"/>
    <xf numFmtId="0" fontId="25" fillId="0" borderId="0" xfId="0" applyFont="1" applyFill="1" applyBorder="1" applyProtection="1"/>
    <xf numFmtId="0" fontId="25" fillId="0" borderId="0" xfId="0" applyFont="1" applyFill="1" applyProtection="1"/>
    <xf numFmtId="0" fontId="24" fillId="0" borderId="0" xfId="0" applyFont="1" applyFill="1" applyProtection="1"/>
    <xf numFmtId="0" fontId="18" fillId="0" borderId="0" xfId="0" applyFont="1" applyFill="1" applyProtection="1"/>
    <xf numFmtId="168" fontId="26" fillId="0" borderId="0" xfId="0" applyNumberFormat="1" applyFont="1" applyFill="1" applyBorder="1" applyAlignment="1" applyProtection="1">
      <alignment horizontal="center"/>
    </xf>
    <xf numFmtId="0" fontId="14" fillId="0" borderId="0" xfId="0" applyFont="1" applyFill="1" applyProtection="1"/>
    <xf numFmtId="164" fontId="17" fillId="0" borderId="0" xfId="0" applyNumberFormat="1" applyFont="1" applyFill="1" applyBorder="1" applyAlignment="1" applyProtection="1">
      <alignment horizontal="center" vertical="center" wrapText="1"/>
    </xf>
    <xf numFmtId="164" fontId="26" fillId="0" borderId="0" xfId="0" applyNumberFormat="1" applyFont="1" applyFill="1" applyBorder="1" applyAlignment="1" applyProtection="1">
      <alignment horizontal="center"/>
    </xf>
    <xf numFmtId="3" fontId="0" fillId="0" borderId="0" xfId="0" applyNumberFormat="1"/>
    <xf numFmtId="3" fontId="0" fillId="0" borderId="0" xfId="0" applyNumberFormat="1" applyAlignment="1" applyProtection="1">
      <alignment horizontal="center" vertical="center"/>
    </xf>
    <xf numFmtId="3" fontId="0" fillId="0" borderId="0" xfId="0" applyNumberFormat="1" applyAlignment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3" fontId="4" fillId="0" borderId="0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 applyProtection="1">
      <alignment horizontal="center" vertical="center"/>
    </xf>
    <xf numFmtId="164" fontId="27" fillId="0" borderId="0" xfId="0" applyNumberFormat="1" applyFont="1" applyAlignment="1" applyProtection="1">
      <alignment horizontal="left" vertical="center"/>
    </xf>
    <xf numFmtId="164" fontId="27" fillId="0" borderId="0" xfId="0" applyNumberFormat="1" applyFont="1" applyAlignment="1" applyProtection="1">
      <alignment horizontal="center" vertical="center"/>
    </xf>
    <xf numFmtId="0" fontId="27" fillId="0" borderId="0" xfId="0" applyFont="1" applyAlignment="1">
      <alignment horizontal="center" vertical="center"/>
    </xf>
    <xf numFmtId="3" fontId="25" fillId="0" borderId="0" xfId="0" applyNumberFormat="1" applyFont="1" applyAlignment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Font="1" applyAlignment="1" applyProtection="1">
      <alignment horizontal="left" vertical="center" wrapText="1"/>
    </xf>
    <xf numFmtId="0" fontId="28" fillId="0" borderId="10" xfId="0" applyFont="1" applyBorder="1" applyAlignment="1">
      <alignment horizontal="center" vertical="center"/>
    </xf>
    <xf numFmtId="164" fontId="28" fillId="0" borderId="10" xfId="0" applyNumberFormat="1" applyFont="1" applyBorder="1" applyAlignment="1">
      <alignment horizontal="center" vertical="center"/>
    </xf>
    <xf numFmtId="3" fontId="0" fillId="0" borderId="0" xfId="0" applyNumberFormat="1" applyAlignment="1" applyProtection="1">
      <alignment horizontal="center" vertical="center"/>
      <protection locked="0"/>
    </xf>
    <xf numFmtId="3" fontId="25" fillId="0" borderId="0" xfId="0" applyNumberFormat="1" applyFont="1" applyAlignment="1" applyProtection="1">
      <alignment horizontal="center" vertical="center"/>
      <protection locked="0"/>
    </xf>
    <xf numFmtId="0" fontId="18" fillId="12" borderId="5" xfId="0" applyFont="1" applyFill="1" applyBorder="1" applyAlignment="1">
      <alignment horizontal="left" indent="2"/>
    </xf>
    <xf numFmtId="0" fontId="26" fillId="10" borderId="5" xfId="0" applyFont="1" applyFill="1" applyBorder="1" applyAlignment="1">
      <alignment horizontal="left" indent="2"/>
    </xf>
    <xf numFmtId="0" fontId="26" fillId="10" borderId="6" xfId="0" applyFont="1" applyFill="1" applyBorder="1" applyAlignment="1"/>
    <xf numFmtId="0" fontId="18" fillId="10" borderId="5" xfId="0" quotePrefix="1" applyFont="1" applyFill="1" applyBorder="1" applyAlignment="1">
      <alignment horizontal="left" indent="2"/>
    </xf>
    <xf numFmtId="0" fontId="3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4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6" fillId="10" borderId="5" xfId="0" applyFont="1" applyFill="1" applyBorder="1" applyAlignment="1"/>
    <xf numFmtId="0" fontId="7" fillId="0" borderId="0" xfId="0" applyFont="1" applyFill="1" applyAlignment="1" applyProtection="1">
      <alignment horizontal="center" vertical="center"/>
      <protection locked="0"/>
    </xf>
    <xf numFmtId="0" fontId="0" fillId="0" borderId="0" xfId="0" applyFill="1" applyAlignment="1">
      <alignment horizontal="center"/>
    </xf>
    <xf numFmtId="164" fontId="5" fillId="0" borderId="0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Fill="1" applyBorder="1" applyAlignment="1">
      <alignment horizontal="center"/>
    </xf>
    <xf numFmtId="164" fontId="5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3" fontId="25" fillId="13" borderId="11" xfId="0" applyNumberFormat="1" applyFont="1" applyFill="1" applyBorder="1" applyAlignment="1">
      <alignment horizontal="center" vertical="center"/>
    </xf>
    <xf numFmtId="3" fontId="25" fillId="0" borderId="11" xfId="0" applyNumberFormat="1" applyFont="1" applyBorder="1" applyAlignment="1">
      <alignment horizontal="center" vertical="center"/>
    </xf>
    <xf numFmtId="164" fontId="27" fillId="13" borderId="11" xfId="0" applyNumberFormat="1" applyFont="1" applyFill="1" applyBorder="1" applyAlignment="1">
      <alignment horizontal="center" vertical="center"/>
    </xf>
    <xf numFmtId="164" fontId="27" fillId="0" borderId="11" xfId="0" applyNumberFormat="1" applyFont="1" applyBorder="1" applyAlignment="1">
      <alignment horizontal="center" vertical="center"/>
    </xf>
    <xf numFmtId="164" fontId="23" fillId="0" borderId="0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2" fillId="0" borderId="11" xfId="0" applyFont="1" applyBorder="1" applyAlignment="1">
      <alignment horizontal="center" vertical="center" wrapText="1"/>
    </xf>
    <xf numFmtId="164" fontId="27" fillId="13" borderId="11" xfId="0" applyNumberFormat="1" applyFont="1" applyFill="1" applyBorder="1" applyAlignment="1">
      <alignment horizontal="center" vertical="center"/>
    </xf>
    <xf numFmtId="3" fontId="25" fillId="0" borderId="11" xfId="0" applyNumberFormat="1" applyFont="1" applyBorder="1" applyAlignment="1">
      <alignment horizontal="center" vertical="center"/>
    </xf>
    <xf numFmtId="3" fontId="25" fillId="13" borderId="11" xfId="0" applyNumberFormat="1" applyFont="1" applyFill="1" applyBorder="1" applyAlignment="1">
      <alignment horizontal="center" vertical="center"/>
    </xf>
    <xf numFmtId="164" fontId="28" fillId="0" borderId="10" xfId="0" applyNumberFormat="1" applyFont="1" applyBorder="1" applyAlignment="1" applyProtection="1">
      <alignment horizontal="center" vertical="center"/>
    </xf>
    <xf numFmtId="0" fontId="4" fillId="0" borderId="0" xfId="0" applyFont="1" applyProtection="1">
      <protection locked="0"/>
    </xf>
    <xf numFmtId="0" fontId="0" fillId="0" borderId="0" xfId="0" applyProtection="1">
      <protection locked="0"/>
    </xf>
    <xf numFmtId="0" fontId="27" fillId="0" borderId="0" xfId="0" applyFont="1" applyAlignment="1" applyProtection="1">
      <alignment horizontal="center" vertical="center"/>
    </xf>
    <xf numFmtId="0" fontId="28" fillId="0" borderId="10" xfId="0" applyFont="1" applyBorder="1" applyAlignment="1" applyProtection="1">
      <alignment horizontal="center" vertical="center"/>
    </xf>
    <xf numFmtId="0" fontId="1" fillId="0" borderId="7" xfId="0" applyFont="1" applyBorder="1"/>
    <xf numFmtId="0" fontId="24" fillId="0" borderId="0" xfId="0" applyFont="1"/>
    <xf numFmtId="0" fontId="26" fillId="0" borderId="0" xfId="0" applyFont="1"/>
    <xf numFmtId="0" fontId="4" fillId="0" borderId="0" xfId="0" applyFont="1" applyAlignment="1">
      <alignment wrapText="1"/>
    </xf>
    <xf numFmtId="0" fontId="4" fillId="0" borderId="0" xfId="0" applyFont="1" applyAlignment="1"/>
    <xf numFmtId="0" fontId="25" fillId="0" borderId="0" xfId="0" applyFont="1" applyAlignment="1" applyProtection="1">
      <alignment horizontal="left" vertical="center" wrapText="1"/>
    </xf>
    <xf numFmtId="3" fontId="25" fillId="0" borderId="11" xfId="0" applyNumberFormat="1" applyFont="1" applyBorder="1" applyAlignment="1">
      <alignment horizontal="center" vertical="center"/>
    </xf>
    <xf numFmtId="3" fontId="25" fillId="13" borderId="11" xfId="0" applyNumberFormat="1" applyFont="1" applyFill="1" applyBorder="1" applyAlignment="1">
      <alignment horizontal="center" vertical="center"/>
    </xf>
    <xf numFmtId="164" fontId="5" fillId="0" borderId="9" xfId="0" applyNumberFormat="1" applyFont="1" applyFill="1" applyBorder="1" applyAlignment="1" applyProtection="1">
      <alignment horizontal="center" vertical="center" wrapText="1"/>
    </xf>
    <xf numFmtId="164" fontId="5" fillId="7" borderId="9" xfId="0" applyNumberFormat="1" applyFont="1" applyFill="1" applyBorder="1" applyAlignment="1" applyProtection="1">
      <alignment horizontal="center" vertical="center" wrapText="1"/>
    </xf>
    <xf numFmtId="164" fontId="5" fillId="3" borderId="16" xfId="0" applyNumberFormat="1" applyFont="1" applyFill="1" applyBorder="1" applyAlignment="1">
      <alignment horizontal="center" vertical="center"/>
    </xf>
    <xf numFmtId="164" fontId="5" fillId="3" borderId="16" xfId="0" applyNumberFormat="1" applyFont="1" applyFill="1" applyBorder="1" applyAlignment="1">
      <alignment horizontal="center" vertical="center" wrapText="1"/>
    </xf>
    <xf numFmtId="164" fontId="2" fillId="3" borderId="20" xfId="0" applyNumberFormat="1" applyFont="1" applyFill="1" applyBorder="1" applyAlignment="1">
      <alignment horizontal="center"/>
    </xf>
    <xf numFmtId="164" fontId="2" fillId="3" borderId="21" xfId="0" applyNumberFormat="1" applyFont="1" applyFill="1" applyBorder="1" applyAlignment="1">
      <alignment horizontal="center"/>
    </xf>
    <xf numFmtId="0" fontId="4" fillId="5" borderId="5" xfId="0" applyFont="1" applyFill="1" applyBorder="1" applyAlignment="1">
      <alignment horizontal="left" indent="1"/>
    </xf>
    <xf numFmtId="0" fontId="2" fillId="5" borderId="5" xfId="0" applyFont="1" applyFill="1" applyBorder="1" applyAlignment="1">
      <alignment horizontal="left" indent="1"/>
    </xf>
    <xf numFmtId="0" fontId="18" fillId="12" borderId="6" xfId="0" applyFont="1" applyFill="1" applyBorder="1" applyAlignment="1">
      <alignment horizontal="left"/>
    </xf>
    <xf numFmtId="0" fontId="4" fillId="5" borderId="6" xfId="0" applyFont="1" applyFill="1" applyBorder="1" applyAlignment="1">
      <alignment horizontal="left"/>
    </xf>
    <xf numFmtId="3" fontId="25" fillId="6" borderId="11" xfId="0" applyNumberFormat="1" applyFont="1" applyFill="1" applyBorder="1" applyAlignment="1">
      <alignment horizontal="center"/>
    </xf>
    <xf numFmtId="14" fontId="4" fillId="0" borderId="4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167" fontId="4" fillId="0" borderId="4" xfId="0" applyNumberFormat="1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165" fontId="4" fillId="0" borderId="22" xfId="0" applyNumberFormat="1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0" fontId="11" fillId="7" borderId="0" xfId="0" quotePrefix="1" applyFont="1" applyFill="1" applyAlignment="1" applyProtection="1">
      <alignment horizontal="right" vertical="center"/>
      <protection locked="0"/>
    </xf>
    <xf numFmtId="0" fontId="0" fillId="7" borderId="0" xfId="0" applyFill="1" applyAlignment="1" applyProtection="1">
      <alignment horizontal="center"/>
    </xf>
    <xf numFmtId="0" fontId="0" fillId="7" borderId="0" xfId="0" applyFill="1" applyAlignment="1">
      <alignment horizontal="center"/>
    </xf>
    <xf numFmtId="0" fontId="34" fillId="7" borderId="0" xfId="0" applyFont="1" applyFill="1" applyBorder="1" applyAlignment="1" applyProtection="1">
      <alignment horizontal="center" vertical="center"/>
    </xf>
    <xf numFmtId="0" fontId="24" fillId="7" borderId="0" xfId="0" applyFont="1" applyFill="1" applyBorder="1" applyAlignment="1" applyProtection="1">
      <alignment horizontal="center"/>
    </xf>
    <xf numFmtId="3" fontId="24" fillId="7" borderId="0" xfId="0" applyNumberFormat="1" applyFont="1" applyFill="1" applyBorder="1" applyAlignment="1" applyProtection="1">
      <alignment horizontal="center"/>
    </xf>
    <xf numFmtId="164" fontId="24" fillId="7" borderId="0" xfId="0" applyNumberFormat="1" applyFont="1" applyFill="1" applyAlignment="1" applyProtection="1">
      <alignment horizontal="center" wrapText="1"/>
    </xf>
    <xf numFmtId="164" fontId="24" fillId="7" borderId="0" xfId="0" applyNumberFormat="1" applyFont="1" applyFill="1" applyAlignment="1" applyProtection="1">
      <alignment horizontal="center"/>
    </xf>
    <xf numFmtId="0" fontId="24" fillId="7" borderId="0" xfId="0" applyFont="1" applyFill="1" applyAlignment="1" applyProtection="1">
      <alignment horizontal="center"/>
    </xf>
    <xf numFmtId="0" fontId="24" fillId="7" borderId="0" xfId="0" applyFont="1" applyFill="1" applyProtection="1"/>
    <xf numFmtId="0" fontId="35" fillId="0" borderId="0" xfId="0" applyFont="1" applyAlignment="1">
      <alignment horizontal="center" vertical="center"/>
    </xf>
    <xf numFmtId="0" fontId="36" fillId="11" borderId="0" xfId="0" applyFont="1" applyFill="1" applyAlignment="1">
      <alignment horizontal="left" indent="1"/>
    </xf>
    <xf numFmtId="0" fontId="37" fillId="11" borderId="0" xfId="0" applyFont="1" applyFill="1" applyAlignment="1">
      <alignment horizontal="left" indent="1"/>
    </xf>
    <xf numFmtId="0" fontId="33" fillId="10" borderId="0" xfId="0" applyFont="1" applyFill="1" applyAlignment="1" applyProtection="1">
      <alignment vertical="center"/>
      <protection locked="0"/>
    </xf>
    <xf numFmtId="0" fontId="38" fillId="10" borderId="0" xfId="0" applyFont="1" applyFill="1" applyAlignment="1" applyProtection="1">
      <alignment horizontal="left" vertical="center" indent="1"/>
      <protection locked="0"/>
    </xf>
    <xf numFmtId="0" fontId="39" fillId="0" borderId="0" xfId="0" applyFont="1" applyFill="1" applyAlignment="1" applyProtection="1">
      <alignment horizontal="left"/>
      <protection locked="0"/>
    </xf>
    <xf numFmtId="168" fontId="40" fillId="3" borderId="0" xfId="0" applyNumberFormat="1" applyFont="1" applyFill="1" applyBorder="1" applyAlignment="1" applyProtection="1">
      <alignment horizontal="center"/>
    </xf>
    <xf numFmtId="0" fontId="15" fillId="0" borderId="0" xfId="0" applyFont="1" applyFill="1" applyAlignment="1" applyProtection="1">
      <alignment horizontal="center" vertical="center"/>
      <protection locked="0"/>
    </xf>
    <xf numFmtId="168" fontId="0" fillId="6" borderId="1" xfId="0" applyNumberFormat="1" applyFill="1" applyBorder="1" applyAlignment="1">
      <alignment horizontal="center"/>
    </xf>
    <xf numFmtId="168" fontId="1" fillId="6" borderId="15" xfId="0" applyNumberFormat="1" applyFont="1" applyFill="1" applyBorder="1" applyAlignment="1">
      <alignment horizontal="center" vertical="center"/>
    </xf>
    <xf numFmtId="168" fontId="4" fillId="0" borderId="4" xfId="0" applyNumberFormat="1" applyFont="1" applyBorder="1" applyAlignment="1">
      <alignment horizontal="center"/>
    </xf>
    <xf numFmtId="168" fontId="4" fillId="0" borderId="22" xfId="0" applyNumberFormat="1" applyFont="1" applyBorder="1" applyAlignment="1">
      <alignment horizontal="center"/>
    </xf>
    <xf numFmtId="168" fontId="2" fillId="3" borderId="20" xfId="0" applyNumberFormat="1" applyFont="1" applyFill="1" applyBorder="1" applyAlignment="1">
      <alignment horizontal="center"/>
    </xf>
    <xf numFmtId="168" fontId="25" fillId="13" borderId="11" xfId="0" applyNumberFormat="1" applyFont="1" applyFill="1" applyBorder="1" applyAlignment="1">
      <alignment horizontal="center" vertical="center"/>
    </xf>
    <xf numFmtId="168" fontId="25" fillId="0" borderId="11" xfId="0" applyNumberFormat="1" applyFont="1" applyBorder="1" applyAlignment="1">
      <alignment horizontal="center" vertical="center"/>
    </xf>
    <xf numFmtId="168" fontId="25" fillId="6" borderId="11" xfId="0" applyNumberFormat="1" applyFont="1" applyFill="1" applyBorder="1" applyAlignment="1">
      <alignment horizontal="center"/>
    </xf>
    <xf numFmtId="0" fontId="32" fillId="10" borderId="0" xfId="0" applyFont="1" applyFill="1" applyAlignment="1" applyProtection="1">
      <alignment horizontal="left" vertical="center" indent="1"/>
      <protection locked="0"/>
    </xf>
    <xf numFmtId="166" fontId="38" fillId="10" borderId="0" xfId="0" applyNumberFormat="1" applyFont="1" applyFill="1" applyAlignment="1" applyProtection="1">
      <alignment horizontal="left" vertical="center"/>
    </xf>
    <xf numFmtId="168" fontId="25" fillId="13" borderId="11" xfId="0" applyNumberFormat="1" applyFont="1" applyFill="1" applyBorder="1" applyAlignment="1">
      <alignment horizontal="center" vertical="center"/>
    </xf>
    <xf numFmtId="3" fontId="25" fillId="0" borderId="11" xfId="0" applyNumberFormat="1" applyFont="1" applyBorder="1" applyAlignment="1">
      <alignment horizontal="center" vertical="center"/>
    </xf>
    <xf numFmtId="3" fontId="25" fillId="0" borderId="12" xfId="0" applyNumberFormat="1" applyFont="1" applyBorder="1" applyAlignment="1">
      <alignment horizontal="center" vertical="center"/>
    </xf>
    <xf numFmtId="3" fontId="25" fillId="0" borderId="14" xfId="0" applyNumberFormat="1" applyFont="1" applyBorder="1" applyAlignment="1">
      <alignment horizontal="center" vertical="center"/>
    </xf>
    <xf numFmtId="168" fontId="25" fillId="0" borderId="12" xfId="0" applyNumberFormat="1" applyFont="1" applyBorder="1" applyAlignment="1">
      <alignment horizontal="center" vertical="center"/>
    </xf>
    <xf numFmtId="168" fontId="25" fillId="0" borderId="14" xfId="0" applyNumberFormat="1" applyFont="1" applyBorder="1" applyAlignment="1">
      <alignment horizontal="center" vertical="center"/>
    </xf>
    <xf numFmtId="3" fontId="25" fillId="13" borderId="11" xfId="0" applyNumberFormat="1" applyFont="1" applyFill="1" applyBorder="1" applyAlignment="1">
      <alignment horizontal="center" vertical="center"/>
    </xf>
    <xf numFmtId="3" fontId="25" fillId="0" borderId="13" xfId="0" applyNumberFormat="1" applyFont="1" applyBorder="1" applyAlignment="1">
      <alignment horizontal="center" vertical="center"/>
    </xf>
    <xf numFmtId="168" fontId="25" fillId="0" borderId="13" xfId="0" applyNumberFormat="1" applyFont="1" applyBorder="1" applyAlignment="1">
      <alignment horizontal="center" vertical="center"/>
    </xf>
    <xf numFmtId="0" fontId="6" fillId="0" borderId="0" xfId="0" applyFont="1" applyBorder="1" applyAlignment="1">
      <alignment horizontal="right" vertical="center"/>
    </xf>
    <xf numFmtId="0" fontId="6" fillId="0" borderId="3" xfId="0" applyFont="1" applyBorder="1" applyAlignment="1">
      <alignment horizontal="right" vertical="center"/>
    </xf>
    <xf numFmtId="0" fontId="32" fillId="9" borderId="0" xfId="0" applyFont="1" applyFill="1" applyAlignment="1" applyProtection="1">
      <alignment horizontal="center" vertical="center"/>
      <protection locked="0"/>
    </xf>
    <xf numFmtId="0" fontId="33" fillId="9" borderId="0" xfId="0" applyFont="1" applyFill="1" applyAlignment="1" applyProtection="1">
      <alignment horizontal="center" vertical="center"/>
      <protection locked="0"/>
    </xf>
    <xf numFmtId="0" fontId="9" fillId="5" borderId="5" xfId="0" applyFont="1" applyFill="1" applyBorder="1" applyAlignment="1">
      <alignment horizontal="center"/>
    </xf>
    <xf numFmtId="0" fontId="9" fillId="5" borderId="6" xfId="0" applyFont="1" applyFill="1" applyBorder="1" applyAlignment="1">
      <alignment horizontal="center"/>
    </xf>
    <xf numFmtId="0" fontId="6" fillId="0" borderId="4" xfId="0" applyFont="1" applyBorder="1" applyAlignment="1">
      <alignment horizontal="right" vertical="center"/>
    </xf>
    <xf numFmtId="1" fontId="0" fillId="0" borderId="4" xfId="0" applyNumberFormat="1" applyBorder="1" applyAlignment="1">
      <alignment horizontal="center" vertical="center"/>
    </xf>
    <xf numFmtId="168" fontId="1" fillId="3" borderId="17" xfId="0" applyNumberFormat="1" applyFont="1" applyFill="1" applyBorder="1" applyAlignment="1">
      <alignment horizontal="center" vertical="center"/>
    </xf>
    <xf numFmtId="168" fontId="1" fillId="3" borderId="18" xfId="0" applyNumberFormat="1" applyFont="1" applyFill="1" applyBorder="1" applyAlignment="1">
      <alignment horizontal="center" vertical="center"/>
    </xf>
    <xf numFmtId="168" fontId="1" fillId="3" borderId="19" xfId="0" applyNumberFormat="1" applyFont="1" applyFill="1" applyBorder="1" applyAlignment="1">
      <alignment horizontal="center" vertical="center"/>
    </xf>
    <xf numFmtId="168" fontId="0" fillId="0" borderId="4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9" borderId="0" xfId="0" applyFont="1" applyFill="1" applyAlignment="1" applyProtection="1">
      <alignment horizontal="center" vertical="center"/>
    </xf>
  </cellXfs>
  <cellStyles count="1">
    <cellStyle name="Normal" xfId="0" builtinId="0"/>
  </cellStyles>
  <dxfs count="1480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protection locked="0" hidden="0"/>
    </dxf>
    <dxf>
      <protection locked="1" hidden="0"/>
    </dxf>
    <dxf>
      <border outline="0">
        <bottom style="thin">
          <color auto="1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protection locked="0" hidden="0"/>
    </dxf>
    <dxf>
      <protection locked="1" hidden="0"/>
    </dxf>
    <dxf>
      <border outline="0">
        <bottom style="thin">
          <color auto="1"/>
        </bottom>
      </border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sz val="9"/>
      </font>
      <fill>
        <patternFill patternType="none">
          <fgColor indexed="64"/>
          <bgColor indexed="65"/>
        </patternFill>
      </fill>
      <protection locked="0" hidden="0"/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z val="8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indent="0" justifyLastLine="0" shrinkToFit="0" readingOrder="0"/>
      <protection locked="1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indent="0" justifyLastLine="0" shrinkToFit="0" readingOrder="0"/>
      <protection locked="0" hidden="0"/>
    </dxf>
    <dxf>
      <numFmt numFmtId="3" formatCode="#,##0"/>
      <alignment horizontal="center" vertical="center" textRotation="0" wrapText="0" indent="0" justifyLastLine="0" shrinkToFit="0" readingOrder="0"/>
      <protection locked="1" hidden="0"/>
    </dxf>
    <dxf>
      <numFmt numFmtId="3" formatCode="#,##0"/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protection locked="1" hidden="0"/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numFmt numFmtId="164" formatCode="&quot;$&quot;#,##0.00"/>
      <alignment horizontal="left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</dxf>
    <dxf>
      <numFmt numFmtId="164" formatCode="&quot;$&quot;#,##0.00"/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3" formatCode="#,##0"/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3" formatCode="#,##0"/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3" formatCode="#,##0"/>
      <alignment horizontal="center" vertical="center" textRotation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name val="Calibri"/>
        <family val="2"/>
        <scheme val="minor"/>
      </font>
      <numFmt numFmtId="3" formatCode="#,##0"/>
      <alignment horizontal="center" vertical="center" textRotation="0" indent="0" justifyLastLine="0" shrinkToFit="0" readingOrder="0"/>
      <protection locked="0" hidden="0"/>
    </dxf>
    <dxf>
      <numFmt numFmtId="164" formatCode="&quot;$&quot;#,##0.0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4" formatCode="&quot;$&quot;#,##0.00"/>
      <fill>
        <patternFill patternType="solid">
          <fgColor indexed="64"/>
          <bgColor theme="7" tint="0.3999755851924192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/>
        <sz val="10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sz val="10"/>
        <family val="2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8" formatCode="&quot;$&quot;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64" formatCode="&quot;$&quot;#,##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z val="10"/>
      </font>
      <numFmt numFmtId="1" formatCode="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protection locked="1" hidden="0"/>
    </dxf>
    <dxf>
      <numFmt numFmtId="164" formatCode="&quot;$&quot;#,##0.00"/>
      <protection locked="1" hidden="0"/>
    </dxf>
  </dxfs>
  <tableStyles count="0" defaultTableStyle="TableStyleMedium2" defaultPivotStyle="PivotStyleLight16"/>
  <colors>
    <mruColors>
      <color rgb="FFB089FF"/>
      <color rgb="FF8243FF"/>
      <color rgb="FF9999FF"/>
      <color rgb="FF8F57FF"/>
      <color rgb="FFA071FF"/>
      <color rgb="FF9966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114300</xdr:colOff>
      <xdr:row>10</xdr:row>
      <xdr:rowOff>9524</xdr:rowOff>
    </xdr:from>
    <xdr:to>
      <xdr:col>2</xdr:col>
      <xdr:colOff>478070</xdr:colOff>
      <xdr:row>12</xdr:row>
      <xdr:rowOff>31233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F97B3450-43F2-4A0D-A27F-C61BCB7B00D7}"/>
            </a:ext>
          </a:extLst>
        </xdr:cNvPr>
        <xdr:cNvGrpSpPr/>
      </xdr:nvGrpSpPr>
      <xdr:grpSpPr>
        <a:xfrm>
          <a:off x="1485900" y="2047874"/>
          <a:ext cx="363770" cy="497959"/>
          <a:chOff x="4079875" y="1139825"/>
          <a:chExt cx="1414463" cy="1870076"/>
        </a:xfrm>
        <a:solidFill>
          <a:sysClr val="window" lastClr="FFFFFF"/>
        </a:solidFill>
      </xdr:grpSpPr>
      <xdr:sp macro="[0]!Load_Login_Form" textlink="">
        <xdr:nvSpPr>
          <xdr:cNvPr id="15" name="Freeform 34">
            <a:extLst>
              <a:ext uri="{FF2B5EF4-FFF2-40B4-BE49-F238E27FC236}">
                <a16:creationId xmlns:a16="http://schemas.microsoft.com/office/drawing/2014/main" id="{5D1B76C0-ADF6-41D0-8AE8-17C1036E2C3B}"/>
              </a:ext>
            </a:extLst>
          </xdr:cNvPr>
          <xdr:cNvSpPr>
            <a:spLocks/>
          </xdr:cNvSpPr>
        </xdr:nvSpPr>
        <xdr:spPr bwMode="auto">
          <a:xfrm>
            <a:off x="4597400" y="1663700"/>
            <a:ext cx="417513" cy="409575"/>
          </a:xfrm>
          <a:custGeom>
            <a:avLst/>
            <a:gdLst/>
            <a:ahLst/>
            <a:cxnLst>
              <a:cxn ang="0">
                <a:pos x="263" y="0"/>
              </a:cxn>
              <a:cxn ang="0">
                <a:pos x="263" y="258"/>
              </a:cxn>
              <a:cxn ang="0">
                <a:pos x="0" y="258"/>
              </a:cxn>
              <a:cxn ang="0">
                <a:pos x="9" y="208"/>
              </a:cxn>
              <a:cxn ang="0">
                <a:pos x="25" y="161"/>
              </a:cxn>
              <a:cxn ang="0">
                <a:pos x="51" y="117"/>
              </a:cxn>
              <a:cxn ang="0">
                <a:pos x="84" y="81"/>
              </a:cxn>
              <a:cxn ang="0">
                <a:pos x="121" y="49"/>
              </a:cxn>
              <a:cxn ang="0">
                <a:pos x="164" y="24"/>
              </a:cxn>
              <a:cxn ang="0">
                <a:pos x="213" y="9"/>
              </a:cxn>
              <a:cxn ang="0">
                <a:pos x="263" y="0"/>
              </a:cxn>
            </a:cxnLst>
            <a:rect l="0" t="0" r="r" b="b"/>
            <a:pathLst>
              <a:path w="263" h="258">
                <a:moveTo>
                  <a:pt x="263" y="0"/>
                </a:moveTo>
                <a:lnTo>
                  <a:pt x="263" y="258"/>
                </a:lnTo>
                <a:lnTo>
                  <a:pt x="0" y="258"/>
                </a:lnTo>
                <a:lnTo>
                  <a:pt x="9" y="208"/>
                </a:lnTo>
                <a:lnTo>
                  <a:pt x="25" y="161"/>
                </a:lnTo>
                <a:lnTo>
                  <a:pt x="51" y="117"/>
                </a:lnTo>
                <a:lnTo>
                  <a:pt x="84" y="81"/>
                </a:lnTo>
                <a:lnTo>
                  <a:pt x="121" y="49"/>
                </a:lnTo>
                <a:lnTo>
                  <a:pt x="164" y="24"/>
                </a:lnTo>
                <a:lnTo>
                  <a:pt x="213" y="9"/>
                </a:lnTo>
                <a:lnTo>
                  <a:pt x="263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US"/>
          </a:p>
        </xdr:txBody>
      </xdr:sp>
      <xdr:sp macro="[0]!Load_Login_Form" textlink="">
        <xdr:nvSpPr>
          <xdr:cNvPr id="16" name="Freeform 35">
            <a:extLst>
              <a:ext uri="{FF2B5EF4-FFF2-40B4-BE49-F238E27FC236}">
                <a16:creationId xmlns:a16="http://schemas.microsoft.com/office/drawing/2014/main" id="{AB59D93C-DDB0-460E-B128-FA0606464E59}"/>
              </a:ext>
            </a:extLst>
          </xdr:cNvPr>
          <xdr:cNvSpPr>
            <a:spLocks/>
          </xdr:cNvSpPr>
        </xdr:nvSpPr>
        <xdr:spPr bwMode="auto">
          <a:xfrm>
            <a:off x="4595812" y="2128838"/>
            <a:ext cx="898526" cy="881063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566" y="0"/>
              </a:cxn>
              <a:cxn ang="0">
                <a:pos x="566" y="272"/>
              </a:cxn>
              <a:cxn ang="0">
                <a:pos x="561" y="324"/>
              </a:cxn>
              <a:cxn ang="0">
                <a:pos x="547" y="371"/>
              </a:cxn>
              <a:cxn ang="0">
                <a:pos x="527" y="416"/>
              </a:cxn>
              <a:cxn ang="0">
                <a:pos x="499" y="455"/>
              </a:cxn>
              <a:cxn ang="0">
                <a:pos x="465" y="488"/>
              </a:cxn>
              <a:cxn ang="0">
                <a:pos x="425" y="517"/>
              </a:cxn>
              <a:cxn ang="0">
                <a:pos x="381" y="538"/>
              </a:cxn>
              <a:cxn ang="0">
                <a:pos x="333" y="550"/>
              </a:cxn>
              <a:cxn ang="0">
                <a:pos x="283" y="555"/>
              </a:cxn>
              <a:cxn ang="0">
                <a:pos x="232" y="550"/>
              </a:cxn>
              <a:cxn ang="0">
                <a:pos x="184" y="538"/>
              </a:cxn>
              <a:cxn ang="0">
                <a:pos x="140" y="517"/>
              </a:cxn>
              <a:cxn ang="0">
                <a:pos x="100" y="488"/>
              </a:cxn>
              <a:cxn ang="0">
                <a:pos x="67" y="455"/>
              </a:cxn>
              <a:cxn ang="0">
                <a:pos x="38" y="416"/>
              </a:cxn>
              <a:cxn ang="0">
                <a:pos x="18" y="371"/>
              </a:cxn>
              <a:cxn ang="0">
                <a:pos x="5" y="324"/>
              </a:cxn>
              <a:cxn ang="0">
                <a:pos x="0" y="272"/>
              </a:cxn>
              <a:cxn ang="0">
                <a:pos x="0" y="0"/>
              </a:cxn>
            </a:cxnLst>
            <a:rect l="0" t="0" r="r" b="b"/>
            <a:pathLst>
              <a:path w="566" h="555">
                <a:moveTo>
                  <a:pt x="0" y="0"/>
                </a:moveTo>
                <a:lnTo>
                  <a:pt x="566" y="0"/>
                </a:lnTo>
                <a:lnTo>
                  <a:pt x="566" y="272"/>
                </a:lnTo>
                <a:lnTo>
                  <a:pt x="561" y="324"/>
                </a:lnTo>
                <a:lnTo>
                  <a:pt x="547" y="371"/>
                </a:lnTo>
                <a:lnTo>
                  <a:pt x="527" y="416"/>
                </a:lnTo>
                <a:lnTo>
                  <a:pt x="499" y="455"/>
                </a:lnTo>
                <a:lnTo>
                  <a:pt x="465" y="488"/>
                </a:lnTo>
                <a:lnTo>
                  <a:pt x="425" y="517"/>
                </a:lnTo>
                <a:lnTo>
                  <a:pt x="381" y="538"/>
                </a:lnTo>
                <a:lnTo>
                  <a:pt x="333" y="550"/>
                </a:lnTo>
                <a:lnTo>
                  <a:pt x="283" y="555"/>
                </a:lnTo>
                <a:lnTo>
                  <a:pt x="232" y="550"/>
                </a:lnTo>
                <a:lnTo>
                  <a:pt x="184" y="538"/>
                </a:lnTo>
                <a:lnTo>
                  <a:pt x="140" y="517"/>
                </a:lnTo>
                <a:lnTo>
                  <a:pt x="100" y="488"/>
                </a:lnTo>
                <a:lnTo>
                  <a:pt x="67" y="455"/>
                </a:lnTo>
                <a:lnTo>
                  <a:pt x="38" y="416"/>
                </a:lnTo>
                <a:lnTo>
                  <a:pt x="18" y="371"/>
                </a:lnTo>
                <a:lnTo>
                  <a:pt x="5" y="324"/>
                </a:lnTo>
                <a:lnTo>
                  <a:pt x="0" y="272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US"/>
          </a:p>
        </xdr:txBody>
      </xdr:sp>
      <xdr:sp macro="[0]!Load_Login_Form" textlink="">
        <xdr:nvSpPr>
          <xdr:cNvPr id="17" name="Freeform 36">
            <a:extLst>
              <a:ext uri="{FF2B5EF4-FFF2-40B4-BE49-F238E27FC236}">
                <a16:creationId xmlns:a16="http://schemas.microsoft.com/office/drawing/2014/main" id="{270AA2EA-8408-4352-BDAE-DCDD5E909C85}"/>
              </a:ext>
            </a:extLst>
          </xdr:cNvPr>
          <xdr:cNvSpPr>
            <a:spLocks/>
          </xdr:cNvSpPr>
        </xdr:nvSpPr>
        <xdr:spPr bwMode="auto">
          <a:xfrm>
            <a:off x="5073650" y="1663700"/>
            <a:ext cx="417513" cy="409575"/>
          </a:xfrm>
          <a:custGeom>
            <a:avLst/>
            <a:gdLst/>
            <a:ahLst/>
            <a:cxnLst>
              <a:cxn ang="0">
                <a:pos x="0" y="0"/>
              </a:cxn>
              <a:cxn ang="0">
                <a:pos x="50" y="9"/>
              </a:cxn>
              <a:cxn ang="0">
                <a:pos x="99" y="24"/>
              </a:cxn>
              <a:cxn ang="0">
                <a:pos x="141" y="49"/>
              </a:cxn>
              <a:cxn ang="0">
                <a:pos x="179" y="81"/>
              </a:cxn>
              <a:cxn ang="0">
                <a:pos x="211" y="117"/>
              </a:cxn>
              <a:cxn ang="0">
                <a:pos x="236" y="161"/>
              </a:cxn>
              <a:cxn ang="0">
                <a:pos x="255" y="208"/>
              </a:cxn>
              <a:cxn ang="0">
                <a:pos x="263" y="258"/>
              </a:cxn>
              <a:cxn ang="0">
                <a:pos x="0" y="258"/>
              </a:cxn>
              <a:cxn ang="0">
                <a:pos x="0" y="0"/>
              </a:cxn>
            </a:cxnLst>
            <a:rect l="0" t="0" r="r" b="b"/>
            <a:pathLst>
              <a:path w="263" h="258">
                <a:moveTo>
                  <a:pt x="0" y="0"/>
                </a:moveTo>
                <a:lnTo>
                  <a:pt x="50" y="9"/>
                </a:lnTo>
                <a:lnTo>
                  <a:pt x="99" y="24"/>
                </a:lnTo>
                <a:lnTo>
                  <a:pt x="141" y="49"/>
                </a:lnTo>
                <a:lnTo>
                  <a:pt x="179" y="81"/>
                </a:lnTo>
                <a:lnTo>
                  <a:pt x="211" y="117"/>
                </a:lnTo>
                <a:lnTo>
                  <a:pt x="236" y="161"/>
                </a:lnTo>
                <a:lnTo>
                  <a:pt x="255" y="208"/>
                </a:lnTo>
                <a:lnTo>
                  <a:pt x="263" y="258"/>
                </a:lnTo>
                <a:lnTo>
                  <a:pt x="0" y="258"/>
                </a:lnTo>
                <a:lnTo>
                  <a:pt x="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US"/>
          </a:p>
        </xdr:txBody>
      </xdr:sp>
      <xdr:sp macro="[0]!Load_Login_Form" textlink="">
        <xdr:nvSpPr>
          <xdr:cNvPr id="18" name="Freeform 37">
            <a:extLst>
              <a:ext uri="{FF2B5EF4-FFF2-40B4-BE49-F238E27FC236}">
                <a16:creationId xmlns:a16="http://schemas.microsoft.com/office/drawing/2014/main" id="{D13B469C-2E10-4A19-B6B9-5B85716EF099}"/>
              </a:ext>
            </a:extLst>
          </xdr:cNvPr>
          <xdr:cNvSpPr>
            <a:spLocks/>
          </xdr:cNvSpPr>
        </xdr:nvSpPr>
        <xdr:spPr bwMode="auto">
          <a:xfrm>
            <a:off x="4079875" y="1139825"/>
            <a:ext cx="990600" cy="928688"/>
          </a:xfrm>
          <a:custGeom>
            <a:avLst/>
            <a:gdLst/>
            <a:ahLst/>
            <a:cxnLst>
              <a:cxn ang="0">
                <a:pos x="330" y="0"/>
              </a:cxn>
              <a:cxn ang="0">
                <a:pos x="378" y="2"/>
              </a:cxn>
              <a:cxn ang="0">
                <a:pos x="423" y="12"/>
              </a:cxn>
              <a:cxn ang="0">
                <a:pos x="469" y="30"/>
              </a:cxn>
              <a:cxn ang="0">
                <a:pos x="509" y="55"/>
              </a:cxn>
              <a:cxn ang="0">
                <a:pos x="546" y="89"/>
              </a:cxn>
              <a:cxn ang="0">
                <a:pos x="574" y="124"/>
              </a:cxn>
              <a:cxn ang="0">
                <a:pos x="596" y="164"/>
              </a:cxn>
              <a:cxn ang="0">
                <a:pos x="613" y="204"/>
              </a:cxn>
              <a:cxn ang="0">
                <a:pos x="621" y="248"/>
              </a:cxn>
              <a:cxn ang="0">
                <a:pos x="624" y="292"/>
              </a:cxn>
              <a:cxn ang="0">
                <a:pos x="589" y="292"/>
              </a:cxn>
              <a:cxn ang="0">
                <a:pos x="586" y="243"/>
              </a:cxn>
              <a:cxn ang="0">
                <a:pos x="572" y="196"/>
              </a:cxn>
              <a:cxn ang="0">
                <a:pos x="551" y="153"/>
              </a:cxn>
              <a:cxn ang="0">
                <a:pos x="521" y="114"/>
              </a:cxn>
              <a:cxn ang="0">
                <a:pos x="489" y="85"/>
              </a:cxn>
              <a:cxn ang="0">
                <a:pos x="452" y="62"/>
              </a:cxn>
              <a:cxn ang="0">
                <a:pos x="413" y="45"/>
              </a:cxn>
              <a:cxn ang="0">
                <a:pos x="375" y="37"/>
              </a:cxn>
              <a:cxn ang="0">
                <a:pos x="333" y="35"/>
              </a:cxn>
              <a:cxn ang="0">
                <a:pos x="289" y="42"/>
              </a:cxn>
              <a:cxn ang="0">
                <a:pos x="253" y="54"/>
              </a:cxn>
              <a:cxn ang="0">
                <a:pos x="217" y="72"/>
              </a:cxn>
              <a:cxn ang="0">
                <a:pos x="189" y="96"/>
              </a:cxn>
              <a:cxn ang="0">
                <a:pos x="162" y="124"/>
              </a:cxn>
              <a:cxn ang="0">
                <a:pos x="142" y="156"/>
              </a:cxn>
              <a:cxn ang="0">
                <a:pos x="124" y="189"/>
              </a:cxn>
              <a:cxn ang="0">
                <a:pos x="110" y="225"/>
              </a:cxn>
              <a:cxn ang="0">
                <a:pos x="100" y="261"/>
              </a:cxn>
              <a:cxn ang="0">
                <a:pos x="94" y="298"/>
              </a:cxn>
              <a:cxn ang="0">
                <a:pos x="90" y="332"/>
              </a:cxn>
              <a:cxn ang="0">
                <a:pos x="88" y="370"/>
              </a:cxn>
              <a:cxn ang="0">
                <a:pos x="87" y="402"/>
              </a:cxn>
              <a:cxn ang="0">
                <a:pos x="85" y="436"/>
              </a:cxn>
              <a:cxn ang="0">
                <a:pos x="82" y="468"/>
              </a:cxn>
              <a:cxn ang="0">
                <a:pos x="75" y="498"/>
              </a:cxn>
              <a:cxn ang="0">
                <a:pos x="67" y="526"/>
              </a:cxn>
              <a:cxn ang="0">
                <a:pos x="53" y="551"/>
              </a:cxn>
              <a:cxn ang="0">
                <a:pos x="35" y="573"/>
              </a:cxn>
              <a:cxn ang="0">
                <a:pos x="27" y="578"/>
              </a:cxn>
              <a:cxn ang="0">
                <a:pos x="20" y="585"/>
              </a:cxn>
              <a:cxn ang="0">
                <a:pos x="0" y="555"/>
              </a:cxn>
              <a:cxn ang="0">
                <a:pos x="5" y="553"/>
              </a:cxn>
              <a:cxn ang="0">
                <a:pos x="11" y="546"/>
              </a:cxn>
              <a:cxn ang="0">
                <a:pos x="27" y="526"/>
              </a:cxn>
              <a:cxn ang="0">
                <a:pos x="38" y="499"/>
              </a:cxn>
              <a:cxn ang="0">
                <a:pos x="45" y="469"/>
              </a:cxn>
              <a:cxn ang="0">
                <a:pos x="50" y="437"/>
              </a:cxn>
              <a:cxn ang="0">
                <a:pos x="53" y="370"/>
              </a:cxn>
              <a:cxn ang="0">
                <a:pos x="55" y="328"/>
              </a:cxn>
              <a:cxn ang="0">
                <a:pos x="58" y="293"/>
              </a:cxn>
              <a:cxn ang="0">
                <a:pos x="65" y="256"/>
              </a:cxn>
              <a:cxn ang="0">
                <a:pos x="75" y="220"/>
              </a:cxn>
              <a:cxn ang="0">
                <a:pos x="88" y="183"/>
              </a:cxn>
              <a:cxn ang="0">
                <a:pos x="105" y="147"/>
              </a:cxn>
              <a:cxn ang="0">
                <a:pos x="125" y="116"/>
              </a:cxn>
              <a:cxn ang="0">
                <a:pos x="149" y="85"/>
              </a:cxn>
              <a:cxn ang="0">
                <a:pos x="177" y="59"/>
              </a:cxn>
              <a:cxn ang="0">
                <a:pos x="209" y="35"/>
              </a:cxn>
              <a:cxn ang="0">
                <a:pos x="246" y="18"/>
              </a:cxn>
              <a:cxn ang="0">
                <a:pos x="284" y="7"/>
              </a:cxn>
              <a:cxn ang="0">
                <a:pos x="330" y="0"/>
              </a:cxn>
            </a:cxnLst>
            <a:rect l="0" t="0" r="r" b="b"/>
            <a:pathLst>
              <a:path w="624" h="585">
                <a:moveTo>
                  <a:pt x="330" y="0"/>
                </a:moveTo>
                <a:lnTo>
                  <a:pt x="378" y="2"/>
                </a:lnTo>
                <a:lnTo>
                  <a:pt x="423" y="12"/>
                </a:lnTo>
                <a:lnTo>
                  <a:pt x="469" y="30"/>
                </a:lnTo>
                <a:lnTo>
                  <a:pt x="509" y="55"/>
                </a:lnTo>
                <a:lnTo>
                  <a:pt x="546" y="89"/>
                </a:lnTo>
                <a:lnTo>
                  <a:pt x="574" y="124"/>
                </a:lnTo>
                <a:lnTo>
                  <a:pt x="596" y="164"/>
                </a:lnTo>
                <a:lnTo>
                  <a:pt x="613" y="204"/>
                </a:lnTo>
                <a:lnTo>
                  <a:pt x="621" y="248"/>
                </a:lnTo>
                <a:lnTo>
                  <a:pt x="624" y="292"/>
                </a:lnTo>
                <a:lnTo>
                  <a:pt x="589" y="292"/>
                </a:lnTo>
                <a:lnTo>
                  <a:pt x="586" y="243"/>
                </a:lnTo>
                <a:lnTo>
                  <a:pt x="572" y="196"/>
                </a:lnTo>
                <a:lnTo>
                  <a:pt x="551" y="153"/>
                </a:lnTo>
                <a:lnTo>
                  <a:pt x="521" y="114"/>
                </a:lnTo>
                <a:lnTo>
                  <a:pt x="489" y="85"/>
                </a:lnTo>
                <a:lnTo>
                  <a:pt x="452" y="62"/>
                </a:lnTo>
                <a:lnTo>
                  <a:pt x="413" y="45"/>
                </a:lnTo>
                <a:lnTo>
                  <a:pt x="375" y="37"/>
                </a:lnTo>
                <a:lnTo>
                  <a:pt x="333" y="35"/>
                </a:lnTo>
                <a:lnTo>
                  <a:pt x="289" y="42"/>
                </a:lnTo>
                <a:lnTo>
                  <a:pt x="253" y="54"/>
                </a:lnTo>
                <a:lnTo>
                  <a:pt x="217" y="72"/>
                </a:lnTo>
                <a:lnTo>
                  <a:pt x="189" y="96"/>
                </a:lnTo>
                <a:lnTo>
                  <a:pt x="162" y="124"/>
                </a:lnTo>
                <a:lnTo>
                  <a:pt x="142" y="156"/>
                </a:lnTo>
                <a:lnTo>
                  <a:pt x="124" y="189"/>
                </a:lnTo>
                <a:lnTo>
                  <a:pt x="110" y="225"/>
                </a:lnTo>
                <a:lnTo>
                  <a:pt x="100" y="261"/>
                </a:lnTo>
                <a:lnTo>
                  <a:pt x="94" y="298"/>
                </a:lnTo>
                <a:lnTo>
                  <a:pt x="90" y="332"/>
                </a:lnTo>
                <a:lnTo>
                  <a:pt x="88" y="370"/>
                </a:lnTo>
                <a:lnTo>
                  <a:pt x="87" y="402"/>
                </a:lnTo>
                <a:lnTo>
                  <a:pt x="85" y="436"/>
                </a:lnTo>
                <a:lnTo>
                  <a:pt x="82" y="468"/>
                </a:lnTo>
                <a:lnTo>
                  <a:pt x="75" y="498"/>
                </a:lnTo>
                <a:lnTo>
                  <a:pt x="67" y="526"/>
                </a:lnTo>
                <a:lnTo>
                  <a:pt x="53" y="551"/>
                </a:lnTo>
                <a:lnTo>
                  <a:pt x="35" y="573"/>
                </a:lnTo>
                <a:lnTo>
                  <a:pt x="27" y="578"/>
                </a:lnTo>
                <a:lnTo>
                  <a:pt x="20" y="585"/>
                </a:lnTo>
                <a:lnTo>
                  <a:pt x="0" y="555"/>
                </a:lnTo>
                <a:lnTo>
                  <a:pt x="5" y="553"/>
                </a:lnTo>
                <a:lnTo>
                  <a:pt x="11" y="546"/>
                </a:lnTo>
                <a:lnTo>
                  <a:pt x="27" y="526"/>
                </a:lnTo>
                <a:lnTo>
                  <a:pt x="38" y="499"/>
                </a:lnTo>
                <a:lnTo>
                  <a:pt x="45" y="469"/>
                </a:lnTo>
                <a:lnTo>
                  <a:pt x="50" y="437"/>
                </a:lnTo>
                <a:lnTo>
                  <a:pt x="53" y="370"/>
                </a:lnTo>
                <a:lnTo>
                  <a:pt x="55" y="328"/>
                </a:lnTo>
                <a:lnTo>
                  <a:pt x="58" y="293"/>
                </a:lnTo>
                <a:lnTo>
                  <a:pt x="65" y="256"/>
                </a:lnTo>
                <a:lnTo>
                  <a:pt x="75" y="220"/>
                </a:lnTo>
                <a:lnTo>
                  <a:pt x="88" y="183"/>
                </a:lnTo>
                <a:lnTo>
                  <a:pt x="105" y="147"/>
                </a:lnTo>
                <a:lnTo>
                  <a:pt x="125" y="116"/>
                </a:lnTo>
                <a:lnTo>
                  <a:pt x="149" y="85"/>
                </a:lnTo>
                <a:lnTo>
                  <a:pt x="177" y="59"/>
                </a:lnTo>
                <a:lnTo>
                  <a:pt x="209" y="35"/>
                </a:lnTo>
                <a:lnTo>
                  <a:pt x="246" y="18"/>
                </a:lnTo>
                <a:lnTo>
                  <a:pt x="284" y="7"/>
                </a:lnTo>
                <a:lnTo>
                  <a:pt x="330" y="0"/>
                </a:lnTo>
                <a:close/>
              </a:path>
            </a:pathLst>
          </a:custGeom>
          <a:grpFill/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0</xdr:col>
      <xdr:colOff>247650</xdr:colOff>
      <xdr:row>5</xdr:row>
      <xdr:rowOff>123825</xdr:rowOff>
    </xdr:from>
    <xdr:to>
      <xdr:col>5</xdr:col>
      <xdr:colOff>114299</xdr:colOff>
      <xdr:row>17</xdr:row>
      <xdr:rowOff>180975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FC1137D1-ED16-49AB-BF10-4A8A9DAB97E7}"/>
            </a:ext>
          </a:extLst>
        </xdr:cNvPr>
        <xdr:cNvGrpSpPr/>
      </xdr:nvGrpSpPr>
      <xdr:grpSpPr>
        <a:xfrm>
          <a:off x="247650" y="1162050"/>
          <a:ext cx="3067049" cy="2533650"/>
          <a:chOff x="5921454" y="2640013"/>
          <a:chExt cx="2447847" cy="2203450"/>
        </a:xfrm>
      </xdr:grpSpPr>
      <xdr:sp macro="[0]!Load_Login_Form" textlink="">
        <xdr:nvSpPr>
          <xdr:cNvPr id="38" name="Freeform 8">
            <a:extLst>
              <a:ext uri="{FF2B5EF4-FFF2-40B4-BE49-F238E27FC236}">
                <a16:creationId xmlns:a16="http://schemas.microsoft.com/office/drawing/2014/main" id="{6B545C62-A4AF-4266-B658-A7D05C2F909D}"/>
              </a:ext>
            </a:extLst>
          </xdr:cNvPr>
          <xdr:cNvSpPr>
            <a:spLocks/>
          </xdr:cNvSpPr>
        </xdr:nvSpPr>
        <xdr:spPr bwMode="auto">
          <a:xfrm>
            <a:off x="5954387" y="2642633"/>
            <a:ext cx="1289050" cy="1025525"/>
          </a:xfrm>
          <a:custGeom>
            <a:avLst/>
            <a:gdLst/>
            <a:ahLst/>
            <a:cxnLst>
              <a:cxn ang="0">
                <a:pos x="812" y="0"/>
              </a:cxn>
              <a:cxn ang="0">
                <a:pos x="801" y="2"/>
              </a:cxn>
              <a:cxn ang="0">
                <a:pos x="791" y="4"/>
              </a:cxn>
              <a:cxn ang="0">
                <a:pos x="780" y="8"/>
              </a:cxn>
              <a:cxn ang="0">
                <a:pos x="770" y="12"/>
              </a:cxn>
              <a:cxn ang="0">
                <a:pos x="759" y="18"/>
              </a:cxn>
              <a:cxn ang="0">
                <a:pos x="750" y="24"/>
              </a:cxn>
              <a:cxn ang="0">
                <a:pos x="741" y="32"/>
              </a:cxn>
              <a:cxn ang="0">
                <a:pos x="732" y="40"/>
              </a:cxn>
              <a:cxn ang="0">
                <a:pos x="194" y="646"/>
              </a:cxn>
              <a:cxn ang="0">
                <a:pos x="0" y="603"/>
              </a:cxn>
              <a:cxn ang="0">
                <a:pos x="488" y="55"/>
              </a:cxn>
              <a:cxn ang="0">
                <a:pos x="496" y="48"/>
              </a:cxn>
              <a:cxn ang="0">
                <a:pos x="504" y="40"/>
              </a:cxn>
              <a:cxn ang="0">
                <a:pos x="522" y="29"/>
              </a:cxn>
              <a:cxn ang="0">
                <a:pos x="541" y="22"/>
              </a:cxn>
              <a:cxn ang="0">
                <a:pos x="561" y="19"/>
              </a:cxn>
              <a:cxn ang="0">
                <a:pos x="687" y="9"/>
              </a:cxn>
              <a:cxn ang="0">
                <a:pos x="812" y="0"/>
              </a:cxn>
            </a:cxnLst>
            <a:rect l="0" t="0" r="r" b="b"/>
            <a:pathLst>
              <a:path w="812" h="646">
                <a:moveTo>
                  <a:pt x="812" y="0"/>
                </a:moveTo>
                <a:lnTo>
                  <a:pt x="801" y="2"/>
                </a:lnTo>
                <a:lnTo>
                  <a:pt x="791" y="4"/>
                </a:lnTo>
                <a:lnTo>
                  <a:pt x="780" y="8"/>
                </a:lnTo>
                <a:lnTo>
                  <a:pt x="770" y="12"/>
                </a:lnTo>
                <a:lnTo>
                  <a:pt x="759" y="18"/>
                </a:lnTo>
                <a:lnTo>
                  <a:pt x="750" y="24"/>
                </a:lnTo>
                <a:lnTo>
                  <a:pt x="741" y="32"/>
                </a:lnTo>
                <a:lnTo>
                  <a:pt x="732" y="40"/>
                </a:lnTo>
                <a:lnTo>
                  <a:pt x="194" y="646"/>
                </a:lnTo>
                <a:lnTo>
                  <a:pt x="0" y="603"/>
                </a:lnTo>
                <a:lnTo>
                  <a:pt x="488" y="55"/>
                </a:lnTo>
                <a:lnTo>
                  <a:pt x="496" y="48"/>
                </a:lnTo>
                <a:lnTo>
                  <a:pt x="504" y="40"/>
                </a:lnTo>
                <a:lnTo>
                  <a:pt x="522" y="29"/>
                </a:lnTo>
                <a:lnTo>
                  <a:pt x="541" y="22"/>
                </a:lnTo>
                <a:lnTo>
                  <a:pt x="561" y="19"/>
                </a:lnTo>
                <a:lnTo>
                  <a:pt x="687" y="9"/>
                </a:lnTo>
                <a:lnTo>
                  <a:pt x="812" y="0"/>
                </a:lnTo>
                <a:close/>
              </a:path>
            </a:pathLst>
          </a:custGeom>
          <a:solidFill>
            <a:srgbClr val="25A6C6">
              <a:lumMod val="50000"/>
            </a:srgbClr>
          </a:solidFill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US"/>
          </a:p>
        </xdr:txBody>
      </xdr:sp>
      <xdr:sp macro="[0]!Load_Login_Form" textlink="">
        <xdr:nvSpPr>
          <xdr:cNvPr id="39" name="Freeform 10">
            <a:extLst>
              <a:ext uri="{FF2B5EF4-FFF2-40B4-BE49-F238E27FC236}">
                <a16:creationId xmlns:a16="http://schemas.microsoft.com/office/drawing/2014/main" id="{6F3FC9C1-9DCE-4BEC-930B-6F78E9375449}"/>
              </a:ext>
            </a:extLst>
          </xdr:cNvPr>
          <xdr:cNvSpPr>
            <a:spLocks noEditPoints="1"/>
          </xdr:cNvSpPr>
        </xdr:nvSpPr>
        <xdr:spPr bwMode="auto">
          <a:xfrm>
            <a:off x="5921454" y="3594655"/>
            <a:ext cx="1352550" cy="1230312"/>
          </a:xfrm>
          <a:custGeom>
            <a:avLst/>
            <a:gdLst/>
            <a:ahLst/>
            <a:cxnLst>
              <a:cxn ang="0">
                <a:pos x="845" y="771"/>
              </a:cxn>
              <a:cxn ang="0">
                <a:pos x="852" y="775"/>
              </a:cxn>
              <a:cxn ang="0">
                <a:pos x="845" y="771"/>
              </a:cxn>
              <a:cxn ang="0">
                <a:pos x="844" y="771"/>
              </a:cxn>
              <a:cxn ang="0">
                <a:pos x="845" y="771"/>
              </a:cxn>
              <a:cxn ang="0">
                <a:pos x="844" y="771"/>
              </a:cxn>
              <a:cxn ang="0">
                <a:pos x="28" y="0"/>
              </a:cxn>
              <a:cxn ang="0">
                <a:pos x="222" y="43"/>
              </a:cxn>
              <a:cxn ang="0">
                <a:pos x="211" y="56"/>
              </a:cxn>
              <a:cxn ang="0">
                <a:pos x="203" y="70"/>
              </a:cxn>
              <a:cxn ang="0">
                <a:pos x="197" y="85"/>
              </a:cxn>
              <a:cxn ang="0">
                <a:pos x="191" y="108"/>
              </a:cxn>
              <a:cxn ang="0">
                <a:pos x="190" y="132"/>
              </a:cxn>
              <a:cxn ang="0">
                <a:pos x="194" y="156"/>
              </a:cxn>
              <a:cxn ang="0">
                <a:pos x="201" y="178"/>
              </a:cxn>
              <a:cxn ang="0">
                <a:pos x="209" y="192"/>
              </a:cxn>
              <a:cxn ang="0">
                <a:pos x="218" y="205"/>
              </a:cxn>
              <a:cxn ang="0">
                <a:pos x="230" y="217"/>
              </a:cxn>
              <a:cxn ang="0">
                <a:pos x="822" y="755"/>
              </a:cxn>
              <a:cxn ang="0">
                <a:pos x="837" y="766"/>
              </a:cxn>
              <a:cxn ang="0">
                <a:pos x="839" y="768"/>
              </a:cxn>
              <a:cxn ang="0">
                <a:pos x="841" y="769"/>
              </a:cxn>
              <a:cxn ang="0">
                <a:pos x="844" y="771"/>
              </a:cxn>
              <a:cxn ang="0">
                <a:pos x="787" y="745"/>
              </a:cxn>
              <a:cxn ang="0">
                <a:pos x="720" y="715"/>
              </a:cxn>
              <a:cxn ang="0">
                <a:pos x="712" y="712"/>
              </a:cxn>
              <a:cxn ang="0">
                <a:pos x="695" y="704"/>
              </a:cxn>
              <a:cxn ang="0">
                <a:pos x="690" y="701"/>
              </a:cxn>
              <a:cxn ang="0">
                <a:pos x="683" y="698"/>
              </a:cxn>
              <a:cxn ang="0">
                <a:pos x="675" y="695"/>
              </a:cxn>
              <a:cxn ang="0">
                <a:pos x="667" y="692"/>
              </a:cxn>
              <a:cxn ang="0">
                <a:pos x="659" y="688"/>
              </a:cxn>
              <a:cxn ang="0">
                <a:pos x="601" y="661"/>
              </a:cxn>
              <a:cxn ang="0">
                <a:pos x="598" y="660"/>
              </a:cxn>
              <a:cxn ang="0">
                <a:pos x="596" y="659"/>
              </a:cxn>
              <a:cxn ang="0">
                <a:pos x="593" y="658"/>
              </a:cxn>
              <a:cxn ang="0">
                <a:pos x="590" y="657"/>
              </a:cxn>
              <a:cxn ang="0">
                <a:pos x="589" y="655"/>
              </a:cxn>
              <a:cxn ang="0">
                <a:pos x="586" y="654"/>
              </a:cxn>
              <a:cxn ang="0">
                <a:pos x="584" y="652"/>
              </a:cxn>
              <a:cxn ang="0">
                <a:pos x="581" y="650"/>
              </a:cxn>
              <a:cxn ang="0">
                <a:pos x="579" y="649"/>
              </a:cxn>
              <a:cxn ang="0">
                <a:pos x="577" y="646"/>
              </a:cxn>
              <a:cxn ang="0">
                <a:pos x="573" y="644"/>
              </a:cxn>
              <a:cxn ang="0">
                <a:pos x="36" y="157"/>
              </a:cxn>
              <a:cxn ang="0">
                <a:pos x="21" y="140"/>
              </a:cxn>
              <a:cxn ang="0">
                <a:pos x="10" y="121"/>
              </a:cxn>
              <a:cxn ang="0">
                <a:pos x="3" y="101"/>
              </a:cxn>
              <a:cxn ang="0">
                <a:pos x="0" y="79"/>
              </a:cxn>
              <a:cxn ang="0">
                <a:pos x="0" y="58"/>
              </a:cxn>
              <a:cxn ang="0">
                <a:pos x="6" y="38"/>
              </a:cxn>
              <a:cxn ang="0">
                <a:pos x="15" y="17"/>
              </a:cxn>
              <a:cxn ang="0">
                <a:pos x="28" y="0"/>
              </a:cxn>
            </a:cxnLst>
            <a:rect l="0" t="0" r="r" b="b"/>
            <a:pathLst>
              <a:path w="852" h="775">
                <a:moveTo>
                  <a:pt x="845" y="771"/>
                </a:moveTo>
                <a:lnTo>
                  <a:pt x="852" y="775"/>
                </a:lnTo>
                <a:lnTo>
                  <a:pt x="845" y="771"/>
                </a:lnTo>
                <a:close/>
                <a:moveTo>
                  <a:pt x="844" y="771"/>
                </a:moveTo>
                <a:lnTo>
                  <a:pt x="845" y="771"/>
                </a:lnTo>
                <a:lnTo>
                  <a:pt x="844" y="771"/>
                </a:lnTo>
                <a:close/>
                <a:moveTo>
                  <a:pt x="28" y="0"/>
                </a:moveTo>
                <a:lnTo>
                  <a:pt x="222" y="43"/>
                </a:lnTo>
                <a:lnTo>
                  <a:pt x="211" y="56"/>
                </a:lnTo>
                <a:lnTo>
                  <a:pt x="203" y="70"/>
                </a:lnTo>
                <a:lnTo>
                  <a:pt x="197" y="85"/>
                </a:lnTo>
                <a:lnTo>
                  <a:pt x="191" y="108"/>
                </a:lnTo>
                <a:lnTo>
                  <a:pt x="190" y="132"/>
                </a:lnTo>
                <a:lnTo>
                  <a:pt x="194" y="156"/>
                </a:lnTo>
                <a:lnTo>
                  <a:pt x="201" y="178"/>
                </a:lnTo>
                <a:lnTo>
                  <a:pt x="209" y="192"/>
                </a:lnTo>
                <a:lnTo>
                  <a:pt x="218" y="205"/>
                </a:lnTo>
                <a:lnTo>
                  <a:pt x="230" y="217"/>
                </a:lnTo>
                <a:lnTo>
                  <a:pt x="822" y="755"/>
                </a:lnTo>
                <a:lnTo>
                  <a:pt x="837" y="766"/>
                </a:lnTo>
                <a:lnTo>
                  <a:pt x="839" y="768"/>
                </a:lnTo>
                <a:lnTo>
                  <a:pt x="841" y="769"/>
                </a:lnTo>
                <a:lnTo>
                  <a:pt x="844" y="771"/>
                </a:lnTo>
                <a:lnTo>
                  <a:pt x="787" y="745"/>
                </a:lnTo>
                <a:lnTo>
                  <a:pt x="720" y="715"/>
                </a:lnTo>
                <a:lnTo>
                  <a:pt x="712" y="712"/>
                </a:lnTo>
                <a:lnTo>
                  <a:pt x="695" y="704"/>
                </a:lnTo>
                <a:lnTo>
                  <a:pt x="690" y="701"/>
                </a:lnTo>
                <a:lnTo>
                  <a:pt x="683" y="698"/>
                </a:lnTo>
                <a:lnTo>
                  <a:pt x="675" y="695"/>
                </a:lnTo>
                <a:lnTo>
                  <a:pt x="667" y="692"/>
                </a:lnTo>
                <a:lnTo>
                  <a:pt x="659" y="688"/>
                </a:lnTo>
                <a:lnTo>
                  <a:pt x="601" y="661"/>
                </a:lnTo>
                <a:lnTo>
                  <a:pt x="598" y="660"/>
                </a:lnTo>
                <a:lnTo>
                  <a:pt x="596" y="659"/>
                </a:lnTo>
                <a:lnTo>
                  <a:pt x="593" y="658"/>
                </a:lnTo>
                <a:lnTo>
                  <a:pt x="590" y="657"/>
                </a:lnTo>
                <a:lnTo>
                  <a:pt x="589" y="655"/>
                </a:lnTo>
                <a:lnTo>
                  <a:pt x="586" y="654"/>
                </a:lnTo>
                <a:lnTo>
                  <a:pt x="584" y="652"/>
                </a:lnTo>
                <a:lnTo>
                  <a:pt x="581" y="650"/>
                </a:lnTo>
                <a:lnTo>
                  <a:pt x="579" y="649"/>
                </a:lnTo>
                <a:lnTo>
                  <a:pt x="577" y="646"/>
                </a:lnTo>
                <a:lnTo>
                  <a:pt x="573" y="644"/>
                </a:lnTo>
                <a:lnTo>
                  <a:pt x="36" y="157"/>
                </a:lnTo>
                <a:lnTo>
                  <a:pt x="21" y="140"/>
                </a:lnTo>
                <a:lnTo>
                  <a:pt x="10" y="121"/>
                </a:lnTo>
                <a:lnTo>
                  <a:pt x="3" y="101"/>
                </a:lnTo>
                <a:lnTo>
                  <a:pt x="0" y="79"/>
                </a:lnTo>
                <a:lnTo>
                  <a:pt x="0" y="58"/>
                </a:lnTo>
                <a:lnTo>
                  <a:pt x="6" y="38"/>
                </a:lnTo>
                <a:lnTo>
                  <a:pt x="15" y="17"/>
                </a:lnTo>
                <a:lnTo>
                  <a:pt x="28" y="0"/>
                </a:lnTo>
                <a:close/>
              </a:path>
            </a:pathLst>
          </a:custGeom>
          <a:solidFill>
            <a:srgbClr val="25A6C6">
              <a:lumMod val="50000"/>
            </a:srgbClr>
          </a:solidFill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US"/>
          </a:p>
        </xdr:txBody>
      </xdr:sp>
      <xdr:sp macro="[0]!Load_Login_Form" textlink="">
        <xdr:nvSpPr>
          <xdr:cNvPr id="40" name="Freeform 6">
            <a:extLst>
              <a:ext uri="{FF2B5EF4-FFF2-40B4-BE49-F238E27FC236}">
                <a16:creationId xmlns:a16="http://schemas.microsoft.com/office/drawing/2014/main" id="{9C91E0F2-0686-46A8-A637-30BE0DF20B3F}"/>
              </a:ext>
            </a:extLst>
          </xdr:cNvPr>
          <xdr:cNvSpPr>
            <a:spLocks/>
          </xdr:cNvSpPr>
        </xdr:nvSpPr>
        <xdr:spPr bwMode="auto">
          <a:xfrm>
            <a:off x="6865282" y="3717219"/>
            <a:ext cx="1218898" cy="869253"/>
          </a:xfrm>
          <a:custGeom>
            <a:avLst/>
            <a:gdLst/>
            <a:ahLst/>
            <a:cxnLst>
              <a:cxn ang="0">
                <a:pos x="454" y="0"/>
              </a:cxn>
              <a:cxn ang="0">
                <a:pos x="753" y="51"/>
              </a:cxn>
              <a:cxn ang="0">
                <a:pos x="352" y="506"/>
              </a:cxn>
              <a:cxn ang="0">
                <a:pos x="342" y="516"/>
              </a:cxn>
              <a:cxn ang="0">
                <a:pos x="331" y="525"/>
              </a:cxn>
              <a:cxn ang="0">
                <a:pos x="319" y="531"/>
              </a:cxn>
              <a:cxn ang="0">
                <a:pos x="306" y="535"/>
              </a:cxn>
              <a:cxn ang="0">
                <a:pos x="293" y="537"/>
              </a:cxn>
              <a:cxn ang="0">
                <a:pos x="279" y="537"/>
              </a:cxn>
              <a:cxn ang="0">
                <a:pos x="266" y="536"/>
              </a:cxn>
              <a:cxn ang="0">
                <a:pos x="253" y="531"/>
              </a:cxn>
              <a:cxn ang="0">
                <a:pos x="0" y="434"/>
              </a:cxn>
              <a:cxn ang="0">
                <a:pos x="12" y="437"/>
              </a:cxn>
              <a:cxn ang="0">
                <a:pos x="23" y="439"/>
              </a:cxn>
              <a:cxn ang="0">
                <a:pos x="35" y="439"/>
              </a:cxn>
              <a:cxn ang="0">
                <a:pos x="47" y="437"/>
              </a:cxn>
              <a:cxn ang="0">
                <a:pos x="59" y="433"/>
              </a:cxn>
              <a:cxn ang="0">
                <a:pos x="71" y="427"/>
              </a:cxn>
              <a:cxn ang="0">
                <a:pos x="81" y="421"/>
              </a:cxn>
              <a:cxn ang="0">
                <a:pos x="90" y="411"/>
              </a:cxn>
              <a:cxn ang="0">
                <a:pos x="454" y="0"/>
              </a:cxn>
            </a:cxnLst>
            <a:rect l="0" t="0" r="r" b="b"/>
            <a:pathLst>
              <a:path w="753" h="537">
                <a:moveTo>
                  <a:pt x="454" y="0"/>
                </a:moveTo>
                <a:lnTo>
                  <a:pt x="753" y="51"/>
                </a:lnTo>
                <a:lnTo>
                  <a:pt x="352" y="506"/>
                </a:lnTo>
                <a:lnTo>
                  <a:pt x="342" y="516"/>
                </a:lnTo>
                <a:lnTo>
                  <a:pt x="331" y="525"/>
                </a:lnTo>
                <a:lnTo>
                  <a:pt x="319" y="531"/>
                </a:lnTo>
                <a:lnTo>
                  <a:pt x="306" y="535"/>
                </a:lnTo>
                <a:lnTo>
                  <a:pt x="293" y="537"/>
                </a:lnTo>
                <a:lnTo>
                  <a:pt x="279" y="537"/>
                </a:lnTo>
                <a:lnTo>
                  <a:pt x="266" y="536"/>
                </a:lnTo>
                <a:lnTo>
                  <a:pt x="253" y="531"/>
                </a:lnTo>
                <a:lnTo>
                  <a:pt x="0" y="434"/>
                </a:lnTo>
                <a:lnTo>
                  <a:pt x="12" y="437"/>
                </a:lnTo>
                <a:lnTo>
                  <a:pt x="23" y="439"/>
                </a:lnTo>
                <a:lnTo>
                  <a:pt x="35" y="439"/>
                </a:lnTo>
                <a:lnTo>
                  <a:pt x="47" y="437"/>
                </a:lnTo>
                <a:lnTo>
                  <a:pt x="59" y="433"/>
                </a:lnTo>
                <a:lnTo>
                  <a:pt x="71" y="427"/>
                </a:lnTo>
                <a:lnTo>
                  <a:pt x="81" y="421"/>
                </a:lnTo>
                <a:lnTo>
                  <a:pt x="90" y="411"/>
                </a:lnTo>
                <a:lnTo>
                  <a:pt x="454" y="0"/>
                </a:lnTo>
                <a:close/>
              </a:path>
            </a:pathLst>
          </a:custGeom>
          <a:solidFill>
            <a:srgbClr val="25A6C6">
              <a:lumMod val="50000"/>
            </a:srgbClr>
          </a:solidFill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US"/>
          </a:p>
        </xdr:txBody>
      </xdr:sp>
      <xdr:sp macro="[0]!Load_Login_Form" textlink="">
        <xdr:nvSpPr>
          <xdr:cNvPr id="41" name="Freeform 7">
            <a:extLst>
              <a:ext uri="{FF2B5EF4-FFF2-40B4-BE49-F238E27FC236}">
                <a16:creationId xmlns:a16="http://schemas.microsoft.com/office/drawing/2014/main" id="{D05FD4A9-6348-48D2-9DCF-E731D3AE7173}"/>
              </a:ext>
            </a:extLst>
          </xdr:cNvPr>
          <xdr:cNvSpPr>
            <a:spLocks/>
          </xdr:cNvSpPr>
        </xdr:nvSpPr>
        <xdr:spPr bwMode="auto">
          <a:xfrm>
            <a:off x="6864351" y="2909888"/>
            <a:ext cx="1244600" cy="893762"/>
          </a:xfrm>
          <a:custGeom>
            <a:avLst/>
            <a:gdLst/>
            <a:ahLst/>
            <a:cxnLst>
              <a:cxn ang="0">
                <a:pos x="252" y="0"/>
              </a:cxn>
              <a:cxn ang="0">
                <a:pos x="268" y="2"/>
              </a:cxn>
              <a:cxn ang="0">
                <a:pos x="285" y="6"/>
              </a:cxn>
              <a:cxn ang="0">
                <a:pos x="300" y="13"/>
              </a:cxn>
              <a:cxn ang="0">
                <a:pos x="314" y="24"/>
              </a:cxn>
              <a:cxn ang="0">
                <a:pos x="755" y="433"/>
              </a:cxn>
              <a:cxn ang="0">
                <a:pos x="767" y="447"/>
              </a:cxn>
              <a:cxn ang="0">
                <a:pos x="776" y="462"/>
              </a:cxn>
              <a:cxn ang="0">
                <a:pos x="782" y="479"/>
              </a:cxn>
              <a:cxn ang="0">
                <a:pos x="784" y="497"/>
              </a:cxn>
              <a:cxn ang="0">
                <a:pos x="783" y="514"/>
              </a:cxn>
              <a:cxn ang="0">
                <a:pos x="779" y="531"/>
              </a:cxn>
              <a:cxn ang="0">
                <a:pos x="772" y="548"/>
              </a:cxn>
              <a:cxn ang="0">
                <a:pos x="760" y="563"/>
              </a:cxn>
              <a:cxn ang="0">
                <a:pos x="461" y="512"/>
              </a:cxn>
              <a:cxn ang="0">
                <a:pos x="471" y="498"/>
              </a:cxn>
              <a:cxn ang="0">
                <a:pos x="477" y="483"/>
              </a:cxn>
              <a:cxn ang="0">
                <a:pos x="481" y="467"/>
              </a:cxn>
              <a:cxn ang="0">
                <a:pos x="482" y="451"/>
              </a:cxn>
              <a:cxn ang="0">
                <a:pos x="480" y="435"/>
              </a:cxn>
              <a:cxn ang="0">
                <a:pos x="474" y="420"/>
              </a:cxn>
              <a:cxn ang="0">
                <a:pos x="467" y="406"/>
              </a:cxn>
              <a:cxn ang="0">
                <a:pos x="456" y="394"/>
              </a:cxn>
              <a:cxn ang="0">
                <a:pos x="54" y="24"/>
              </a:cxn>
              <a:cxn ang="0">
                <a:pos x="47" y="17"/>
              </a:cxn>
              <a:cxn ang="0">
                <a:pos x="42" y="14"/>
              </a:cxn>
              <a:cxn ang="0">
                <a:pos x="36" y="11"/>
              </a:cxn>
              <a:cxn ang="0">
                <a:pos x="28" y="8"/>
              </a:cxn>
              <a:cxn ang="0">
                <a:pos x="22" y="6"/>
              </a:cxn>
              <a:cxn ang="0">
                <a:pos x="14" y="4"/>
              </a:cxn>
              <a:cxn ang="0">
                <a:pos x="0" y="2"/>
              </a:cxn>
              <a:cxn ang="0">
                <a:pos x="252" y="0"/>
              </a:cxn>
            </a:cxnLst>
            <a:rect l="0" t="0" r="r" b="b"/>
            <a:pathLst>
              <a:path w="784" h="563">
                <a:moveTo>
                  <a:pt x="252" y="0"/>
                </a:moveTo>
                <a:lnTo>
                  <a:pt x="268" y="2"/>
                </a:lnTo>
                <a:lnTo>
                  <a:pt x="285" y="6"/>
                </a:lnTo>
                <a:lnTo>
                  <a:pt x="300" y="13"/>
                </a:lnTo>
                <a:lnTo>
                  <a:pt x="314" y="24"/>
                </a:lnTo>
                <a:lnTo>
                  <a:pt x="755" y="433"/>
                </a:lnTo>
                <a:lnTo>
                  <a:pt x="767" y="447"/>
                </a:lnTo>
                <a:lnTo>
                  <a:pt x="776" y="462"/>
                </a:lnTo>
                <a:lnTo>
                  <a:pt x="782" y="479"/>
                </a:lnTo>
                <a:lnTo>
                  <a:pt x="784" y="497"/>
                </a:lnTo>
                <a:lnTo>
                  <a:pt x="783" y="514"/>
                </a:lnTo>
                <a:lnTo>
                  <a:pt x="779" y="531"/>
                </a:lnTo>
                <a:lnTo>
                  <a:pt x="772" y="548"/>
                </a:lnTo>
                <a:lnTo>
                  <a:pt x="760" y="563"/>
                </a:lnTo>
                <a:lnTo>
                  <a:pt x="461" y="512"/>
                </a:lnTo>
                <a:lnTo>
                  <a:pt x="471" y="498"/>
                </a:lnTo>
                <a:lnTo>
                  <a:pt x="477" y="483"/>
                </a:lnTo>
                <a:lnTo>
                  <a:pt x="481" y="467"/>
                </a:lnTo>
                <a:lnTo>
                  <a:pt x="482" y="451"/>
                </a:lnTo>
                <a:lnTo>
                  <a:pt x="480" y="435"/>
                </a:lnTo>
                <a:lnTo>
                  <a:pt x="474" y="420"/>
                </a:lnTo>
                <a:lnTo>
                  <a:pt x="467" y="406"/>
                </a:lnTo>
                <a:lnTo>
                  <a:pt x="456" y="394"/>
                </a:lnTo>
                <a:lnTo>
                  <a:pt x="54" y="24"/>
                </a:lnTo>
                <a:lnTo>
                  <a:pt x="47" y="17"/>
                </a:lnTo>
                <a:lnTo>
                  <a:pt x="42" y="14"/>
                </a:lnTo>
                <a:lnTo>
                  <a:pt x="36" y="11"/>
                </a:lnTo>
                <a:lnTo>
                  <a:pt x="28" y="8"/>
                </a:lnTo>
                <a:lnTo>
                  <a:pt x="22" y="6"/>
                </a:lnTo>
                <a:lnTo>
                  <a:pt x="14" y="4"/>
                </a:lnTo>
                <a:lnTo>
                  <a:pt x="0" y="2"/>
                </a:lnTo>
                <a:lnTo>
                  <a:pt x="252" y="0"/>
                </a:lnTo>
                <a:close/>
              </a:path>
            </a:pathLst>
          </a:custGeom>
          <a:solidFill>
            <a:srgbClr val="25A6C6">
              <a:lumMod val="50000"/>
            </a:srgbClr>
          </a:solidFill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US"/>
          </a:p>
        </xdr:txBody>
      </xdr:sp>
      <xdr:sp macro="[0]!Load_Login_Form" textlink="">
        <xdr:nvSpPr>
          <xdr:cNvPr id="42" name="Freeform 9">
            <a:extLst>
              <a:ext uri="{FF2B5EF4-FFF2-40B4-BE49-F238E27FC236}">
                <a16:creationId xmlns:a16="http://schemas.microsoft.com/office/drawing/2014/main" id="{631668CE-AC2C-4F5F-9874-FFB9DDF40B61}"/>
              </a:ext>
            </a:extLst>
          </xdr:cNvPr>
          <xdr:cNvSpPr>
            <a:spLocks noEditPoints="1"/>
          </xdr:cNvSpPr>
        </xdr:nvSpPr>
        <xdr:spPr bwMode="auto">
          <a:xfrm>
            <a:off x="6208713" y="2640013"/>
            <a:ext cx="2160588" cy="2203450"/>
          </a:xfrm>
          <a:custGeom>
            <a:avLst/>
            <a:gdLst/>
            <a:ahLst/>
            <a:cxnLst>
              <a:cxn ang="0">
                <a:pos x="644" y="173"/>
              </a:cxn>
              <a:cxn ang="0">
                <a:pos x="612" y="188"/>
              </a:cxn>
              <a:cxn ang="0">
                <a:pos x="192" y="658"/>
              </a:cxn>
              <a:cxn ang="0">
                <a:pos x="174" y="690"/>
              </a:cxn>
              <a:cxn ang="0">
                <a:pos x="168" y="725"/>
              </a:cxn>
              <a:cxn ang="0">
                <a:pos x="177" y="760"/>
              </a:cxn>
              <a:cxn ang="0">
                <a:pos x="198" y="789"/>
              </a:cxn>
              <a:cxn ang="0">
                <a:pos x="660" y="1207"/>
              </a:cxn>
              <a:cxn ang="0">
                <a:pos x="693" y="1219"/>
              </a:cxn>
              <a:cxn ang="0">
                <a:pos x="728" y="1216"/>
              </a:cxn>
              <a:cxn ang="0">
                <a:pos x="759" y="1201"/>
              </a:cxn>
              <a:cxn ang="0">
                <a:pos x="1173" y="733"/>
              </a:cxn>
              <a:cxn ang="0">
                <a:pos x="1192" y="701"/>
              </a:cxn>
              <a:cxn ang="0">
                <a:pos x="1197" y="667"/>
              </a:cxn>
              <a:cxn ang="0">
                <a:pos x="1189" y="632"/>
              </a:cxn>
              <a:cxn ang="0">
                <a:pos x="1168" y="603"/>
              </a:cxn>
              <a:cxn ang="0">
                <a:pos x="712" y="183"/>
              </a:cxn>
              <a:cxn ang="0">
                <a:pos x="679" y="171"/>
              </a:cxn>
              <a:cxn ang="0">
                <a:pos x="653" y="0"/>
              </a:cxn>
              <a:cxn ang="0">
                <a:pos x="699" y="7"/>
              </a:cxn>
              <a:cxn ang="0">
                <a:pos x="740" y="32"/>
              </a:cxn>
              <a:cxn ang="0">
                <a:pos x="1334" y="586"/>
              </a:cxn>
              <a:cxn ang="0">
                <a:pos x="1350" y="613"/>
              </a:cxn>
              <a:cxn ang="0">
                <a:pos x="1361" y="657"/>
              </a:cxn>
              <a:cxn ang="0">
                <a:pos x="1355" y="703"/>
              </a:cxn>
              <a:cxn ang="0">
                <a:pos x="1341" y="732"/>
              </a:cxn>
              <a:cxn ang="0">
                <a:pos x="800" y="1347"/>
              </a:cxn>
              <a:cxn ang="0">
                <a:pos x="762" y="1376"/>
              </a:cxn>
              <a:cxn ang="0">
                <a:pos x="718" y="1388"/>
              </a:cxn>
              <a:cxn ang="0">
                <a:pos x="673" y="1382"/>
              </a:cxn>
              <a:cxn ang="0">
                <a:pos x="645" y="1368"/>
              </a:cxn>
              <a:cxn ang="0">
                <a:pos x="40" y="820"/>
              </a:cxn>
              <a:cxn ang="0">
                <a:pos x="19" y="795"/>
              </a:cxn>
              <a:cxn ang="0">
                <a:pos x="4" y="759"/>
              </a:cxn>
              <a:cxn ang="0">
                <a:pos x="1" y="711"/>
              </a:cxn>
              <a:cxn ang="0">
                <a:pos x="13" y="673"/>
              </a:cxn>
              <a:cxn ang="0">
                <a:pos x="32" y="646"/>
              </a:cxn>
              <a:cxn ang="0">
                <a:pos x="588" y="23"/>
              </a:cxn>
              <a:cxn ang="0">
                <a:pos x="631" y="4"/>
              </a:cxn>
            </a:cxnLst>
            <a:rect l="0" t="0" r="r" b="b"/>
            <a:pathLst>
              <a:path w="1361" h="1388">
                <a:moveTo>
                  <a:pt x="662" y="170"/>
                </a:moveTo>
                <a:lnTo>
                  <a:pt x="644" y="173"/>
                </a:lnTo>
                <a:lnTo>
                  <a:pt x="628" y="179"/>
                </a:lnTo>
                <a:lnTo>
                  <a:pt x="612" y="188"/>
                </a:lnTo>
                <a:lnTo>
                  <a:pt x="598" y="201"/>
                </a:lnTo>
                <a:lnTo>
                  <a:pt x="192" y="658"/>
                </a:lnTo>
                <a:lnTo>
                  <a:pt x="181" y="673"/>
                </a:lnTo>
                <a:lnTo>
                  <a:pt x="174" y="690"/>
                </a:lnTo>
                <a:lnTo>
                  <a:pt x="169" y="708"/>
                </a:lnTo>
                <a:lnTo>
                  <a:pt x="168" y="725"/>
                </a:lnTo>
                <a:lnTo>
                  <a:pt x="171" y="743"/>
                </a:lnTo>
                <a:lnTo>
                  <a:pt x="177" y="760"/>
                </a:lnTo>
                <a:lnTo>
                  <a:pt x="186" y="775"/>
                </a:lnTo>
                <a:lnTo>
                  <a:pt x="198" y="789"/>
                </a:lnTo>
                <a:lnTo>
                  <a:pt x="645" y="1196"/>
                </a:lnTo>
                <a:lnTo>
                  <a:pt x="660" y="1207"/>
                </a:lnTo>
                <a:lnTo>
                  <a:pt x="675" y="1214"/>
                </a:lnTo>
                <a:lnTo>
                  <a:pt x="693" y="1219"/>
                </a:lnTo>
                <a:lnTo>
                  <a:pt x="710" y="1219"/>
                </a:lnTo>
                <a:lnTo>
                  <a:pt x="728" y="1216"/>
                </a:lnTo>
                <a:lnTo>
                  <a:pt x="743" y="1210"/>
                </a:lnTo>
                <a:lnTo>
                  <a:pt x="759" y="1201"/>
                </a:lnTo>
                <a:lnTo>
                  <a:pt x="772" y="1188"/>
                </a:lnTo>
                <a:lnTo>
                  <a:pt x="1173" y="733"/>
                </a:lnTo>
                <a:lnTo>
                  <a:pt x="1185" y="718"/>
                </a:lnTo>
                <a:lnTo>
                  <a:pt x="1192" y="701"/>
                </a:lnTo>
                <a:lnTo>
                  <a:pt x="1196" y="684"/>
                </a:lnTo>
                <a:lnTo>
                  <a:pt x="1197" y="667"/>
                </a:lnTo>
                <a:lnTo>
                  <a:pt x="1195" y="649"/>
                </a:lnTo>
                <a:lnTo>
                  <a:pt x="1189" y="632"/>
                </a:lnTo>
                <a:lnTo>
                  <a:pt x="1180" y="617"/>
                </a:lnTo>
                <a:lnTo>
                  <a:pt x="1168" y="603"/>
                </a:lnTo>
                <a:lnTo>
                  <a:pt x="727" y="194"/>
                </a:lnTo>
                <a:lnTo>
                  <a:pt x="712" y="183"/>
                </a:lnTo>
                <a:lnTo>
                  <a:pt x="696" y="176"/>
                </a:lnTo>
                <a:lnTo>
                  <a:pt x="679" y="171"/>
                </a:lnTo>
                <a:lnTo>
                  <a:pt x="662" y="170"/>
                </a:lnTo>
                <a:close/>
                <a:moveTo>
                  <a:pt x="653" y="0"/>
                </a:moveTo>
                <a:lnTo>
                  <a:pt x="676" y="1"/>
                </a:lnTo>
                <a:lnTo>
                  <a:pt x="699" y="7"/>
                </a:lnTo>
                <a:lnTo>
                  <a:pt x="720" y="17"/>
                </a:lnTo>
                <a:lnTo>
                  <a:pt x="740" y="32"/>
                </a:lnTo>
                <a:lnTo>
                  <a:pt x="1323" y="574"/>
                </a:lnTo>
                <a:lnTo>
                  <a:pt x="1334" y="586"/>
                </a:lnTo>
                <a:lnTo>
                  <a:pt x="1344" y="599"/>
                </a:lnTo>
                <a:lnTo>
                  <a:pt x="1350" y="613"/>
                </a:lnTo>
                <a:lnTo>
                  <a:pt x="1357" y="634"/>
                </a:lnTo>
                <a:lnTo>
                  <a:pt x="1361" y="657"/>
                </a:lnTo>
                <a:lnTo>
                  <a:pt x="1360" y="681"/>
                </a:lnTo>
                <a:lnTo>
                  <a:pt x="1355" y="703"/>
                </a:lnTo>
                <a:lnTo>
                  <a:pt x="1348" y="718"/>
                </a:lnTo>
                <a:lnTo>
                  <a:pt x="1341" y="732"/>
                </a:lnTo>
                <a:lnTo>
                  <a:pt x="1331" y="745"/>
                </a:lnTo>
                <a:lnTo>
                  <a:pt x="800" y="1347"/>
                </a:lnTo>
                <a:lnTo>
                  <a:pt x="782" y="1364"/>
                </a:lnTo>
                <a:lnTo>
                  <a:pt x="762" y="1376"/>
                </a:lnTo>
                <a:lnTo>
                  <a:pt x="741" y="1384"/>
                </a:lnTo>
                <a:lnTo>
                  <a:pt x="718" y="1388"/>
                </a:lnTo>
                <a:lnTo>
                  <a:pt x="695" y="1387"/>
                </a:lnTo>
                <a:lnTo>
                  <a:pt x="673" y="1382"/>
                </a:lnTo>
                <a:lnTo>
                  <a:pt x="658" y="1376"/>
                </a:lnTo>
                <a:lnTo>
                  <a:pt x="645" y="1368"/>
                </a:lnTo>
                <a:lnTo>
                  <a:pt x="632" y="1358"/>
                </a:lnTo>
                <a:lnTo>
                  <a:pt x="40" y="820"/>
                </a:lnTo>
                <a:lnTo>
                  <a:pt x="28" y="808"/>
                </a:lnTo>
                <a:lnTo>
                  <a:pt x="19" y="795"/>
                </a:lnTo>
                <a:lnTo>
                  <a:pt x="11" y="781"/>
                </a:lnTo>
                <a:lnTo>
                  <a:pt x="4" y="759"/>
                </a:lnTo>
                <a:lnTo>
                  <a:pt x="0" y="735"/>
                </a:lnTo>
                <a:lnTo>
                  <a:pt x="1" y="711"/>
                </a:lnTo>
                <a:lnTo>
                  <a:pt x="7" y="688"/>
                </a:lnTo>
                <a:lnTo>
                  <a:pt x="13" y="673"/>
                </a:lnTo>
                <a:lnTo>
                  <a:pt x="21" y="659"/>
                </a:lnTo>
                <a:lnTo>
                  <a:pt x="32" y="646"/>
                </a:lnTo>
                <a:lnTo>
                  <a:pt x="570" y="40"/>
                </a:lnTo>
                <a:lnTo>
                  <a:pt x="588" y="23"/>
                </a:lnTo>
                <a:lnTo>
                  <a:pt x="609" y="11"/>
                </a:lnTo>
                <a:lnTo>
                  <a:pt x="631" y="4"/>
                </a:lnTo>
                <a:lnTo>
                  <a:pt x="653" y="0"/>
                </a:lnTo>
                <a:close/>
              </a:path>
            </a:pathLst>
          </a:custGeom>
          <a:gradFill flip="none" rotWithShape="1">
            <a:gsLst>
              <a:gs pos="0">
                <a:srgbClr val="25A6C6">
                  <a:shade val="30000"/>
                  <a:satMod val="115000"/>
                </a:srgbClr>
              </a:gs>
              <a:gs pos="50000">
                <a:srgbClr val="25A6C6">
                  <a:shade val="67500"/>
                  <a:satMod val="115000"/>
                </a:srgbClr>
              </a:gs>
              <a:gs pos="100000">
                <a:srgbClr val="25A6C6">
                  <a:shade val="100000"/>
                  <a:satMod val="115000"/>
                </a:srgbClr>
              </a:gs>
            </a:gsLst>
            <a:lin ang="0" scaled="1"/>
            <a:tileRect/>
          </a:gradFill>
          <a:ln w="0">
            <a:noFill/>
            <a:prstDash val="solid"/>
            <a:round/>
            <a:headEnd/>
            <a:tailEnd/>
          </a:ln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US"/>
          </a:p>
        </xdr:txBody>
      </xdr:sp>
    </xdr:grpSp>
    <xdr:clientData/>
  </xdr:twoCellAnchor>
  <xdr:twoCellAnchor>
    <xdr:from>
      <xdr:col>2</xdr:col>
      <xdr:colOff>19050</xdr:colOff>
      <xdr:row>9</xdr:row>
      <xdr:rowOff>66676</xdr:rowOff>
    </xdr:from>
    <xdr:to>
      <xdr:col>3</xdr:col>
      <xdr:colOff>34650</xdr:colOff>
      <xdr:row>13</xdr:row>
      <xdr:rowOff>85726</xdr:rowOff>
    </xdr:to>
    <xdr:sp macro="[0]!Load_Login_Form" textlink="">
      <xdr:nvSpPr>
        <xdr:cNvPr id="43" name="Rectangle 42">
          <a:extLst>
            <a:ext uri="{FF2B5EF4-FFF2-40B4-BE49-F238E27FC236}">
              <a16:creationId xmlns:a16="http://schemas.microsoft.com/office/drawing/2014/main" id="{CBED843A-288F-4DC2-B7FE-D9390327F0BF}"/>
            </a:ext>
          </a:extLst>
        </xdr:cNvPr>
        <xdr:cNvSpPr/>
      </xdr:nvSpPr>
      <xdr:spPr>
        <a:xfrm>
          <a:off x="1390650" y="1905001"/>
          <a:ext cx="625200" cy="933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134471</xdr:colOff>
      <xdr:row>0</xdr:row>
      <xdr:rowOff>212912</xdr:rowOff>
    </xdr:from>
    <xdr:to>
      <xdr:col>0</xdr:col>
      <xdr:colOff>1736913</xdr:colOff>
      <xdr:row>2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B5AA324C-0FED-4DEA-BAD1-607B2AD30826}"/>
            </a:ext>
          </a:extLst>
        </xdr:cNvPr>
        <xdr:cNvGrpSpPr/>
      </xdr:nvGrpSpPr>
      <xdr:grpSpPr>
        <a:xfrm>
          <a:off x="134471" y="212912"/>
          <a:ext cx="1602442" cy="305671"/>
          <a:chOff x="2847976" y="174788"/>
          <a:chExt cx="1289420" cy="278393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Load_Add_Employee_Form" textlink="">
        <xdr:nvSpPr>
          <xdr:cNvPr id="5" name="Freeform 63">
            <a:extLst>
              <a:ext uri="{FF2B5EF4-FFF2-40B4-BE49-F238E27FC236}">
                <a16:creationId xmlns:a16="http://schemas.microsoft.com/office/drawing/2014/main" id="{B0BFFF7D-F351-4638-B46F-B4B1D995CACF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chemeClr val="accent2"/>
              </a:gs>
              <a:gs pos="87000">
                <a:schemeClr val="accent4"/>
              </a:gs>
            </a:gsLst>
            <a:lin ang="3600000" scaled="0"/>
            <a:tileRect/>
          </a:gradFill>
          <a:ln w="12700">
            <a:solidFill>
              <a:schemeClr val="accent1"/>
            </a:soli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Load_Add_Employee_Form" textlink="">
        <xdr:nvSpPr>
          <xdr:cNvPr id="6" name="TextBox 64">
            <a:extLst>
              <a:ext uri="{FF2B5EF4-FFF2-40B4-BE49-F238E27FC236}">
                <a16:creationId xmlns:a16="http://schemas.microsoft.com/office/drawing/2014/main" id="{90DAB866-9A09-4250-83A7-79EB9C37ED37}"/>
              </a:ext>
            </a:extLst>
          </xdr:cNvPr>
          <xdr:cNvSpPr txBox="1"/>
        </xdr:nvSpPr>
        <xdr:spPr>
          <a:xfrm>
            <a:off x="2952750" y="174788"/>
            <a:ext cx="1038226" cy="278393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5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+ add new staff</a:t>
            </a:r>
          </a:p>
        </xdr:txBody>
      </xdr:sp>
    </xdr:grpSp>
    <xdr:clientData/>
  </xdr:twoCellAnchor>
  <xdr:twoCellAnchor>
    <xdr:from>
      <xdr:col>1</xdr:col>
      <xdr:colOff>0</xdr:colOff>
      <xdr:row>0</xdr:row>
      <xdr:rowOff>212912</xdr:rowOff>
    </xdr:from>
    <xdr:to>
      <xdr:col>2</xdr:col>
      <xdr:colOff>784413</xdr:colOff>
      <xdr:row>2</xdr:row>
      <xdr:rowOff>0</xdr:rowOff>
    </xdr:to>
    <xdr:grpSp>
      <xdr:nvGrpSpPr>
        <xdr:cNvPr id="7" name="Admin_Console">
          <a:extLst>
            <a:ext uri="{FF2B5EF4-FFF2-40B4-BE49-F238E27FC236}">
              <a16:creationId xmlns:a16="http://schemas.microsoft.com/office/drawing/2014/main" id="{FB70AF27-C9E5-4CA2-8591-36CB65385F6C}"/>
            </a:ext>
          </a:extLst>
        </xdr:cNvPr>
        <xdr:cNvGrpSpPr/>
      </xdr:nvGrpSpPr>
      <xdr:grpSpPr>
        <a:xfrm>
          <a:off x="1905000" y="212912"/>
          <a:ext cx="1599330" cy="305671"/>
          <a:chOff x="2847976" y="174788"/>
          <a:chExt cx="1289420" cy="278393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Admin_Console_Form" textlink="">
        <xdr:nvSpPr>
          <xdr:cNvPr id="8" name="Freeform 63">
            <a:extLst>
              <a:ext uri="{FF2B5EF4-FFF2-40B4-BE49-F238E27FC236}">
                <a16:creationId xmlns:a16="http://schemas.microsoft.com/office/drawing/2014/main" id="{719C4303-DEF6-4E50-AF12-957673C2327A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chemeClr val="accent6"/>
              </a:gs>
              <a:gs pos="87000">
                <a:schemeClr val="accent6">
                  <a:lumMod val="60000"/>
                  <a:lumOff val="40000"/>
                </a:schemeClr>
              </a:gs>
            </a:gsLst>
            <a:lin ang="3600000" scaled="0"/>
            <a:tileRect/>
          </a:gradFill>
          <a:ln w="12700">
            <a:solidFill>
              <a:schemeClr val="accent6"/>
            </a:soli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Admin_Console_Form" textlink="">
        <xdr:nvSpPr>
          <xdr:cNvPr id="9" name="TextBox 64">
            <a:extLst>
              <a:ext uri="{FF2B5EF4-FFF2-40B4-BE49-F238E27FC236}">
                <a16:creationId xmlns:a16="http://schemas.microsoft.com/office/drawing/2014/main" id="{5DBF7416-2680-40FE-BEFE-97E72A7F3BA2}"/>
              </a:ext>
            </a:extLst>
          </xdr:cNvPr>
          <xdr:cNvSpPr txBox="1"/>
        </xdr:nvSpPr>
        <xdr:spPr>
          <a:xfrm>
            <a:off x="2952750" y="174788"/>
            <a:ext cx="1038226" cy="278393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 anchor="ctr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5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console</a:t>
            </a:r>
          </a:p>
        </xdr:txBody>
      </xdr:sp>
    </xdr:grpSp>
    <xdr:clientData/>
  </xdr:twoCellAnchor>
  <xdr:twoCellAnchor>
    <xdr:from>
      <xdr:col>34</xdr:col>
      <xdr:colOff>1</xdr:colOff>
      <xdr:row>16</xdr:row>
      <xdr:rowOff>0</xdr:rowOff>
    </xdr:from>
    <xdr:to>
      <xdr:col>35</xdr:col>
      <xdr:colOff>0</xdr:colOff>
      <xdr:row>16</xdr:row>
      <xdr:rowOff>173181</xdr:rowOff>
    </xdr:to>
    <xdr:sp macro="[0]!Edit_Employee_14" textlink="">
      <xdr:nvSpPr>
        <xdr:cNvPr id="50" name="Edit_14">
          <a:extLst>
            <a:ext uri="{FF2B5EF4-FFF2-40B4-BE49-F238E27FC236}">
              <a16:creationId xmlns:a16="http://schemas.microsoft.com/office/drawing/2014/main" id="{947AF209-2B3E-4B8B-A7A3-8309387E431B}"/>
            </a:ext>
          </a:extLst>
        </xdr:cNvPr>
        <xdr:cNvSpPr>
          <a:spLocks/>
        </xdr:cNvSpPr>
      </xdr:nvSpPr>
      <xdr:spPr bwMode="auto">
        <a:xfrm>
          <a:off x="19444608" y="3347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1</xdr:colOff>
      <xdr:row>17</xdr:row>
      <xdr:rowOff>0</xdr:rowOff>
    </xdr:from>
    <xdr:to>
      <xdr:col>35</xdr:col>
      <xdr:colOff>0</xdr:colOff>
      <xdr:row>17</xdr:row>
      <xdr:rowOff>173181</xdr:rowOff>
    </xdr:to>
    <xdr:sp macro="[0]!Edit_Employee_15" textlink="">
      <xdr:nvSpPr>
        <xdr:cNvPr id="57" name="Edit_15">
          <a:extLst>
            <a:ext uri="{FF2B5EF4-FFF2-40B4-BE49-F238E27FC236}">
              <a16:creationId xmlns:a16="http://schemas.microsoft.com/office/drawing/2014/main" id="{7B9675CF-992A-4FCF-B379-812134050F40}"/>
            </a:ext>
          </a:extLst>
        </xdr:cNvPr>
        <xdr:cNvSpPr>
          <a:spLocks/>
        </xdr:cNvSpPr>
      </xdr:nvSpPr>
      <xdr:spPr bwMode="auto">
        <a:xfrm>
          <a:off x="19444608" y="3537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18</xdr:row>
      <xdr:rowOff>0</xdr:rowOff>
    </xdr:from>
    <xdr:to>
      <xdr:col>34</xdr:col>
      <xdr:colOff>523874</xdr:colOff>
      <xdr:row>18</xdr:row>
      <xdr:rowOff>173181</xdr:rowOff>
    </xdr:to>
    <xdr:sp macro="[0]!Edit_Employee_16" textlink="">
      <xdr:nvSpPr>
        <xdr:cNvPr id="58" name="Edit_16">
          <a:extLst>
            <a:ext uri="{FF2B5EF4-FFF2-40B4-BE49-F238E27FC236}">
              <a16:creationId xmlns:a16="http://schemas.microsoft.com/office/drawing/2014/main" id="{A790D727-CE18-415F-97A8-D81C77AD4552}"/>
            </a:ext>
          </a:extLst>
        </xdr:cNvPr>
        <xdr:cNvSpPr>
          <a:spLocks/>
        </xdr:cNvSpPr>
      </xdr:nvSpPr>
      <xdr:spPr bwMode="auto">
        <a:xfrm>
          <a:off x="19444607" y="3728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34</xdr:col>
      <xdr:colOff>523874</xdr:colOff>
      <xdr:row>19</xdr:row>
      <xdr:rowOff>173181</xdr:rowOff>
    </xdr:to>
    <xdr:sp macro="[0]!Edit_Employee_17" textlink="">
      <xdr:nvSpPr>
        <xdr:cNvPr id="59" name="Edit_17">
          <a:extLst>
            <a:ext uri="{FF2B5EF4-FFF2-40B4-BE49-F238E27FC236}">
              <a16:creationId xmlns:a16="http://schemas.microsoft.com/office/drawing/2014/main" id="{8F4642AD-1E27-4B37-8998-5E659E130207}"/>
            </a:ext>
          </a:extLst>
        </xdr:cNvPr>
        <xdr:cNvSpPr>
          <a:spLocks/>
        </xdr:cNvSpPr>
      </xdr:nvSpPr>
      <xdr:spPr bwMode="auto">
        <a:xfrm>
          <a:off x="19444607" y="3918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20</xdr:row>
      <xdr:rowOff>0</xdr:rowOff>
    </xdr:from>
    <xdr:to>
      <xdr:col>34</xdr:col>
      <xdr:colOff>523874</xdr:colOff>
      <xdr:row>20</xdr:row>
      <xdr:rowOff>173181</xdr:rowOff>
    </xdr:to>
    <xdr:sp macro="[0]!Edit_Employee_18" textlink="">
      <xdr:nvSpPr>
        <xdr:cNvPr id="60" name="Edit_18">
          <a:extLst>
            <a:ext uri="{FF2B5EF4-FFF2-40B4-BE49-F238E27FC236}">
              <a16:creationId xmlns:a16="http://schemas.microsoft.com/office/drawing/2014/main" id="{A1F0CD04-F6DC-48A3-9E19-C4C7774359F4}"/>
            </a:ext>
          </a:extLst>
        </xdr:cNvPr>
        <xdr:cNvSpPr>
          <a:spLocks/>
        </xdr:cNvSpPr>
      </xdr:nvSpPr>
      <xdr:spPr bwMode="auto">
        <a:xfrm>
          <a:off x="19444607" y="4109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21</xdr:row>
      <xdr:rowOff>0</xdr:rowOff>
    </xdr:from>
    <xdr:to>
      <xdr:col>34</xdr:col>
      <xdr:colOff>523874</xdr:colOff>
      <xdr:row>21</xdr:row>
      <xdr:rowOff>173181</xdr:rowOff>
    </xdr:to>
    <xdr:sp macro="[0]!Edit_Employee_19" textlink="">
      <xdr:nvSpPr>
        <xdr:cNvPr id="61" name="Edit_19">
          <a:extLst>
            <a:ext uri="{FF2B5EF4-FFF2-40B4-BE49-F238E27FC236}">
              <a16:creationId xmlns:a16="http://schemas.microsoft.com/office/drawing/2014/main" id="{4F7EB631-CC42-4491-9961-7E0FD7B69139}"/>
            </a:ext>
          </a:extLst>
        </xdr:cNvPr>
        <xdr:cNvSpPr>
          <a:spLocks/>
        </xdr:cNvSpPr>
      </xdr:nvSpPr>
      <xdr:spPr bwMode="auto">
        <a:xfrm>
          <a:off x="19444607" y="4299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22</xdr:row>
      <xdr:rowOff>0</xdr:rowOff>
    </xdr:from>
    <xdr:to>
      <xdr:col>34</xdr:col>
      <xdr:colOff>523874</xdr:colOff>
      <xdr:row>22</xdr:row>
      <xdr:rowOff>173181</xdr:rowOff>
    </xdr:to>
    <xdr:sp macro="[0]!Edit_Employee_20" textlink="">
      <xdr:nvSpPr>
        <xdr:cNvPr id="62" name="Edit_20">
          <a:extLst>
            <a:ext uri="{FF2B5EF4-FFF2-40B4-BE49-F238E27FC236}">
              <a16:creationId xmlns:a16="http://schemas.microsoft.com/office/drawing/2014/main" id="{61EDADD6-5D45-40FC-BEC9-DA41C17405DD}"/>
            </a:ext>
          </a:extLst>
        </xdr:cNvPr>
        <xdr:cNvSpPr>
          <a:spLocks/>
        </xdr:cNvSpPr>
      </xdr:nvSpPr>
      <xdr:spPr bwMode="auto">
        <a:xfrm>
          <a:off x="19444607" y="4490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editn</a:t>
          </a:r>
        </a:p>
      </xdr:txBody>
    </xdr:sp>
    <xdr:clientData/>
  </xdr:twoCellAnchor>
  <xdr:twoCellAnchor>
    <xdr:from>
      <xdr:col>34</xdr:col>
      <xdr:colOff>0</xdr:colOff>
      <xdr:row>23</xdr:row>
      <xdr:rowOff>0</xdr:rowOff>
    </xdr:from>
    <xdr:to>
      <xdr:col>34</xdr:col>
      <xdr:colOff>523874</xdr:colOff>
      <xdr:row>23</xdr:row>
      <xdr:rowOff>173181</xdr:rowOff>
    </xdr:to>
    <xdr:sp macro="[0]!Edit_Employee_21" textlink="">
      <xdr:nvSpPr>
        <xdr:cNvPr id="63" name="Edit_21">
          <a:extLst>
            <a:ext uri="{FF2B5EF4-FFF2-40B4-BE49-F238E27FC236}">
              <a16:creationId xmlns:a16="http://schemas.microsoft.com/office/drawing/2014/main" id="{2457A664-0C45-407F-9076-C0D99D83CC84}"/>
            </a:ext>
          </a:extLst>
        </xdr:cNvPr>
        <xdr:cNvSpPr>
          <a:spLocks/>
        </xdr:cNvSpPr>
      </xdr:nvSpPr>
      <xdr:spPr bwMode="auto">
        <a:xfrm>
          <a:off x="19444607" y="4680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24</xdr:row>
      <xdr:rowOff>0</xdr:rowOff>
    </xdr:from>
    <xdr:to>
      <xdr:col>34</xdr:col>
      <xdr:colOff>523874</xdr:colOff>
      <xdr:row>24</xdr:row>
      <xdr:rowOff>173181</xdr:rowOff>
    </xdr:to>
    <xdr:sp macro="[0]!Edit_Employee_22" textlink="">
      <xdr:nvSpPr>
        <xdr:cNvPr id="64" name="Edit_22">
          <a:extLst>
            <a:ext uri="{FF2B5EF4-FFF2-40B4-BE49-F238E27FC236}">
              <a16:creationId xmlns:a16="http://schemas.microsoft.com/office/drawing/2014/main" id="{F4EF6B7D-141E-42B2-9036-982E60D07D82}"/>
            </a:ext>
          </a:extLst>
        </xdr:cNvPr>
        <xdr:cNvSpPr>
          <a:spLocks/>
        </xdr:cNvSpPr>
      </xdr:nvSpPr>
      <xdr:spPr bwMode="auto">
        <a:xfrm>
          <a:off x="19444607" y="4871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25</xdr:row>
      <xdr:rowOff>0</xdr:rowOff>
    </xdr:from>
    <xdr:to>
      <xdr:col>34</xdr:col>
      <xdr:colOff>523874</xdr:colOff>
      <xdr:row>25</xdr:row>
      <xdr:rowOff>173181</xdr:rowOff>
    </xdr:to>
    <xdr:sp macro="[0]!Edit_Employee_23" textlink="">
      <xdr:nvSpPr>
        <xdr:cNvPr id="65" name="Edit_23">
          <a:extLst>
            <a:ext uri="{FF2B5EF4-FFF2-40B4-BE49-F238E27FC236}">
              <a16:creationId xmlns:a16="http://schemas.microsoft.com/office/drawing/2014/main" id="{2FCBD300-AE1C-43CA-9F14-39E443A17D7C}"/>
            </a:ext>
          </a:extLst>
        </xdr:cNvPr>
        <xdr:cNvSpPr>
          <a:spLocks/>
        </xdr:cNvSpPr>
      </xdr:nvSpPr>
      <xdr:spPr bwMode="auto">
        <a:xfrm>
          <a:off x="19444607" y="5061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26</xdr:row>
      <xdr:rowOff>0</xdr:rowOff>
    </xdr:from>
    <xdr:to>
      <xdr:col>34</xdr:col>
      <xdr:colOff>523874</xdr:colOff>
      <xdr:row>26</xdr:row>
      <xdr:rowOff>173181</xdr:rowOff>
    </xdr:to>
    <xdr:sp macro="[0]!Edit_Employee_24" textlink="">
      <xdr:nvSpPr>
        <xdr:cNvPr id="66" name="Edit_24">
          <a:extLst>
            <a:ext uri="{FF2B5EF4-FFF2-40B4-BE49-F238E27FC236}">
              <a16:creationId xmlns:a16="http://schemas.microsoft.com/office/drawing/2014/main" id="{1334DD4D-F8CD-4917-A800-EBAAB536F452}"/>
            </a:ext>
          </a:extLst>
        </xdr:cNvPr>
        <xdr:cNvSpPr>
          <a:spLocks/>
        </xdr:cNvSpPr>
      </xdr:nvSpPr>
      <xdr:spPr bwMode="auto">
        <a:xfrm>
          <a:off x="19444607" y="5252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15</xdr:row>
      <xdr:rowOff>0</xdr:rowOff>
    </xdr:from>
    <xdr:to>
      <xdr:col>34</xdr:col>
      <xdr:colOff>523874</xdr:colOff>
      <xdr:row>15</xdr:row>
      <xdr:rowOff>173181</xdr:rowOff>
    </xdr:to>
    <xdr:sp macro="[0]!Edit_Employee_13" textlink="">
      <xdr:nvSpPr>
        <xdr:cNvPr id="67" name="Edit_13">
          <a:extLst>
            <a:ext uri="{FF2B5EF4-FFF2-40B4-BE49-F238E27FC236}">
              <a16:creationId xmlns:a16="http://schemas.microsoft.com/office/drawing/2014/main" id="{3C759C5B-D00B-478F-9A90-17281291C2A9}"/>
            </a:ext>
          </a:extLst>
        </xdr:cNvPr>
        <xdr:cNvSpPr>
          <a:spLocks/>
        </xdr:cNvSpPr>
      </xdr:nvSpPr>
      <xdr:spPr bwMode="auto">
        <a:xfrm>
          <a:off x="19444607" y="3156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14</xdr:row>
      <xdr:rowOff>0</xdr:rowOff>
    </xdr:from>
    <xdr:to>
      <xdr:col>34</xdr:col>
      <xdr:colOff>523874</xdr:colOff>
      <xdr:row>14</xdr:row>
      <xdr:rowOff>173181</xdr:rowOff>
    </xdr:to>
    <xdr:sp macro="[0]!Edit_Employee_12" textlink="">
      <xdr:nvSpPr>
        <xdr:cNvPr id="68" name="Edit_12">
          <a:extLst>
            <a:ext uri="{FF2B5EF4-FFF2-40B4-BE49-F238E27FC236}">
              <a16:creationId xmlns:a16="http://schemas.microsoft.com/office/drawing/2014/main" id="{5D69E4DA-44CE-4EA9-A9FA-C364519E4077}"/>
            </a:ext>
          </a:extLst>
        </xdr:cNvPr>
        <xdr:cNvSpPr>
          <a:spLocks/>
        </xdr:cNvSpPr>
      </xdr:nvSpPr>
      <xdr:spPr bwMode="auto">
        <a:xfrm>
          <a:off x="19444607" y="2966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13</xdr:row>
      <xdr:rowOff>0</xdr:rowOff>
    </xdr:from>
    <xdr:to>
      <xdr:col>34</xdr:col>
      <xdr:colOff>523874</xdr:colOff>
      <xdr:row>13</xdr:row>
      <xdr:rowOff>173181</xdr:rowOff>
    </xdr:to>
    <xdr:sp macro="[0]!Edit_Employee_11" textlink="">
      <xdr:nvSpPr>
        <xdr:cNvPr id="69" name="Edit_11">
          <a:extLst>
            <a:ext uri="{FF2B5EF4-FFF2-40B4-BE49-F238E27FC236}">
              <a16:creationId xmlns:a16="http://schemas.microsoft.com/office/drawing/2014/main" id="{937CD315-6422-4EA0-9CE7-2C31FBB87D68}"/>
            </a:ext>
          </a:extLst>
        </xdr:cNvPr>
        <xdr:cNvSpPr>
          <a:spLocks/>
        </xdr:cNvSpPr>
      </xdr:nvSpPr>
      <xdr:spPr bwMode="auto">
        <a:xfrm>
          <a:off x="19444607" y="2775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12</xdr:row>
      <xdr:rowOff>0</xdr:rowOff>
    </xdr:from>
    <xdr:to>
      <xdr:col>34</xdr:col>
      <xdr:colOff>523874</xdr:colOff>
      <xdr:row>12</xdr:row>
      <xdr:rowOff>173181</xdr:rowOff>
    </xdr:to>
    <xdr:sp macro="[0]!Edit_Employee_10" textlink="">
      <xdr:nvSpPr>
        <xdr:cNvPr id="70" name="Edit_10">
          <a:extLst>
            <a:ext uri="{FF2B5EF4-FFF2-40B4-BE49-F238E27FC236}">
              <a16:creationId xmlns:a16="http://schemas.microsoft.com/office/drawing/2014/main" id="{D82B7149-09F6-4981-AEE3-35BE4F87534D}"/>
            </a:ext>
          </a:extLst>
        </xdr:cNvPr>
        <xdr:cNvSpPr>
          <a:spLocks/>
        </xdr:cNvSpPr>
      </xdr:nvSpPr>
      <xdr:spPr bwMode="auto">
        <a:xfrm>
          <a:off x="19444607" y="2585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11</xdr:row>
      <xdr:rowOff>0</xdr:rowOff>
    </xdr:from>
    <xdr:to>
      <xdr:col>34</xdr:col>
      <xdr:colOff>523874</xdr:colOff>
      <xdr:row>11</xdr:row>
      <xdr:rowOff>173181</xdr:rowOff>
    </xdr:to>
    <xdr:sp macro="[0]!Edit_Employee_9" textlink="">
      <xdr:nvSpPr>
        <xdr:cNvPr id="71" name="Edit_9">
          <a:extLst>
            <a:ext uri="{FF2B5EF4-FFF2-40B4-BE49-F238E27FC236}">
              <a16:creationId xmlns:a16="http://schemas.microsoft.com/office/drawing/2014/main" id="{8083FD20-B801-48FA-8403-C6A974A4E233}"/>
            </a:ext>
          </a:extLst>
        </xdr:cNvPr>
        <xdr:cNvSpPr>
          <a:spLocks/>
        </xdr:cNvSpPr>
      </xdr:nvSpPr>
      <xdr:spPr bwMode="auto">
        <a:xfrm>
          <a:off x="19444607" y="2394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10</xdr:row>
      <xdr:rowOff>0</xdr:rowOff>
    </xdr:from>
    <xdr:to>
      <xdr:col>34</xdr:col>
      <xdr:colOff>523874</xdr:colOff>
      <xdr:row>10</xdr:row>
      <xdr:rowOff>173181</xdr:rowOff>
    </xdr:to>
    <xdr:sp macro="[0]!Edit_Employee_8" textlink="">
      <xdr:nvSpPr>
        <xdr:cNvPr id="72" name="Edit_8">
          <a:extLst>
            <a:ext uri="{FF2B5EF4-FFF2-40B4-BE49-F238E27FC236}">
              <a16:creationId xmlns:a16="http://schemas.microsoft.com/office/drawing/2014/main" id="{9B4D1D03-D1B9-4B57-925A-1FAFAF9C4EDC}"/>
            </a:ext>
          </a:extLst>
        </xdr:cNvPr>
        <xdr:cNvSpPr>
          <a:spLocks/>
        </xdr:cNvSpPr>
      </xdr:nvSpPr>
      <xdr:spPr bwMode="auto">
        <a:xfrm>
          <a:off x="19444607" y="2204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9</xdr:row>
      <xdr:rowOff>0</xdr:rowOff>
    </xdr:from>
    <xdr:to>
      <xdr:col>34</xdr:col>
      <xdr:colOff>523874</xdr:colOff>
      <xdr:row>9</xdr:row>
      <xdr:rowOff>173181</xdr:rowOff>
    </xdr:to>
    <xdr:sp macro="[0]!Edit_Employee_7" textlink="">
      <xdr:nvSpPr>
        <xdr:cNvPr id="73" name="Edit_7">
          <a:extLst>
            <a:ext uri="{FF2B5EF4-FFF2-40B4-BE49-F238E27FC236}">
              <a16:creationId xmlns:a16="http://schemas.microsoft.com/office/drawing/2014/main" id="{11919B6B-A584-476A-931D-0FBCD255271C}"/>
            </a:ext>
          </a:extLst>
        </xdr:cNvPr>
        <xdr:cNvSpPr>
          <a:spLocks/>
        </xdr:cNvSpPr>
      </xdr:nvSpPr>
      <xdr:spPr bwMode="auto">
        <a:xfrm>
          <a:off x="19444607" y="2013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8</xdr:row>
      <xdr:rowOff>0</xdr:rowOff>
    </xdr:from>
    <xdr:to>
      <xdr:col>34</xdr:col>
      <xdr:colOff>523874</xdr:colOff>
      <xdr:row>8</xdr:row>
      <xdr:rowOff>173181</xdr:rowOff>
    </xdr:to>
    <xdr:sp macro="[0]!Edit_Employee_6" textlink="">
      <xdr:nvSpPr>
        <xdr:cNvPr id="74" name="Edit_6">
          <a:extLst>
            <a:ext uri="{FF2B5EF4-FFF2-40B4-BE49-F238E27FC236}">
              <a16:creationId xmlns:a16="http://schemas.microsoft.com/office/drawing/2014/main" id="{C7383DC0-63B5-4FF9-AB69-BA5998C1875D}"/>
            </a:ext>
          </a:extLst>
        </xdr:cNvPr>
        <xdr:cNvSpPr>
          <a:spLocks/>
        </xdr:cNvSpPr>
      </xdr:nvSpPr>
      <xdr:spPr bwMode="auto">
        <a:xfrm>
          <a:off x="19444607" y="1823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34</xdr:col>
      <xdr:colOff>523874</xdr:colOff>
      <xdr:row>7</xdr:row>
      <xdr:rowOff>173181</xdr:rowOff>
    </xdr:to>
    <xdr:sp macro="[0]!Edit_Employee_35" textlink="">
      <xdr:nvSpPr>
        <xdr:cNvPr id="75" name="Edit_5">
          <a:extLst>
            <a:ext uri="{FF2B5EF4-FFF2-40B4-BE49-F238E27FC236}">
              <a16:creationId xmlns:a16="http://schemas.microsoft.com/office/drawing/2014/main" id="{81B87163-6D0B-48B7-A19F-5D20F001E1F4}"/>
            </a:ext>
          </a:extLst>
        </xdr:cNvPr>
        <xdr:cNvSpPr>
          <a:spLocks/>
        </xdr:cNvSpPr>
      </xdr:nvSpPr>
      <xdr:spPr bwMode="auto">
        <a:xfrm>
          <a:off x="19444607" y="1632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6</xdr:row>
      <xdr:rowOff>0</xdr:rowOff>
    </xdr:from>
    <xdr:to>
      <xdr:col>34</xdr:col>
      <xdr:colOff>523874</xdr:colOff>
      <xdr:row>6</xdr:row>
      <xdr:rowOff>173181</xdr:rowOff>
    </xdr:to>
    <xdr:sp macro="[0]!Edit_Employee_4" textlink="">
      <xdr:nvSpPr>
        <xdr:cNvPr id="76" name="Edit_4">
          <a:extLst>
            <a:ext uri="{FF2B5EF4-FFF2-40B4-BE49-F238E27FC236}">
              <a16:creationId xmlns:a16="http://schemas.microsoft.com/office/drawing/2014/main" id="{6556DE3E-CFDA-4916-98F0-FF744DC05747}"/>
            </a:ext>
          </a:extLst>
        </xdr:cNvPr>
        <xdr:cNvSpPr>
          <a:spLocks/>
        </xdr:cNvSpPr>
      </xdr:nvSpPr>
      <xdr:spPr bwMode="auto">
        <a:xfrm>
          <a:off x="19444607" y="1442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</xdr:row>
      <xdr:rowOff>0</xdr:rowOff>
    </xdr:from>
    <xdr:to>
      <xdr:col>34</xdr:col>
      <xdr:colOff>523874</xdr:colOff>
      <xdr:row>5</xdr:row>
      <xdr:rowOff>173181</xdr:rowOff>
    </xdr:to>
    <xdr:sp macro="[0]!Edit_Employee_3" textlink="">
      <xdr:nvSpPr>
        <xdr:cNvPr id="77" name="Edit_3">
          <a:extLst>
            <a:ext uri="{FF2B5EF4-FFF2-40B4-BE49-F238E27FC236}">
              <a16:creationId xmlns:a16="http://schemas.microsoft.com/office/drawing/2014/main" id="{3434520E-A960-41FB-8DCB-17CDA6DE3A0D}"/>
            </a:ext>
          </a:extLst>
        </xdr:cNvPr>
        <xdr:cNvSpPr>
          <a:spLocks/>
        </xdr:cNvSpPr>
      </xdr:nvSpPr>
      <xdr:spPr bwMode="auto">
        <a:xfrm>
          <a:off x="19444607" y="1251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</xdr:row>
      <xdr:rowOff>0</xdr:rowOff>
    </xdr:from>
    <xdr:to>
      <xdr:col>34</xdr:col>
      <xdr:colOff>523874</xdr:colOff>
      <xdr:row>4</xdr:row>
      <xdr:rowOff>173181</xdr:rowOff>
    </xdr:to>
    <xdr:sp macro="[0]!Edit_Employee_2" textlink="">
      <xdr:nvSpPr>
        <xdr:cNvPr id="78" name="Edit_2">
          <a:extLst>
            <a:ext uri="{FF2B5EF4-FFF2-40B4-BE49-F238E27FC236}">
              <a16:creationId xmlns:a16="http://schemas.microsoft.com/office/drawing/2014/main" id="{1CB3C7C0-F0FA-4C67-A6C4-80B54D09A490}"/>
            </a:ext>
          </a:extLst>
        </xdr:cNvPr>
        <xdr:cNvSpPr>
          <a:spLocks/>
        </xdr:cNvSpPr>
      </xdr:nvSpPr>
      <xdr:spPr bwMode="auto">
        <a:xfrm>
          <a:off x="19444607" y="1061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</xdr:row>
      <xdr:rowOff>0</xdr:rowOff>
    </xdr:from>
    <xdr:to>
      <xdr:col>34</xdr:col>
      <xdr:colOff>523874</xdr:colOff>
      <xdr:row>3</xdr:row>
      <xdr:rowOff>173181</xdr:rowOff>
    </xdr:to>
    <xdr:sp macro="[0]!Edit_Employee_1" textlink="">
      <xdr:nvSpPr>
        <xdr:cNvPr id="79" name="Edit_1">
          <a:extLst>
            <a:ext uri="{FF2B5EF4-FFF2-40B4-BE49-F238E27FC236}">
              <a16:creationId xmlns:a16="http://schemas.microsoft.com/office/drawing/2014/main" id="{C74CE053-5133-4575-B5E9-A5BEB698FB48}"/>
            </a:ext>
          </a:extLst>
        </xdr:cNvPr>
        <xdr:cNvSpPr>
          <a:spLocks/>
        </xdr:cNvSpPr>
      </xdr:nvSpPr>
      <xdr:spPr bwMode="auto">
        <a:xfrm>
          <a:off x="19444607" y="870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27</xdr:row>
      <xdr:rowOff>0</xdr:rowOff>
    </xdr:from>
    <xdr:to>
      <xdr:col>34</xdr:col>
      <xdr:colOff>523874</xdr:colOff>
      <xdr:row>27</xdr:row>
      <xdr:rowOff>173181</xdr:rowOff>
    </xdr:to>
    <xdr:sp macro="[0]!Edit_Employee_25" textlink="">
      <xdr:nvSpPr>
        <xdr:cNvPr id="80" name="Edit_25">
          <a:extLst>
            <a:ext uri="{FF2B5EF4-FFF2-40B4-BE49-F238E27FC236}">
              <a16:creationId xmlns:a16="http://schemas.microsoft.com/office/drawing/2014/main" id="{87AB97D4-75CC-446B-90A3-6FF9B3732F3F}"/>
            </a:ext>
          </a:extLst>
        </xdr:cNvPr>
        <xdr:cNvSpPr>
          <a:spLocks/>
        </xdr:cNvSpPr>
      </xdr:nvSpPr>
      <xdr:spPr bwMode="auto">
        <a:xfrm>
          <a:off x="19444607" y="5442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28</xdr:row>
      <xdr:rowOff>0</xdr:rowOff>
    </xdr:from>
    <xdr:to>
      <xdr:col>34</xdr:col>
      <xdr:colOff>523874</xdr:colOff>
      <xdr:row>28</xdr:row>
      <xdr:rowOff>173181</xdr:rowOff>
    </xdr:to>
    <xdr:sp macro="[0]!Edit_Employee_26" textlink="">
      <xdr:nvSpPr>
        <xdr:cNvPr id="81" name="Edit_26">
          <a:extLst>
            <a:ext uri="{FF2B5EF4-FFF2-40B4-BE49-F238E27FC236}">
              <a16:creationId xmlns:a16="http://schemas.microsoft.com/office/drawing/2014/main" id="{EF09777C-F6B9-4A5A-A3B8-F22C8AF73CF8}"/>
            </a:ext>
          </a:extLst>
        </xdr:cNvPr>
        <xdr:cNvSpPr>
          <a:spLocks/>
        </xdr:cNvSpPr>
      </xdr:nvSpPr>
      <xdr:spPr bwMode="auto">
        <a:xfrm>
          <a:off x="19444607" y="5633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30</xdr:row>
      <xdr:rowOff>0</xdr:rowOff>
    </xdr:from>
    <xdr:to>
      <xdr:col>34</xdr:col>
      <xdr:colOff>523874</xdr:colOff>
      <xdr:row>30</xdr:row>
      <xdr:rowOff>173181</xdr:rowOff>
    </xdr:to>
    <xdr:sp macro="[0]!Edit_Employee_28" textlink="">
      <xdr:nvSpPr>
        <xdr:cNvPr id="82" name="Edit_28">
          <a:extLst>
            <a:ext uri="{FF2B5EF4-FFF2-40B4-BE49-F238E27FC236}">
              <a16:creationId xmlns:a16="http://schemas.microsoft.com/office/drawing/2014/main" id="{AB725E2F-554F-4328-B2E1-CDCD649E85B2}"/>
            </a:ext>
          </a:extLst>
        </xdr:cNvPr>
        <xdr:cNvSpPr>
          <a:spLocks/>
        </xdr:cNvSpPr>
      </xdr:nvSpPr>
      <xdr:spPr bwMode="auto">
        <a:xfrm>
          <a:off x="19444607" y="6014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31</xdr:row>
      <xdr:rowOff>0</xdr:rowOff>
    </xdr:from>
    <xdr:to>
      <xdr:col>34</xdr:col>
      <xdr:colOff>523874</xdr:colOff>
      <xdr:row>31</xdr:row>
      <xdr:rowOff>173181</xdr:rowOff>
    </xdr:to>
    <xdr:sp macro="[0]!Edit_Employee_29" textlink="">
      <xdr:nvSpPr>
        <xdr:cNvPr id="83" name="Edit_29">
          <a:extLst>
            <a:ext uri="{FF2B5EF4-FFF2-40B4-BE49-F238E27FC236}">
              <a16:creationId xmlns:a16="http://schemas.microsoft.com/office/drawing/2014/main" id="{233D906C-16E0-4E8E-9063-09D037626000}"/>
            </a:ext>
          </a:extLst>
        </xdr:cNvPr>
        <xdr:cNvSpPr>
          <a:spLocks/>
        </xdr:cNvSpPr>
      </xdr:nvSpPr>
      <xdr:spPr bwMode="auto">
        <a:xfrm>
          <a:off x="19444607" y="6204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29</xdr:row>
      <xdr:rowOff>0</xdr:rowOff>
    </xdr:from>
    <xdr:to>
      <xdr:col>34</xdr:col>
      <xdr:colOff>523874</xdr:colOff>
      <xdr:row>29</xdr:row>
      <xdr:rowOff>173181</xdr:rowOff>
    </xdr:to>
    <xdr:sp macro="[0]!Edit_Employee_27" textlink="">
      <xdr:nvSpPr>
        <xdr:cNvPr id="84" name="Edit_27">
          <a:extLst>
            <a:ext uri="{FF2B5EF4-FFF2-40B4-BE49-F238E27FC236}">
              <a16:creationId xmlns:a16="http://schemas.microsoft.com/office/drawing/2014/main" id="{7C6CD0EB-F8BF-4795-AD49-78608FDFE416}"/>
            </a:ext>
          </a:extLst>
        </xdr:cNvPr>
        <xdr:cNvSpPr>
          <a:spLocks/>
        </xdr:cNvSpPr>
      </xdr:nvSpPr>
      <xdr:spPr bwMode="auto">
        <a:xfrm>
          <a:off x="19444607" y="5823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32</xdr:row>
      <xdr:rowOff>0</xdr:rowOff>
    </xdr:from>
    <xdr:to>
      <xdr:col>34</xdr:col>
      <xdr:colOff>523874</xdr:colOff>
      <xdr:row>32</xdr:row>
      <xdr:rowOff>173181</xdr:rowOff>
    </xdr:to>
    <xdr:sp macro="[0]!Edit_Employee_30" textlink="">
      <xdr:nvSpPr>
        <xdr:cNvPr id="85" name="Edit_30">
          <a:extLst>
            <a:ext uri="{FF2B5EF4-FFF2-40B4-BE49-F238E27FC236}">
              <a16:creationId xmlns:a16="http://schemas.microsoft.com/office/drawing/2014/main" id="{E1AC9CDD-112D-4EB8-BBCD-1D0024E03EB7}"/>
            </a:ext>
          </a:extLst>
        </xdr:cNvPr>
        <xdr:cNvSpPr>
          <a:spLocks/>
        </xdr:cNvSpPr>
      </xdr:nvSpPr>
      <xdr:spPr bwMode="auto">
        <a:xfrm>
          <a:off x="19444607" y="6395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33</xdr:row>
      <xdr:rowOff>0</xdr:rowOff>
    </xdr:from>
    <xdr:to>
      <xdr:col>34</xdr:col>
      <xdr:colOff>523874</xdr:colOff>
      <xdr:row>33</xdr:row>
      <xdr:rowOff>173181</xdr:rowOff>
    </xdr:to>
    <xdr:sp macro="[0]!Edit_Employee_31" textlink="">
      <xdr:nvSpPr>
        <xdr:cNvPr id="86" name="Edit_31">
          <a:extLst>
            <a:ext uri="{FF2B5EF4-FFF2-40B4-BE49-F238E27FC236}">
              <a16:creationId xmlns:a16="http://schemas.microsoft.com/office/drawing/2014/main" id="{9CDBD5CB-0207-4E16-A0A8-F5340AB4461E}"/>
            </a:ext>
          </a:extLst>
        </xdr:cNvPr>
        <xdr:cNvSpPr>
          <a:spLocks/>
        </xdr:cNvSpPr>
      </xdr:nvSpPr>
      <xdr:spPr bwMode="auto">
        <a:xfrm>
          <a:off x="19444607" y="6585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37</xdr:row>
      <xdr:rowOff>0</xdr:rowOff>
    </xdr:from>
    <xdr:to>
      <xdr:col>34</xdr:col>
      <xdr:colOff>523874</xdr:colOff>
      <xdr:row>37</xdr:row>
      <xdr:rowOff>173181</xdr:rowOff>
    </xdr:to>
    <xdr:sp macro="[0]!Edit_Employee_35" textlink="">
      <xdr:nvSpPr>
        <xdr:cNvPr id="87" name="Edit_35">
          <a:extLst>
            <a:ext uri="{FF2B5EF4-FFF2-40B4-BE49-F238E27FC236}">
              <a16:creationId xmlns:a16="http://schemas.microsoft.com/office/drawing/2014/main" id="{A82929AF-6DD4-4F21-9A7D-D48FAB38D590}"/>
            </a:ext>
          </a:extLst>
        </xdr:cNvPr>
        <xdr:cNvSpPr>
          <a:spLocks/>
        </xdr:cNvSpPr>
      </xdr:nvSpPr>
      <xdr:spPr bwMode="auto">
        <a:xfrm>
          <a:off x="19444607" y="7347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50</xdr:row>
      <xdr:rowOff>0</xdr:rowOff>
    </xdr:from>
    <xdr:to>
      <xdr:col>34</xdr:col>
      <xdr:colOff>523874</xdr:colOff>
      <xdr:row>50</xdr:row>
      <xdr:rowOff>173181</xdr:rowOff>
    </xdr:to>
    <xdr:sp macro="[0]!Edit_Employee_48" textlink="">
      <xdr:nvSpPr>
        <xdr:cNvPr id="88" name="Edit_48">
          <a:extLst>
            <a:ext uri="{FF2B5EF4-FFF2-40B4-BE49-F238E27FC236}">
              <a16:creationId xmlns:a16="http://schemas.microsoft.com/office/drawing/2014/main" id="{A020DE4B-251E-42C1-AD2A-B0EABDC33B2D}"/>
            </a:ext>
          </a:extLst>
        </xdr:cNvPr>
        <xdr:cNvSpPr>
          <a:spLocks/>
        </xdr:cNvSpPr>
      </xdr:nvSpPr>
      <xdr:spPr bwMode="auto">
        <a:xfrm>
          <a:off x="19444607" y="9824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49</xdr:row>
      <xdr:rowOff>0</xdr:rowOff>
    </xdr:from>
    <xdr:to>
      <xdr:col>34</xdr:col>
      <xdr:colOff>523874</xdr:colOff>
      <xdr:row>49</xdr:row>
      <xdr:rowOff>173181</xdr:rowOff>
    </xdr:to>
    <xdr:sp macro="[0]!Edit_Employee_47" textlink="">
      <xdr:nvSpPr>
        <xdr:cNvPr id="89" name="Edit_47">
          <a:extLst>
            <a:ext uri="{FF2B5EF4-FFF2-40B4-BE49-F238E27FC236}">
              <a16:creationId xmlns:a16="http://schemas.microsoft.com/office/drawing/2014/main" id="{5399051A-1875-4F0E-8ED0-77E8CBE48758}"/>
            </a:ext>
          </a:extLst>
        </xdr:cNvPr>
        <xdr:cNvSpPr>
          <a:spLocks/>
        </xdr:cNvSpPr>
      </xdr:nvSpPr>
      <xdr:spPr bwMode="auto">
        <a:xfrm>
          <a:off x="19444607" y="9633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48</xdr:row>
      <xdr:rowOff>0</xdr:rowOff>
    </xdr:from>
    <xdr:to>
      <xdr:col>34</xdr:col>
      <xdr:colOff>523874</xdr:colOff>
      <xdr:row>48</xdr:row>
      <xdr:rowOff>173181</xdr:rowOff>
    </xdr:to>
    <xdr:sp macro="[0]!Edit_Employee_46" textlink="">
      <xdr:nvSpPr>
        <xdr:cNvPr id="90" name="Edit_46">
          <a:extLst>
            <a:ext uri="{FF2B5EF4-FFF2-40B4-BE49-F238E27FC236}">
              <a16:creationId xmlns:a16="http://schemas.microsoft.com/office/drawing/2014/main" id="{C0D9B4FB-B359-4C1F-987E-88915D6035E0}"/>
            </a:ext>
          </a:extLst>
        </xdr:cNvPr>
        <xdr:cNvSpPr>
          <a:spLocks/>
        </xdr:cNvSpPr>
      </xdr:nvSpPr>
      <xdr:spPr bwMode="auto">
        <a:xfrm>
          <a:off x="19444607" y="9443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47</xdr:row>
      <xdr:rowOff>0</xdr:rowOff>
    </xdr:from>
    <xdr:to>
      <xdr:col>34</xdr:col>
      <xdr:colOff>523874</xdr:colOff>
      <xdr:row>47</xdr:row>
      <xdr:rowOff>173181</xdr:rowOff>
    </xdr:to>
    <xdr:sp macro="[0]!Edit_Employee_45" textlink="">
      <xdr:nvSpPr>
        <xdr:cNvPr id="91" name="Edit_45">
          <a:extLst>
            <a:ext uri="{FF2B5EF4-FFF2-40B4-BE49-F238E27FC236}">
              <a16:creationId xmlns:a16="http://schemas.microsoft.com/office/drawing/2014/main" id="{53FB40E3-5D06-4601-AEF1-48A2F2D3248E}"/>
            </a:ext>
          </a:extLst>
        </xdr:cNvPr>
        <xdr:cNvSpPr>
          <a:spLocks/>
        </xdr:cNvSpPr>
      </xdr:nvSpPr>
      <xdr:spPr bwMode="auto">
        <a:xfrm>
          <a:off x="19444607" y="9252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46</xdr:row>
      <xdr:rowOff>0</xdr:rowOff>
    </xdr:from>
    <xdr:to>
      <xdr:col>34</xdr:col>
      <xdr:colOff>523874</xdr:colOff>
      <xdr:row>46</xdr:row>
      <xdr:rowOff>173181</xdr:rowOff>
    </xdr:to>
    <xdr:sp macro="[0]!Edit_Employee_44" textlink="">
      <xdr:nvSpPr>
        <xdr:cNvPr id="92" name="Edit_44">
          <a:extLst>
            <a:ext uri="{FF2B5EF4-FFF2-40B4-BE49-F238E27FC236}">
              <a16:creationId xmlns:a16="http://schemas.microsoft.com/office/drawing/2014/main" id="{4515CFC3-E0F8-4D1B-A427-C9BC54FB07BF}"/>
            </a:ext>
          </a:extLst>
        </xdr:cNvPr>
        <xdr:cNvSpPr>
          <a:spLocks/>
        </xdr:cNvSpPr>
      </xdr:nvSpPr>
      <xdr:spPr bwMode="auto">
        <a:xfrm>
          <a:off x="19444607" y="9062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45</xdr:row>
      <xdr:rowOff>0</xdr:rowOff>
    </xdr:from>
    <xdr:to>
      <xdr:col>34</xdr:col>
      <xdr:colOff>523874</xdr:colOff>
      <xdr:row>45</xdr:row>
      <xdr:rowOff>173181</xdr:rowOff>
    </xdr:to>
    <xdr:sp macro="[0]!Edit_Employee_43" textlink="">
      <xdr:nvSpPr>
        <xdr:cNvPr id="93" name="Edit_43">
          <a:extLst>
            <a:ext uri="{FF2B5EF4-FFF2-40B4-BE49-F238E27FC236}">
              <a16:creationId xmlns:a16="http://schemas.microsoft.com/office/drawing/2014/main" id="{666D7008-322A-4E9E-8658-22F81757CA95}"/>
            </a:ext>
          </a:extLst>
        </xdr:cNvPr>
        <xdr:cNvSpPr>
          <a:spLocks/>
        </xdr:cNvSpPr>
      </xdr:nvSpPr>
      <xdr:spPr bwMode="auto">
        <a:xfrm>
          <a:off x="19444607" y="8871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44</xdr:row>
      <xdr:rowOff>0</xdr:rowOff>
    </xdr:from>
    <xdr:to>
      <xdr:col>34</xdr:col>
      <xdr:colOff>523874</xdr:colOff>
      <xdr:row>44</xdr:row>
      <xdr:rowOff>173181</xdr:rowOff>
    </xdr:to>
    <xdr:sp macro="[0]!Edit_Employee_42" textlink="">
      <xdr:nvSpPr>
        <xdr:cNvPr id="94" name="Edit_42">
          <a:extLst>
            <a:ext uri="{FF2B5EF4-FFF2-40B4-BE49-F238E27FC236}">
              <a16:creationId xmlns:a16="http://schemas.microsoft.com/office/drawing/2014/main" id="{3E8E6168-715E-4026-844C-98D88DAFD72B}"/>
            </a:ext>
          </a:extLst>
        </xdr:cNvPr>
        <xdr:cNvSpPr>
          <a:spLocks/>
        </xdr:cNvSpPr>
      </xdr:nvSpPr>
      <xdr:spPr bwMode="auto">
        <a:xfrm>
          <a:off x="19444607" y="8681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43</xdr:row>
      <xdr:rowOff>0</xdr:rowOff>
    </xdr:from>
    <xdr:to>
      <xdr:col>34</xdr:col>
      <xdr:colOff>523874</xdr:colOff>
      <xdr:row>43</xdr:row>
      <xdr:rowOff>173181</xdr:rowOff>
    </xdr:to>
    <xdr:sp macro="[0]!Edit_Employee_41" textlink="">
      <xdr:nvSpPr>
        <xdr:cNvPr id="95" name="Edit_41">
          <a:extLst>
            <a:ext uri="{FF2B5EF4-FFF2-40B4-BE49-F238E27FC236}">
              <a16:creationId xmlns:a16="http://schemas.microsoft.com/office/drawing/2014/main" id="{0A2E21C2-8A5C-4B22-965B-C79E014A5683}"/>
            </a:ext>
          </a:extLst>
        </xdr:cNvPr>
        <xdr:cNvSpPr>
          <a:spLocks/>
        </xdr:cNvSpPr>
      </xdr:nvSpPr>
      <xdr:spPr bwMode="auto">
        <a:xfrm>
          <a:off x="19444607" y="8490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42</xdr:row>
      <xdr:rowOff>0</xdr:rowOff>
    </xdr:from>
    <xdr:to>
      <xdr:col>34</xdr:col>
      <xdr:colOff>523874</xdr:colOff>
      <xdr:row>42</xdr:row>
      <xdr:rowOff>173181</xdr:rowOff>
    </xdr:to>
    <xdr:sp macro="[0]!Edit_Employee_40" textlink="">
      <xdr:nvSpPr>
        <xdr:cNvPr id="96" name="Edit_40">
          <a:extLst>
            <a:ext uri="{FF2B5EF4-FFF2-40B4-BE49-F238E27FC236}">
              <a16:creationId xmlns:a16="http://schemas.microsoft.com/office/drawing/2014/main" id="{FB76755C-6FC8-4CAB-9CB1-E667A9649F02}"/>
            </a:ext>
          </a:extLst>
        </xdr:cNvPr>
        <xdr:cNvSpPr>
          <a:spLocks/>
        </xdr:cNvSpPr>
      </xdr:nvSpPr>
      <xdr:spPr bwMode="auto">
        <a:xfrm>
          <a:off x="19444607" y="8300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41</xdr:row>
      <xdr:rowOff>0</xdr:rowOff>
    </xdr:from>
    <xdr:to>
      <xdr:col>34</xdr:col>
      <xdr:colOff>523874</xdr:colOff>
      <xdr:row>41</xdr:row>
      <xdr:rowOff>173181</xdr:rowOff>
    </xdr:to>
    <xdr:sp macro="[0]!Edit_Employee_39" textlink="">
      <xdr:nvSpPr>
        <xdr:cNvPr id="97" name="Edit_39">
          <a:extLst>
            <a:ext uri="{FF2B5EF4-FFF2-40B4-BE49-F238E27FC236}">
              <a16:creationId xmlns:a16="http://schemas.microsoft.com/office/drawing/2014/main" id="{BFB4D680-76A4-4885-8E04-D169FAC3F453}"/>
            </a:ext>
          </a:extLst>
        </xdr:cNvPr>
        <xdr:cNvSpPr>
          <a:spLocks/>
        </xdr:cNvSpPr>
      </xdr:nvSpPr>
      <xdr:spPr bwMode="auto">
        <a:xfrm>
          <a:off x="19444607" y="8109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40</xdr:row>
      <xdr:rowOff>0</xdr:rowOff>
    </xdr:from>
    <xdr:to>
      <xdr:col>34</xdr:col>
      <xdr:colOff>523874</xdr:colOff>
      <xdr:row>40</xdr:row>
      <xdr:rowOff>173181</xdr:rowOff>
    </xdr:to>
    <xdr:sp macro="[0]!Edit_Employee_38" textlink="">
      <xdr:nvSpPr>
        <xdr:cNvPr id="98" name="Edit_38">
          <a:extLst>
            <a:ext uri="{FF2B5EF4-FFF2-40B4-BE49-F238E27FC236}">
              <a16:creationId xmlns:a16="http://schemas.microsoft.com/office/drawing/2014/main" id="{E4E3D039-35EB-41D8-A192-E8F111EACDA9}"/>
            </a:ext>
          </a:extLst>
        </xdr:cNvPr>
        <xdr:cNvSpPr>
          <a:spLocks/>
        </xdr:cNvSpPr>
      </xdr:nvSpPr>
      <xdr:spPr bwMode="auto">
        <a:xfrm>
          <a:off x="19444607" y="7919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39</xdr:row>
      <xdr:rowOff>0</xdr:rowOff>
    </xdr:from>
    <xdr:to>
      <xdr:col>34</xdr:col>
      <xdr:colOff>523874</xdr:colOff>
      <xdr:row>39</xdr:row>
      <xdr:rowOff>173181</xdr:rowOff>
    </xdr:to>
    <xdr:sp macro="[0]!Edit_Employee_37" textlink="">
      <xdr:nvSpPr>
        <xdr:cNvPr id="99" name="Edit_37">
          <a:extLst>
            <a:ext uri="{FF2B5EF4-FFF2-40B4-BE49-F238E27FC236}">
              <a16:creationId xmlns:a16="http://schemas.microsoft.com/office/drawing/2014/main" id="{790095B6-1D14-467C-B7C4-276D077E850D}"/>
            </a:ext>
          </a:extLst>
        </xdr:cNvPr>
        <xdr:cNvSpPr>
          <a:spLocks/>
        </xdr:cNvSpPr>
      </xdr:nvSpPr>
      <xdr:spPr bwMode="auto">
        <a:xfrm>
          <a:off x="19444607" y="7728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38</xdr:row>
      <xdr:rowOff>0</xdr:rowOff>
    </xdr:from>
    <xdr:to>
      <xdr:col>34</xdr:col>
      <xdr:colOff>523874</xdr:colOff>
      <xdr:row>38</xdr:row>
      <xdr:rowOff>173181</xdr:rowOff>
    </xdr:to>
    <xdr:sp macro="[0]!Edit_Employee_36" textlink="">
      <xdr:nvSpPr>
        <xdr:cNvPr id="100" name="Edit_36">
          <a:extLst>
            <a:ext uri="{FF2B5EF4-FFF2-40B4-BE49-F238E27FC236}">
              <a16:creationId xmlns:a16="http://schemas.microsoft.com/office/drawing/2014/main" id="{848F6D27-AC80-4804-8455-322DAAEBD0FE}"/>
            </a:ext>
          </a:extLst>
        </xdr:cNvPr>
        <xdr:cNvSpPr>
          <a:spLocks/>
        </xdr:cNvSpPr>
      </xdr:nvSpPr>
      <xdr:spPr bwMode="auto">
        <a:xfrm>
          <a:off x="19444607" y="7538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36</xdr:row>
      <xdr:rowOff>0</xdr:rowOff>
    </xdr:from>
    <xdr:to>
      <xdr:col>34</xdr:col>
      <xdr:colOff>523874</xdr:colOff>
      <xdr:row>36</xdr:row>
      <xdr:rowOff>173181</xdr:rowOff>
    </xdr:to>
    <xdr:sp macro="[0]!Edit_Employee_34" textlink="">
      <xdr:nvSpPr>
        <xdr:cNvPr id="101" name="Edit_34">
          <a:extLst>
            <a:ext uri="{FF2B5EF4-FFF2-40B4-BE49-F238E27FC236}">
              <a16:creationId xmlns:a16="http://schemas.microsoft.com/office/drawing/2014/main" id="{777DE67E-291A-40FE-920D-37C83003FF22}"/>
            </a:ext>
          </a:extLst>
        </xdr:cNvPr>
        <xdr:cNvSpPr>
          <a:spLocks/>
        </xdr:cNvSpPr>
      </xdr:nvSpPr>
      <xdr:spPr bwMode="auto">
        <a:xfrm>
          <a:off x="19444607" y="7157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35</xdr:row>
      <xdr:rowOff>0</xdr:rowOff>
    </xdr:from>
    <xdr:to>
      <xdr:col>34</xdr:col>
      <xdr:colOff>523874</xdr:colOff>
      <xdr:row>35</xdr:row>
      <xdr:rowOff>173181</xdr:rowOff>
    </xdr:to>
    <xdr:sp macro="[0]!Edit_Employee_33" textlink="">
      <xdr:nvSpPr>
        <xdr:cNvPr id="102" name="Edit_33">
          <a:extLst>
            <a:ext uri="{FF2B5EF4-FFF2-40B4-BE49-F238E27FC236}">
              <a16:creationId xmlns:a16="http://schemas.microsoft.com/office/drawing/2014/main" id="{BFB1F379-16D0-4E63-8EDA-5EFC9BDD83F9}"/>
            </a:ext>
          </a:extLst>
        </xdr:cNvPr>
        <xdr:cNvSpPr>
          <a:spLocks/>
        </xdr:cNvSpPr>
      </xdr:nvSpPr>
      <xdr:spPr bwMode="auto">
        <a:xfrm>
          <a:off x="19444607" y="6966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34</xdr:row>
      <xdr:rowOff>0</xdr:rowOff>
    </xdr:from>
    <xdr:to>
      <xdr:col>34</xdr:col>
      <xdr:colOff>523874</xdr:colOff>
      <xdr:row>34</xdr:row>
      <xdr:rowOff>173181</xdr:rowOff>
    </xdr:to>
    <xdr:sp macro="[0]!Edit_Employee_32" textlink="">
      <xdr:nvSpPr>
        <xdr:cNvPr id="103" name="Edit_32">
          <a:extLst>
            <a:ext uri="{FF2B5EF4-FFF2-40B4-BE49-F238E27FC236}">
              <a16:creationId xmlns:a16="http://schemas.microsoft.com/office/drawing/2014/main" id="{246BA848-3E34-45C1-9977-2F2D4D704B52}"/>
            </a:ext>
          </a:extLst>
        </xdr:cNvPr>
        <xdr:cNvSpPr>
          <a:spLocks/>
        </xdr:cNvSpPr>
      </xdr:nvSpPr>
      <xdr:spPr bwMode="auto">
        <a:xfrm>
          <a:off x="19444607" y="6776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63</xdr:row>
      <xdr:rowOff>0</xdr:rowOff>
    </xdr:from>
    <xdr:to>
      <xdr:col>34</xdr:col>
      <xdr:colOff>523874</xdr:colOff>
      <xdr:row>63</xdr:row>
      <xdr:rowOff>173181</xdr:rowOff>
    </xdr:to>
    <xdr:sp macro="[0]!Edit_Employee_61" textlink="">
      <xdr:nvSpPr>
        <xdr:cNvPr id="104" name="Edit_61">
          <a:extLst>
            <a:ext uri="{FF2B5EF4-FFF2-40B4-BE49-F238E27FC236}">
              <a16:creationId xmlns:a16="http://schemas.microsoft.com/office/drawing/2014/main" id="{ACA8FEC5-FB64-46B3-95CD-9CB81407EBC2}"/>
            </a:ext>
          </a:extLst>
        </xdr:cNvPr>
        <xdr:cNvSpPr>
          <a:spLocks/>
        </xdr:cNvSpPr>
      </xdr:nvSpPr>
      <xdr:spPr bwMode="auto">
        <a:xfrm>
          <a:off x="19444607" y="12300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62</xdr:row>
      <xdr:rowOff>0</xdr:rowOff>
    </xdr:from>
    <xdr:to>
      <xdr:col>34</xdr:col>
      <xdr:colOff>523874</xdr:colOff>
      <xdr:row>62</xdr:row>
      <xdr:rowOff>173181</xdr:rowOff>
    </xdr:to>
    <xdr:sp macro="[0]!Edit_Employee_60" textlink="">
      <xdr:nvSpPr>
        <xdr:cNvPr id="105" name="Edit_60">
          <a:extLst>
            <a:ext uri="{FF2B5EF4-FFF2-40B4-BE49-F238E27FC236}">
              <a16:creationId xmlns:a16="http://schemas.microsoft.com/office/drawing/2014/main" id="{CC1C8DCD-631D-43D5-89D8-E80B108FBE93}"/>
            </a:ext>
          </a:extLst>
        </xdr:cNvPr>
        <xdr:cNvSpPr>
          <a:spLocks/>
        </xdr:cNvSpPr>
      </xdr:nvSpPr>
      <xdr:spPr bwMode="auto">
        <a:xfrm>
          <a:off x="19444607" y="12110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61</xdr:row>
      <xdr:rowOff>0</xdr:rowOff>
    </xdr:from>
    <xdr:to>
      <xdr:col>34</xdr:col>
      <xdr:colOff>523874</xdr:colOff>
      <xdr:row>61</xdr:row>
      <xdr:rowOff>173181</xdr:rowOff>
    </xdr:to>
    <xdr:sp macro="[0]!Edit_Employee_59" textlink="">
      <xdr:nvSpPr>
        <xdr:cNvPr id="106" name="Edit_59">
          <a:extLst>
            <a:ext uri="{FF2B5EF4-FFF2-40B4-BE49-F238E27FC236}">
              <a16:creationId xmlns:a16="http://schemas.microsoft.com/office/drawing/2014/main" id="{DD01DC9E-6638-45D5-AAC5-3793AE5FD358}"/>
            </a:ext>
          </a:extLst>
        </xdr:cNvPr>
        <xdr:cNvSpPr>
          <a:spLocks/>
        </xdr:cNvSpPr>
      </xdr:nvSpPr>
      <xdr:spPr bwMode="auto">
        <a:xfrm>
          <a:off x="19444607" y="11919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60</xdr:row>
      <xdr:rowOff>0</xdr:rowOff>
    </xdr:from>
    <xdr:to>
      <xdr:col>34</xdr:col>
      <xdr:colOff>523874</xdr:colOff>
      <xdr:row>60</xdr:row>
      <xdr:rowOff>173181</xdr:rowOff>
    </xdr:to>
    <xdr:sp macro="[0]!Edit_Employee_58" textlink="">
      <xdr:nvSpPr>
        <xdr:cNvPr id="107" name="Edit_58">
          <a:extLst>
            <a:ext uri="{FF2B5EF4-FFF2-40B4-BE49-F238E27FC236}">
              <a16:creationId xmlns:a16="http://schemas.microsoft.com/office/drawing/2014/main" id="{DE3CFA86-131D-4327-B115-39DF34BF2CDE}"/>
            </a:ext>
          </a:extLst>
        </xdr:cNvPr>
        <xdr:cNvSpPr>
          <a:spLocks/>
        </xdr:cNvSpPr>
      </xdr:nvSpPr>
      <xdr:spPr bwMode="auto">
        <a:xfrm>
          <a:off x="19444607" y="11729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59</xdr:row>
      <xdr:rowOff>0</xdr:rowOff>
    </xdr:from>
    <xdr:to>
      <xdr:col>34</xdr:col>
      <xdr:colOff>523874</xdr:colOff>
      <xdr:row>59</xdr:row>
      <xdr:rowOff>173181</xdr:rowOff>
    </xdr:to>
    <xdr:sp macro="[0]!Edit_Employee_57" textlink="">
      <xdr:nvSpPr>
        <xdr:cNvPr id="108" name="Edit_57">
          <a:extLst>
            <a:ext uri="{FF2B5EF4-FFF2-40B4-BE49-F238E27FC236}">
              <a16:creationId xmlns:a16="http://schemas.microsoft.com/office/drawing/2014/main" id="{C1B9FC43-116C-4B3B-ACE5-EAB7CCC31D18}"/>
            </a:ext>
          </a:extLst>
        </xdr:cNvPr>
        <xdr:cNvSpPr>
          <a:spLocks/>
        </xdr:cNvSpPr>
      </xdr:nvSpPr>
      <xdr:spPr bwMode="auto">
        <a:xfrm>
          <a:off x="19444607" y="11538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58</xdr:row>
      <xdr:rowOff>0</xdr:rowOff>
    </xdr:from>
    <xdr:to>
      <xdr:col>34</xdr:col>
      <xdr:colOff>523874</xdr:colOff>
      <xdr:row>58</xdr:row>
      <xdr:rowOff>173181</xdr:rowOff>
    </xdr:to>
    <xdr:sp macro="[0]!Edit_Employee_56" textlink="">
      <xdr:nvSpPr>
        <xdr:cNvPr id="109" name="Edit_56">
          <a:extLst>
            <a:ext uri="{FF2B5EF4-FFF2-40B4-BE49-F238E27FC236}">
              <a16:creationId xmlns:a16="http://schemas.microsoft.com/office/drawing/2014/main" id="{B24A37FE-6087-4E08-AA18-62E5777309BF}"/>
            </a:ext>
          </a:extLst>
        </xdr:cNvPr>
        <xdr:cNvSpPr>
          <a:spLocks/>
        </xdr:cNvSpPr>
      </xdr:nvSpPr>
      <xdr:spPr bwMode="auto">
        <a:xfrm>
          <a:off x="19444607" y="11348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57</xdr:row>
      <xdr:rowOff>0</xdr:rowOff>
    </xdr:from>
    <xdr:to>
      <xdr:col>34</xdr:col>
      <xdr:colOff>523874</xdr:colOff>
      <xdr:row>57</xdr:row>
      <xdr:rowOff>173181</xdr:rowOff>
    </xdr:to>
    <xdr:sp macro="[0]!Edit_Employee_55" textlink="">
      <xdr:nvSpPr>
        <xdr:cNvPr id="110" name="Edit_55">
          <a:extLst>
            <a:ext uri="{FF2B5EF4-FFF2-40B4-BE49-F238E27FC236}">
              <a16:creationId xmlns:a16="http://schemas.microsoft.com/office/drawing/2014/main" id="{B8241D91-C1BD-4A99-BDDA-6B42FB0683E5}"/>
            </a:ext>
          </a:extLst>
        </xdr:cNvPr>
        <xdr:cNvSpPr>
          <a:spLocks/>
        </xdr:cNvSpPr>
      </xdr:nvSpPr>
      <xdr:spPr bwMode="auto">
        <a:xfrm>
          <a:off x="19444607" y="11157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56</xdr:row>
      <xdr:rowOff>0</xdr:rowOff>
    </xdr:from>
    <xdr:to>
      <xdr:col>34</xdr:col>
      <xdr:colOff>523874</xdr:colOff>
      <xdr:row>56</xdr:row>
      <xdr:rowOff>173181</xdr:rowOff>
    </xdr:to>
    <xdr:sp macro="[0]!Edit_Employee_54" textlink="">
      <xdr:nvSpPr>
        <xdr:cNvPr id="111" name="Edit_54">
          <a:extLst>
            <a:ext uri="{FF2B5EF4-FFF2-40B4-BE49-F238E27FC236}">
              <a16:creationId xmlns:a16="http://schemas.microsoft.com/office/drawing/2014/main" id="{22267360-ED84-4FE5-870A-B9ACB80E581F}"/>
            </a:ext>
          </a:extLst>
        </xdr:cNvPr>
        <xdr:cNvSpPr>
          <a:spLocks/>
        </xdr:cNvSpPr>
      </xdr:nvSpPr>
      <xdr:spPr bwMode="auto">
        <a:xfrm>
          <a:off x="19444607" y="10967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55</xdr:row>
      <xdr:rowOff>0</xdr:rowOff>
    </xdr:from>
    <xdr:to>
      <xdr:col>34</xdr:col>
      <xdr:colOff>523874</xdr:colOff>
      <xdr:row>55</xdr:row>
      <xdr:rowOff>173181</xdr:rowOff>
    </xdr:to>
    <xdr:sp macro="[0]!Edit_Employee_53" textlink="">
      <xdr:nvSpPr>
        <xdr:cNvPr id="112" name="Edit_53">
          <a:extLst>
            <a:ext uri="{FF2B5EF4-FFF2-40B4-BE49-F238E27FC236}">
              <a16:creationId xmlns:a16="http://schemas.microsoft.com/office/drawing/2014/main" id="{DB5F439D-F22F-4BA3-B32C-5D48F4855820}"/>
            </a:ext>
          </a:extLst>
        </xdr:cNvPr>
        <xdr:cNvSpPr>
          <a:spLocks/>
        </xdr:cNvSpPr>
      </xdr:nvSpPr>
      <xdr:spPr bwMode="auto">
        <a:xfrm>
          <a:off x="19444607" y="10776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54</xdr:row>
      <xdr:rowOff>0</xdr:rowOff>
    </xdr:from>
    <xdr:to>
      <xdr:col>34</xdr:col>
      <xdr:colOff>523874</xdr:colOff>
      <xdr:row>54</xdr:row>
      <xdr:rowOff>173181</xdr:rowOff>
    </xdr:to>
    <xdr:sp macro="[0]!Edit_Employee_52" textlink="">
      <xdr:nvSpPr>
        <xdr:cNvPr id="113" name="Edit_52">
          <a:extLst>
            <a:ext uri="{FF2B5EF4-FFF2-40B4-BE49-F238E27FC236}">
              <a16:creationId xmlns:a16="http://schemas.microsoft.com/office/drawing/2014/main" id="{64093D71-CB46-4B16-8F55-05E05A7CA793}"/>
            </a:ext>
          </a:extLst>
        </xdr:cNvPr>
        <xdr:cNvSpPr>
          <a:spLocks/>
        </xdr:cNvSpPr>
      </xdr:nvSpPr>
      <xdr:spPr bwMode="auto">
        <a:xfrm>
          <a:off x="19444607" y="10586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53</xdr:row>
      <xdr:rowOff>0</xdr:rowOff>
    </xdr:from>
    <xdr:to>
      <xdr:col>34</xdr:col>
      <xdr:colOff>523874</xdr:colOff>
      <xdr:row>53</xdr:row>
      <xdr:rowOff>173181</xdr:rowOff>
    </xdr:to>
    <xdr:sp macro="[0]!Edit_Employee_51" textlink="">
      <xdr:nvSpPr>
        <xdr:cNvPr id="114" name="Edit_51">
          <a:extLst>
            <a:ext uri="{FF2B5EF4-FFF2-40B4-BE49-F238E27FC236}">
              <a16:creationId xmlns:a16="http://schemas.microsoft.com/office/drawing/2014/main" id="{23F7EF1E-C2ED-44C3-8B78-53BE296DC6EC}"/>
            </a:ext>
          </a:extLst>
        </xdr:cNvPr>
        <xdr:cNvSpPr>
          <a:spLocks/>
        </xdr:cNvSpPr>
      </xdr:nvSpPr>
      <xdr:spPr bwMode="auto">
        <a:xfrm>
          <a:off x="19444607" y="10395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52</xdr:row>
      <xdr:rowOff>0</xdr:rowOff>
    </xdr:from>
    <xdr:to>
      <xdr:col>34</xdr:col>
      <xdr:colOff>523874</xdr:colOff>
      <xdr:row>52</xdr:row>
      <xdr:rowOff>173181</xdr:rowOff>
    </xdr:to>
    <xdr:sp macro="[0]!Edit_Employee_50" textlink="">
      <xdr:nvSpPr>
        <xdr:cNvPr id="115" name="Edit_50">
          <a:extLst>
            <a:ext uri="{FF2B5EF4-FFF2-40B4-BE49-F238E27FC236}">
              <a16:creationId xmlns:a16="http://schemas.microsoft.com/office/drawing/2014/main" id="{CED49D44-9480-4A47-A7BC-5755A40052D9}"/>
            </a:ext>
          </a:extLst>
        </xdr:cNvPr>
        <xdr:cNvSpPr>
          <a:spLocks/>
        </xdr:cNvSpPr>
      </xdr:nvSpPr>
      <xdr:spPr bwMode="auto">
        <a:xfrm>
          <a:off x="19444607" y="102053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34</xdr:col>
      <xdr:colOff>0</xdr:colOff>
      <xdr:row>51</xdr:row>
      <xdr:rowOff>0</xdr:rowOff>
    </xdr:from>
    <xdr:to>
      <xdr:col>34</xdr:col>
      <xdr:colOff>523874</xdr:colOff>
      <xdr:row>51</xdr:row>
      <xdr:rowOff>173181</xdr:rowOff>
    </xdr:to>
    <xdr:sp macro="[0]!Edit_Employee_49" textlink="">
      <xdr:nvSpPr>
        <xdr:cNvPr id="116" name="Edit_49">
          <a:extLst>
            <a:ext uri="{FF2B5EF4-FFF2-40B4-BE49-F238E27FC236}">
              <a16:creationId xmlns:a16="http://schemas.microsoft.com/office/drawing/2014/main" id="{62AFB4A0-08D1-4ACF-A9D8-3366F1754001}"/>
            </a:ext>
          </a:extLst>
        </xdr:cNvPr>
        <xdr:cNvSpPr>
          <a:spLocks/>
        </xdr:cNvSpPr>
      </xdr:nvSpPr>
      <xdr:spPr bwMode="auto">
        <a:xfrm>
          <a:off x="19444607" y="10014857"/>
          <a:ext cx="523874" cy="173181"/>
        </a:xfrm>
        <a:prstGeom prst="roundRect">
          <a:avLst/>
        </a:prstGeom>
        <a:gradFill>
          <a:gsLst>
            <a:gs pos="0">
              <a:schemeClr val="accent1"/>
            </a:gs>
            <a:gs pos="88000">
              <a:srgbClr val="16A1AE">
                <a:lumMod val="75000"/>
              </a:srgbClr>
            </a:gs>
          </a:gsLst>
          <a:lin ang="10800000" scaled="1"/>
        </a:gradFill>
        <a:ln w="0">
          <a:noFill/>
          <a:prstDash val="solid"/>
          <a:round/>
          <a:headEnd/>
          <a:tailEnd/>
        </a:ln>
        <a:effectLst>
          <a:outerShdw blurRad="139700" dist="38100" dir="2700000" sx="102000" sy="102000" algn="tl" rotWithShape="0">
            <a:prstClr val="black">
              <a:alpha val="30000"/>
            </a:prstClr>
          </a:outerShdw>
        </a:effectLst>
      </xdr:spPr>
      <xdr:txBody>
        <a:bodyPr vert="horz" wrap="square" lIns="0" tIns="0" rIns="0" bIns="0" numCol="1" anchor="ctr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ctr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edit</a:t>
          </a:r>
        </a:p>
      </xdr:txBody>
    </xdr:sp>
    <xdr:clientData/>
  </xdr:twoCellAnchor>
  <xdr:twoCellAnchor>
    <xdr:from>
      <xdr:col>36</xdr:col>
      <xdr:colOff>0</xdr:colOff>
      <xdr:row>3</xdr:row>
      <xdr:rowOff>0</xdr:rowOff>
    </xdr:from>
    <xdr:to>
      <xdr:col>36</xdr:col>
      <xdr:colOff>523874</xdr:colOff>
      <xdr:row>3</xdr:row>
      <xdr:rowOff>173181</xdr:rowOff>
    </xdr:to>
    <xdr:sp macro="" textlink="">
      <xdr:nvSpPr>
        <xdr:cNvPr id="120" name="Delete_1">
          <a:extLst>
            <a:ext uri="{FF2B5EF4-FFF2-40B4-BE49-F238E27FC236}">
              <a16:creationId xmlns:a16="http://schemas.microsoft.com/office/drawing/2014/main" id="{3298968C-7605-4145-A9F8-3FB88DEF3A07}"/>
            </a:ext>
          </a:extLst>
        </xdr:cNvPr>
        <xdr:cNvSpPr>
          <a:spLocks/>
        </xdr:cNvSpPr>
      </xdr:nvSpPr>
      <xdr:spPr bwMode="auto">
        <a:xfrm>
          <a:off x="20022911" y="870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63</xdr:row>
      <xdr:rowOff>0</xdr:rowOff>
    </xdr:from>
    <xdr:to>
      <xdr:col>36</xdr:col>
      <xdr:colOff>523874</xdr:colOff>
      <xdr:row>63</xdr:row>
      <xdr:rowOff>173181</xdr:rowOff>
    </xdr:to>
    <xdr:sp macro="" textlink="">
      <xdr:nvSpPr>
        <xdr:cNvPr id="121" name="Delete_61">
          <a:extLst>
            <a:ext uri="{FF2B5EF4-FFF2-40B4-BE49-F238E27FC236}">
              <a16:creationId xmlns:a16="http://schemas.microsoft.com/office/drawing/2014/main" id="{495EB056-0BEB-431C-9581-8CE81E377649}"/>
            </a:ext>
          </a:extLst>
        </xdr:cNvPr>
        <xdr:cNvSpPr>
          <a:spLocks/>
        </xdr:cNvSpPr>
      </xdr:nvSpPr>
      <xdr:spPr bwMode="auto">
        <a:xfrm>
          <a:off x="20022911" y="12300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62</xdr:row>
      <xdr:rowOff>0</xdr:rowOff>
    </xdr:from>
    <xdr:to>
      <xdr:col>36</xdr:col>
      <xdr:colOff>523874</xdr:colOff>
      <xdr:row>62</xdr:row>
      <xdr:rowOff>173181</xdr:rowOff>
    </xdr:to>
    <xdr:sp macro="" textlink="">
      <xdr:nvSpPr>
        <xdr:cNvPr id="122" name="Delete_60">
          <a:extLst>
            <a:ext uri="{FF2B5EF4-FFF2-40B4-BE49-F238E27FC236}">
              <a16:creationId xmlns:a16="http://schemas.microsoft.com/office/drawing/2014/main" id="{002F4886-415C-4393-B143-79F0AECEABFB}"/>
            </a:ext>
          </a:extLst>
        </xdr:cNvPr>
        <xdr:cNvSpPr>
          <a:spLocks/>
        </xdr:cNvSpPr>
      </xdr:nvSpPr>
      <xdr:spPr bwMode="auto">
        <a:xfrm>
          <a:off x="20022911" y="12110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61</xdr:row>
      <xdr:rowOff>0</xdr:rowOff>
    </xdr:from>
    <xdr:to>
      <xdr:col>36</xdr:col>
      <xdr:colOff>523874</xdr:colOff>
      <xdr:row>61</xdr:row>
      <xdr:rowOff>173181</xdr:rowOff>
    </xdr:to>
    <xdr:sp macro="" textlink="">
      <xdr:nvSpPr>
        <xdr:cNvPr id="123" name="Delete_59">
          <a:extLst>
            <a:ext uri="{FF2B5EF4-FFF2-40B4-BE49-F238E27FC236}">
              <a16:creationId xmlns:a16="http://schemas.microsoft.com/office/drawing/2014/main" id="{E30B0A0D-3E51-4A65-8648-8CF7D4B98EC6}"/>
            </a:ext>
          </a:extLst>
        </xdr:cNvPr>
        <xdr:cNvSpPr>
          <a:spLocks/>
        </xdr:cNvSpPr>
      </xdr:nvSpPr>
      <xdr:spPr bwMode="auto">
        <a:xfrm>
          <a:off x="20022911" y="11919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60</xdr:row>
      <xdr:rowOff>0</xdr:rowOff>
    </xdr:from>
    <xdr:to>
      <xdr:col>36</xdr:col>
      <xdr:colOff>523874</xdr:colOff>
      <xdr:row>60</xdr:row>
      <xdr:rowOff>173181</xdr:rowOff>
    </xdr:to>
    <xdr:sp macro="" textlink="">
      <xdr:nvSpPr>
        <xdr:cNvPr id="124" name="Delete_58">
          <a:extLst>
            <a:ext uri="{FF2B5EF4-FFF2-40B4-BE49-F238E27FC236}">
              <a16:creationId xmlns:a16="http://schemas.microsoft.com/office/drawing/2014/main" id="{8B97793A-563C-4017-B64A-E344FB57C095}"/>
            </a:ext>
          </a:extLst>
        </xdr:cNvPr>
        <xdr:cNvSpPr>
          <a:spLocks/>
        </xdr:cNvSpPr>
      </xdr:nvSpPr>
      <xdr:spPr bwMode="auto">
        <a:xfrm>
          <a:off x="20022911" y="11729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59</xdr:row>
      <xdr:rowOff>0</xdr:rowOff>
    </xdr:from>
    <xdr:to>
      <xdr:col>36</xdr:col>
      <xdr:colOff>523874</xdr:colOff>
      <xdr:row>59</xdr:row>
      <xdr:rowOff>173181</xdr:rowOff>
    </xdr:to>
    <xdr:sp macro="" textlink="">
      <xdr:nvSpPr>
        <xdr:cNvPr id="125" name="Delete_57">
          <a:extLst>
            <a:ext uri="{FF2B5EF4-FFF2-40B4-BE49-F238E27FC236}">
              <a16:creationId xmlns:a16="http://schemas.microsoft.com/office/drawing/2014/main" id="{BDB3CE12-D8C4-4190-B667-D0AD37A0FDA6}"/>
            </a:ext>
          </a:extLst>
        </xdr:cNvPr>
        <xdr:cNvSpPr>
          <a:spLocks/>
        </xdr:cNvSpPr>
      </xdr:nvSpPr>
      <xdr:spPr bwMode="auto">
        <a:xfrm>
          <a:off x="20022911" y="11538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58</xdr:row>
      <xdr:rowOff>0</xdr:rowOff>
    </xdr:from>
    <xdr:to>
      <xdr:col>36</xdr:col>
      <xdr:colOff>523874</xdr:colOff>
      <xdr:row>58</xdr:row>
      <xdr:rowOff>173181</xdr:rowOff>
    </xdr:to>
    <xdr:sp macro="" textlink="">
      <xdr:nvSpPr>
        <xdr:cNvPr id="126" name="Delete_56">
          <a:extLst>
            <a:ext uri="{FF2B5EF4-FFF2-40B4-BE49-F238E27FC236}">
              <a16:creationId xmlns:a16="http://schemas.microsoft.com/office/drawing/2014/main" id="{656FB5E3-01AA-43B1-A092-9598B097D90F}"/>
            </a:ext>
          </a:extLst>
        </xdr:cNvPr>
        <xdr:cNvSpPr>
          <a:spLocks/>
        </xdr:cNvSpPr>
      </xdr:nvSpPr>
      <xdr:spPr bwMode="auto">
        <a:xfrm>
          <a:off x="20022911" y="11348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57</xdr:row>
      <xdr:rowOff>0</xdr:rowOff>
    </xdr:from>
    <xdr:to>
      <xdr:col>36</xdr:col>
      <xdr:colOff>523874</xdr:colOff>
      <xdr:row>57</xdr:row>
      <xdr:rowOff>173181</xdr:rowOff>
    </xdr:to>
    <xdr:sp macro="" textlink="">
      <xdr:nvSpPr>
        <xdr:cNvPr id="127" name="Delete_55">
          <a:extLst>
            <a:ext uri="{FF2B5EF4-FFF2-40B4-BE49-F238E27FC236}">
              <a16:creationId xmlns:a16="http://schemas.microsoft.com/office/drawing/2014/main" id="{910BB282-4BCA-4BE7-B72A-E8A251FD9071}"/>
            </a:ext>
          </a:extLst>
        </xdr:cNvPr>
        <xdr:cNvSpPr>
          <a:spLocks/>
        </xdr:cNvSpPr>
      </xdr:nvSpPr>
      <xdr:spPr bwMode="auto">
        <a:xfrm>
          <a:off x="20022911" y="11157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56</xdr:row>
      <xdr:rowOff>0</xdr:rowOff>
    </xdr:from>
    <xdr:to>
      <xdr:col>36</xdr:col>
      <xdr:colOff>523874</xdr:colOff>
      <xdr:row>56</xdr:row>
      <xdr:rowOff>173181</xdr:rowOff>
    </xdr:to>
    <xdr:sp macro="" textlink="">
      <xdr:nvSpPr>
        <xdr:cNvPr id="128" name="Delete_54">
          <a:extLst>
            <a:ext uri="{FF2B5EF4-FFF2-40B4-BE49-F238E27FC236}">
              <a16:creationId xmlns:a16="http://schemas.microsoft.com/office/drawing/2014/main" id="{CCF159DE-A626-4EDD-BE81-42643BF25DEE}"/>
            </a:ext>
          </a:extLst>
        </xdr:cNvPr>
        <xdr:cNvSpPr>
          <a:spLocks/>
        </xdr:cNvSpPr>
      </xdr:nvSpPr>
      <xdr:spPr bwMode="auto">
        <a:xfrm>
          <a:off x="20022911" y="10967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55</xdr:row>
      <xdr:rowOff>0</xdr:rowOff>
    </xdr:from>
    <xdr:to>
      <xdr:col>36</xdr:col>
      <xdr:colOff>523874</xdr:colOff>
      <xdr:row>55</xdr:row>
      <xdr:rowOff>173181</xdr:rowOff>
    </xdr:to>
    <xdr:sp macro="" textlink="">
      <xdr:nvSpPr>
        <xdr:cNvPr id="129" name="Delete_53">
          <a:extLst>
            <a:ext uri="{FF2B5EF4-FFF2-40B4-BE49-F238E27FC236}">
              <a16:creationId xmlns:a16="http://schemas.microsoft.com/office/drawing/2014/main" id="{4BFA2B08-2E61-4A01-9EDE-FA8231511D39}"/>
            </a:ext>
          </a:extLst>
        </xdr:cNvPr>
        <xdr:cNvSpPr>
          <a:spLocks/>
        </xdr:cNvSpPr>
      </xdr:nvSpPr>
      <xdr:spPr bwMode="auto">
        <a:xfrm>
          <a:off x="20022911" y="10776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54</xdr:row>
      <xdr:rowOff>0</xdr:rowOff>
    </xdr:from>
    <xdr:to>
      <xdr:col>36</xdr:col>
      <xdr:colOff>523874</xdr:colOff>
      <xdr:row>54</xdr:row>
      <xdr:rowOff>173181</xdr:rowOff>
    </xdr:to>
    <xdr:sp macro="" textlink="">
      <xdr:nvSpPr>
        <xdr:cNvPr id="130" name="Delete_52">
          <a:extLst>
            <a:ext uri="{FF2B5EF4-FFF2-40B4-BE49-F238E27FC236}">
              <a16:creationId xmlns:a16="http://schemas.microsoft.com/office/drawing/2014/main" id="{2E7481A7-E749-4BE7-8921-A7467CDBEC5A}"/>
            </a:ext>
          </a:extLst>
        </xdr:cNvPr>
        <xdr:cNvSpPr>
          <a:spLocks/>
        </xdr:cNvSpPr>
      </xdr:nvSpPr>
      <xdr:spPr bwMode="auto">
        <a:xfrm>
          <a:off x="20022911" y="10586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53</xdr:row>
      <xdr:rowOff>0</xdr:rowOff>
    </xdr:from>
    <xdr:to>
      <xdr:col>36</xdr:col>
      <xdr:colOff>523874</xdr:colOff>
      <xdr:row>53</xdr:row>
      <xdr:rowOff>173181</xdr:rowOff>
    </xdr:to>
    <xdr:sp macro="" textlink="">
      <xdr:nvSpPr>
        <xdr:cNvPr id="131" name="Delete_51">
          <a:extLst>
            <a:ext uri="{FF2B5EF4-FFF2-40B4-BE49-F238E27FC236}">
              <a16:creationId xmlns:a16="http://schemas.microsoft.com/office/drawing/2014/main" id="{6B73C841-4B99-4AA7-8813-BEEC99E3A60B}"/>
            </a:ext>
          </a:extLst>
        </xdr:cNvPr>
        <xdr:cNvSpPr>
          <a:spLocks/>
        </xdr:cNvSpPr>
      </xdr:nvSpPr>
      <xdr:spPr bwMode="auto">
        <a:xfrm>
          <a:off x="20022911" y="10395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52</xdr:row>
      <xdr:rowOff>0</xdr:rowOff>
    </xdr:from>
    <xdr:to>
      <xdr:col>36</xdr:col>
      <xdr:colOff>523874</xdr:colOff>
      <xdr:row>52</xdr:row>
      <xdr:rowOff>173181</xdr:rowOff>
    </xdr:to>
    <xdr:sp macro="" textlink="">
      <xdr:nvSpPr>
        <xdr:cNvPr id="132" name="Delete_50">
          <a:extLst>
            <a:ext uri="{FF2B5EF4-FFF2-40B4-BE49-F238E27FC236}">
              <a16:creationId xmlns:a16="http://schemas.microsoft.com/office/drawing/2014/main" id="{B46B032F-231B-45A3-81F2-B75C68B1420F}"/>
            </a:ext>
          </a:extLst>
        </xdr:cNvPr>
        <xdr:cNvSpPr>
          <a:spLocks/>
        </xdr:cNvSpPr>
      </xdr:nvSpPr>
      <xdr:spPr bwMode="auto">
        <a:xfrm>
          <a:off x="20022911" y="10205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51</xdr:row>
      <xdr:rowOff>0</xdr:rowOff>
    </xdr:from>
    <xdr:to>
      <xdr:col>36</xdr:col>
      <xdr:colOff>523874</xdr:colOff>
      <xdr:row>51</xdr:row>
      <xdr:rowOff>173181</xdr:rowOff>
    </xdr:to>
    <xdr:sp macro="" textlink="">
      <xdr:nvSpPr>
        <xdr:cNvPr id="133" name="Delete_49">
          <a:extLst>
            <a:ext uri="{FF2B5EF4-FFF2-40B4-BE49-F238E27FC236}">
              <a16:creationId xmlns:a16="http://schemas.microsoft.com/office/drawing/2014/main" id="{E7507A84-0F70-4550-951E-45894B6A012A}"/>
            </a:ext>
          </a:extLst>
        </xdr:cNvPr>
        <xdr:cNvSpPr>
          <a:spLocks/>
        </xdr:cNvSpPr>
      </xdr:nvSpPr>
      <xdr:spPr bwMode="auto">
        <a:xfrm>
          <a:off x="20022911" y="10014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50</xdr:row>
      <xdr:rowOff>0</xdr:rowOff>
    </xdr:from>
    <xdr:to>
      <xdr:col>36</xdr:col>
      <xdr:colOff>523874</xdr:colOff>
      <xdr:row>50</xdr:row>
      <xdr:rowOff>173181</xdr:rowOff>
    </xdr:to>
    <xdr:sp macro="" textlink="">
      <xdr:nvSpPr>
        <xdr:cNvPr id="134" name="Delete_48">
          <a:extLst>
            <a:ext uri="{FF2B5EF4-FFF2-40B4-BE49-F238E27FC236}">
              <a16:creationId xmlns:a16="http://schemas.microsoft.com/office/drawing/2014/main" id="{5F355AA4-33B5-4ED6-AA0A-AAF57E32425B}"/>
            </a:ext>
          </a:extLst>
        </xdr:cNvPr>
        <xdr:cNvSpPr>
          <a:spLocks/>
        </xdr:cNvSpPr>
      </xdr:nvSpPr>
      <xdr:spPr bwMode="auto">
        <a:xfrm>
          <a:off x="20022911" y="9824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49</xdr:row>
      <xdr:rowOff>0</xdr:rowOff>
    </xdr:from>
    <xdr:to>
      <xdr:col>36</xdr:col>
      <xdr:colOff>523874</xdr:colOff>
      <xdr:row>49</xdr:row>
      <xdr:rowOff>173181</xdr:rowOff>
    </xdr:to>
    <xdr:sp macro="" textlink="">
      <xdr:nvSpPr>
        <xdr:cNvPr id="135" name="Delete_47">
          <a:extLst>
            <a:ext uri="{FF2B5EF4-FFF2-40B4-BE49-F238E27FC236}">
              <a16:creationId xmlns:a16="http://schemas.microsoft.com/office/drawing/2014/main" id="{2ACFD5C0-7A7A-4059-9B87-27FBDC73AF30}"/>
            </a:ext>
          </a:extLst>
        </xdr:cNvPr>
        <xdr:cNvSpPr>
          <a:spLocks/>
        </xdr:cNvSpPr>
      </xdr:nvSpPr>
      <xdr:spPr bwMode="auto">
        <a:xfrm>
          <a:off x="20022911" y="9633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48</xdr:row>
      <xdr:rowOff>0</xdr:rowOff>
    </xdr:from>
    <xdr:to>
      <xdr:col>36</xdr:col>
      <xdr:colOff>523874</xdr:colOff>
      <xdr:row>48</xdr:row>
      <xdr:rowOff>173181</xdr:rowOff>
    </xdr:to>
    <xdr:sp macro="" textlink="">
      <xdr:nvSpPr>
        <xdr:cNvPr id="136" name="Delete_46">
          <a:extLst>
            <a:ext uri="{FF2B5EF4-FFF2-40B4-BE49-F238E27FC236}">
              <a16:creationId xmlns:a16="http://schemas.microsoft.com/office/drawing/2014/main" id="{6C7B74EF-A36B-4991-80B1-AA5B13B8FB89}"/>
            </a:ext>
          </a:extLst>
        </xdr:cNvPr>
        <xdr:cNvSpPr>
          <a:spLocks/>
        </xdr:cNvSpPr>
      </xdr:nvSpPr>
      <xdr:spPr bwMode="auto">
        <a:xfrm>
          <a:off x="20022911" y="9443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47</xdr:row>
      <xdr:rowOff>0</xdr:rowOff>
    </xdr:from>
    <xdr:to>
      <xdr:col>36</xdr:col>
      <xdr:colOff>523874</xdr:colOff>
      <xdr:row>47</xdr:row>
      <xdr:rowOff>173181</xdr:rowOff>
    </xdr:to>
    <xdr:sp macro="" textlink="">
      <xdr:nvSpPr>
        <xdr:cNvPr id="137" name="Delete_45">
          <a:extLst>
            <a:ext uri="{FF2B5EF4-FFF2-40B4-BE49-F238E27FC236}">
              <a16:creationId xmlns:a16="http://schemas.microsoft.com/office/drawing/2014/main" id="{82F1318B-E25C-42F4-B794-643633377C9F}"/>
            </a:ext>
          </a:extLst>
        </xdr:cNvPr>
        <xdr:cNvSpPr>
          <a:spLocks/>
        </xdr:cNvSpPr>
      </xdr:nvSpPr>
      <xdr:spPr bwMode="auto">
        <a:xfrm>
          <a:off x="20022911" y="9252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46</xdr:row>
      <xdr:rowOff>0</xdr:rowOff>
    </xdr:from>
    <xdr:to>
      <xdr:col>36</xdr:col>
      <xdr:colOff>523874</xdr:colOff>
      <xdr:row>46</xdr:row>
      <xdr:rowOff>173181</xdr:rowOff>
    </xdr:to>
    <xdr:sp macro="" textlink="">
      <xdr:nvSpPr>
        <xdr:cNvPr id="138" name="Delete_44">
          <a:extLst>
            <a:ext uri="{FF2B5EF4-FFF2-40B4-BE49-F238E27FC236}">
              <a16:creationId xmlns:a16="http://schemas.microsoft.com/office/drawing/2014/main" id="{8D82344D-D0AF-48A5-9F80-7CD9E2AE1FC0}"/>
            </a:ext>
          </a:extLst>
        </xdr:cNvPr>
        <xdr:cNvSpPr>
          <a:spLocks/>
        </xdr:cNvSpPr>
      </xdr:nvSpPr>
      <xdr:spPr bwMode="auto">
        <a:xfrm>
          <a:off x="20022911" y="9062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45</xdr:row>
      <xdr:rowOff>0</xdr:rowOff>
    </xdr:from>
    <xdr:to>
      <xdr:col>36</xdr:col>
      <xdr:colOff>523874</xdr:colOff>
      <xdr:row>45</xdr:row>
      <xdr:rowOff>173181</xdr:rowOff>
    </xdr:to>
    <xdr:sp macro="" textlink="">
      <xdr:nvSpPr>
        <xdr:cNvPr id="139" name="Delete_43">
          <a:extLst>
            <a:ext uri="{FF2B5EF4-FFF2-40B4-BE49-F238E27FC236}">
              <a16:creationId xmlns:a16="http://schemas.microsoft.com/office/drawing/2014/main" id="{DA7F70C5-D697-483A-B060-5FA5421C49F1}"/>
            </a:ext>
          </a:extLst>
        </xdr:cNvPr>
        <xdr:cNvSpPr>
          <a:spLocks/>
        </xdr:cNvSpPr>
      </xdr:nvSpPr>
      <xdr:spPr bwMode="auto">
        <a:xfrm>
          <a:off x="20022911" y="8871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44</xdr:row>
      <xdr:rowOff>0</xdr:rowOff>
    </xdr:from>
    <xdr:to>
      <xdr:col>36</xdr:col>
      <xdr:colOff>523874</xdr:colOff>
      <xdr:row>44</xdr:row>
      <xdr:rowOff>173181</xdr:rowOff>
    </xdr:to>
    <xdr:sp macro="" textlink="">
      <xdr:nvSpPr>
        <xdr:cNvPr id="140" name="Delete_42">
          <a:extLst>
            <a:ext uri="{FF2B5EF4-FFF2-40B4-BE49-F238E27FC236}">
              <a16:creationId xmlns:a16="http://schemas.microsoft.com/office/drawing/2014/main" id="{D595F91C-56E3-41F6-AF71-EA595CEC369E}"/>
            </a:ext>
          </a:extLst>
        </xdr:cNvPr>
        <xdr:cNvSpPr>
          <a:spLocks/>
        </xdr:cNvSpPr>
      </xdr:nvSpPr>
      <xdr:spPr bwMode="auto">
        <a:xfrm>
          <a:off x="20022911" y="8681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43</xdr:row>
      <xdr:rowOff>0</xdr:rowOff>
    </xdr:from>
    <xdr:to>
      <xdr:col>36</xdr:col>
      <xdr:colOff>523874</xdr:colOff>
      <xdr:row>43</xdr:row>
      <xdr:rowOff>173181</xdr:rowOff>
    </xdr:to>
    <xdr:sp macro="" textlink="">
      <xdr:nvSpPr>
        <xdr:cNvPr id="141" name="Delete_41">
          <a:extLst>
            <a:ext uri="{FF2B5EF4-FFF2-40B4-BE49-F238E27FC236}">
              <a16:creationId xmlns:a16="http://schemas.microsoft.com/office/drawing/2014/main" id="{9FAC33C6-6B96-4368-A28C-5D775C940AD4}"/>
            </a:ext>
          </a:extLst>
        </xdr:cNvPr>
        <xdr:cNvSpPr>
          <a:spLocks/>
        </xdr:cNvSpPr>
      </xdr:nvSpPr>
      <xdr:spPr bwMode="auto">
        <a:xfrm>
          <a:off x="20022911" y="8490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42</xdr:row>
      <xdr:rowOff>0</xdr:rowOff>
    </xdr:from>
    <xdr:to>
      <xdr:col>36</xdr:col>
      <xdr:colOff>523874</xdr:colOff>
      <xdr:row>42</xdr:row>
      <xdr:rowOff>173181</xdr:rowOff>
    </xdr:to>
    <xdr:sp macro="" textlink="">
      <xdr:nvSpPr>
        <xdr:cNvPr id="142" name="Delete_40">
          <a:extLst>
            <a:ext uri="{FF2B5EF4-FFF2-40B4-BE49-F238E27FC236}">
              <a16:creationId xmlns:a16="http://schemas.microsoft.com/office/drawing/2014/main" id="{198B03AB-1D05-4E90-A883-6317E8B1F82C}"/>
            </a:ext>
          </a:extLst>
        </xdr:cNvPr>
        <xdr:cNvSpPr>
          <a:spLocks/>
        </xdr:cNvSpPr>
      </xdr:nvSpPr>
      <xdr:spPr bwMode="auto">
        <a:xfrm>
          <a:off x="20022911" y="8300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41</xdr:row>
      <xdr:rowOff>0</xdr:rowOff>
    </xdr:from>
    <xdr:to>
      <xdr:col>36</xdr:col>
      <xdr:colOff>523874</xdr:colOff>
      <xdr:row>41</xdr:row>
      <xdr:rowOff>173181</xdr:rowOff>
    </xdr:to>
    <xdr:sp macro="" textlink="">
      <xdr:nvSpPr>
        <xdr:cNvPr id="143" name="Delete_39">
          <a:extLst>
            <a:ext uri="{FF2B5EF4-FFF2-40B4-BE49-F238E27FC236}">
              <a16:creationId xmlns:a16="http://schemas.microsoft.com/office/drawing/2014/main" id="{BD1CC172-D45D-4428-8BBF-85F74286B262}"/>
            </a:ext>
          </a:extLst>
        </xdr:cNvPr>
        <xdr:cNvSpPr>
          <a:spLocks/>
        </xdr:cNvSpPr>
      </xdr:nvSpPr>
      <xdr:spPr bwMode="auto">
        <a:xfrm>
          <a:off x="20022911" y="8109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40</xdr:row>
      <xdr:rowOff>0</xdr:rowOff>
    </xdr:from>
    <xdr:to>
      <xdr:col>36</xdr:col>
      <xdr:colOff>523874</xdr:colOff>
      <xdr:row>40</xdr:row>
      <xdr:rowOff>173181</xdr:rowOff>
    </xdr:to>
    <xdr:sp macro="" textlink="">
      <xdr:nvSpPr>
        <xdr:cNvPr id="144" name="Delete_38">
          <a:extLst>
            <a:ext uri="{FF2B5EF4-FFF2-40B4-BE49-F238E27FC236}">
              <a16:creationId xmlns:a16="http://schemas.microsoft.com/office/drawing/2014/main" id="{9DC4CF40-B17D-4199-87BA-C6909B04A2EA}"/>
            </a:ext>
          </a:extLst>
        </xdr:cNvPr>
        <xdr:cNvSpPr>
          <a:spLocks/>
        </xdr:cNvSpPr>
      </xdr:nvSpPr>
      <xdr:spPr bwMode="auto">
        <a:xfrm>
          <a:off x="20022911" y="7919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39</xdr:row>
      <xdr:rowOff>0</xdr:rowOff>
    </xdr:from>
    <xdr:to>
      <xdr:col>36</xdr:col>
      <xdr:colOff>523874</xdr:colOff>
      <xdr:row>39</xdr:row>
      <xdr:rowOff>173181</xdr:rowOff>
    </xdr:to>
    <xdr:sp macro="" textlink="">
      <xdr:nvSpPr>
        <xdr:cNvPr id="145" name="Delete_37">
          <a:extLst>
            <a:ext uri="{FF2B5EF4-FFF2-40B4-BE49-F238E27FC236}">
              <a16:creationId xmlns:a16="http://schemas.microsoft.com/office/drawing/2014/main" id="{0B3CCC4A-941B-4CC9-90B8-4765F76BAE27}"/>
            </a:ext>
          </a:extLst>
        </xdr:cNvPr>
        <xdr:cNvSpPr>
          <a:spLocks/>
        </xdr:cNvSpPr>
      </xdr:nvSpPr>
      <xdr:spPr bwMode="auto">
        <a:xfrm>
          <a:off x="20022911" y="7728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38</xdr:row>
      <xdr:rowOff>0</xdr:rowOff>
    </xdr:from>
    <xdr:to>
      <xdr:col>36</xdr:col>
      <xdr:colOff>523874</xdr:colOff>
      <xdr:row>38</xdr:row>
      <xdr:rowOff>173181</xdr:rowOff>
    </xdr:to>
    <xdr:sp macro="" textlink="">
      <xdr:nvSpPr>
        <xdr:cNvPr id="146" name="Delete_36">
          <a:extLst>
            <a:ext uri="{FF2B5EF4-FFF2-40B4-BE49-F238E27FC236}">
              <a16:creationId xmlns:a16="http://schemas.microsoft.com/office/drawing/2014/main" id="{B2CA2C65-E116-423C-B70F-CA061107A133}"/>
            </a:ext>
          </a:extLst>
        </xdr:cNvPr>
        <xdr:cNvSpPr>
          <a:spLocks/>
        </xdr:cNvSpPr>
      </xdr:nvSpPr>
      <xdr:spPr bwMode="auto">
        <a:xfrm>
          <a:off x="20022911" y="7538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37</xdr:row>
      <xdr:rowOff>0</xdr:rowOff>
    </xdr:from>
    <xdr:to>
      <xdr:col>36</xdr:col>
      <xdr:colOff>523874</xdr:colOff>
      <xdr:row>37</xdr:row>
      <xdr:rowOff>173181</xdr:rowOff>
    </xdr:to>
    <xdr:sp macro="" textlink="">
      <xdr:nvSpPr>
        <xdr:cNvPr id="147" name="Delete_35">
          <a:extLst>
            <a:ext uri="{FF2B5EF4-FFF2-40B4-BE49-F238E27FC236}">
              <a16:creationId xmlns:a16="http://schemas.microsoft.com/office/drawing/2014/main" id="{3B988F96-4C3B-4134-A84E-99D532A1BA2A}"/>
            </a:ext>
          </a:extLst>
        </xdr:cNvPr>
        <xdr:cNvSpPr>
          <a:spLocks/>
        </xdr:cNvSpPr>
      </xdr:nvSpPr>
      <xdr:spPr bwMode="auto">
        <a:xfrm>
          <a:off x="20022911" y="7347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36</xdr:row>
      <xdr:rowOff>0</xdr:rowOff>
    </xdr:from>
    <xdr:to>
      <xdr:col>36</xdr:col>
      <xdr:colOff>523874</xdr:colOff>
      <xdr:row>36</xdr:row>
      <xdr:rowOff>173181</xdr:rowOff>
    </xdr:to>
    <xdr:sp macro="" textlink="">
      <xdr:nvSpPr>
        <xdr:cNvPr id="148" name="Delete_34">
          <a:extLst>
            <a:ext uri="{FF2B5EF4-FFF2-40B4-BE49-F238E27FC236}">
              <a16:creationId xmlns:a16="http://schemas.microsoft.com/office/drawing/2014/main" id="{8989FC87-E855-4930-AC06-24AB19D953F0}"/>
            </a:ext>
          </a:extLst>
        </xdr:cNvPr>
        <xdr:cNvSpPr>
          <a:spLocks/>
        </xdr:cNvSpPr>
      </xdr:nvSpPr>
      <xdr:spPr bwMode="auto">
        <a:xfrm>
          <a:off x="20022911" y="7157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35</xdr:row>
      <xdr:rowOff>0</xdr:rowOff>
    </xdr:from>
    <xdr:to>
      <xdr:col>36</xdr:col>
      <xdr:colOff>523874</xdr:colOff>
      <xdr:row>35</xdr:row>
      <xdr:rowOff>173181</xdr:rowOff>
    </xdr:to>
    <xdr:sp macro="" textlink="">
      <xdr:nvSpPr>
        <xdr:cNvPr id="149" name="Delete_33">
          <a:extLst>
            <a:ext uri="{FF2B5EF4-FFF2-40B4-BE49-F238E27FC236}">
              <a16:creationId xmlns:a16="http://schemas.microsoft.com/office/drawing/2014/main" id="{81B9FB20-B0F6-461B-822C-F68B60C15AE2}"/>
            </a:ext>
          </a:extLst>
        </xdr:cNvPr>
        <xdr:cNvSpPr>
          <a:spLocks/>
        </xdr:cNvSpPr>
      </xdr:nvSpPr>
      <xdr:spPr bwMode="auto">
        <a:xfrm>
          <a:off x="20022911" y="6966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34</xdr:row>
      <xdr:rowOff>0</xdr:rowOff>
    </xdr:from>
    <xdr:to>
      <xdr:col>36</xdr:col>
      <xdr:colOff>523874</xdr:colOff>
      <xdr:row>34</xdr:row>
      <xdr:rowOff>173181</xdr:rowOff>
    </xdr:to>
    <xdr:sp macro="" textlink="">
      <xdr:nvSpPr>
        <xdr:cNvPr id="150" name="Delete_32">
          <a:extLst>
            <a:ext uri="{FF2B5EF4-FFF2-40B4-BE49-F238E27FC236}">
              <a16:creationId xmlns:a16="http://schemas.microsoft.com/office/drawing/2014/main" id="{97515653-5369-4CC4-96D1-D372FD84D760}"/>
            </a:ext>
          </a:extLst>
        </xdr:cNvPr>
        <xdr:cNvSpPr>
          <a:spLocks/>
        </xdr:cNvSpPr>
      </xdr:nvSpPr>
      <xdr:spPr bwMode="auto">
        <a:xfrm>
          <a:off x="20022911" y="6776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33</xdr:row>
      <xdr:rowOff>0</xdr:rowOff>
    </xdr:from>
    <xdr:to>
      <xdr:col>36</xdr:col>
      <xdr:colOff>523874</xdr:colOff>
      <xdr:row>33</xdr:row>
      <xdr:rowOff>173181</xdr:rowOff>
    </xdr:to>
    <xdr:sp macro="" textlink="">
      <xdr:nvSpPr>
        <xdr:cNvPr id="151" name="Delete_31">
          <a:extLst>
            <a:ext uri="{FF2B5EF4-FFF2-40B4-BE49-F238E27FC236}">
              <a16:creationId xmlns:a16="http://schemas.microsoft.com/office/drawing/2014/main" id="{27BF66C0-73BE-414C-A7BB-CD6848CB94FF}"/>
            </a:ext>
          </a:extLst>
        </xdr:cNvPr>
        <xdr:cNvSpPr>
          <a:spLocks/>
        </xdr:cNvSpPr>
      </xdr:nvSpPr>
      <xdr:spPr bwMode="auto">
        <a:xfrm>
          <a:off x="20022911" y="6585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32</xdr:row>
      <xdr:rowOff>0</xdr:rowOff>
    </xdr:from>
    <xdr:to>
      <xdr:col>36</xdr:col>
      <xdr:colOff>523874</xdr:colOff>
      <xdr:row>32</xdr:row>
      <xdr:rowOff>173181</xdr:rowOff>
    </xdr:to>
    <xdr:sp macro="" textlink="">
      <xdr:nvSpPr>
        <xdr:cNvPr id="152" name="Delete_30">
          <a:extLst>
            <a:ext uri="{FF2B5EF4-FFF2-40B4-BE49-F238E27FC236}">
              <a16:creationId xmlns:a16="http://schemas.microsoft.com/office/drawing/2014/main" id="{6CCA4DCB-8758-4E87-9082-F37F03298E19}"/>
            </a:ext>
          </a:extLst>
        </xdr:cNvPr>
        <xdr:cNvSpPr>
          <a:spLocks/>
        </xdr:cNvSpPr>
      </xdr:nvSpPr>
      <xdr:spPr bwMode="auto">
        <a:xfrm>
          <a:off x="20022911" y="6395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31</xdr:row>
      <xdr:rowOff>0</xdr:rowOff>
    </xdr:from>
    <xdr:to>
      <xdr:col>36</xdr:col>
      <xdr:colOff>523874</xdr:colOff>
      <xdr:row>31</xdr:row>
      <xdr:rowOff>173181</xdr:rowOff>
    </xdr:to>
    <xdr:sp macro="" textlink="">
      <xdr:nvSpPr>
        <xdr:cNvPr id="153" name="Delete_29">
          <a:extLst>
            <a:ext uri="{FF2B5EF4-FFF2-40B4-BE49-F238E27FC236}">
              <a16:creationId xmlns:a16="http://schemas.microsoft.com/office/drawing/2014/main" id="{52BB7556-3A31-43A7-B1A6-3969E70EEDE8}"/>
            </a:ext>
          </a:extLst>
        </xdr:cNvPr>
        <xdr:cNvSpPr>
          <a:spLocks/>
        </xdr:cNvSpPr>
      </xdr:nvSpPr>
      <xdr:spPr bwMode="auto">
        <a:xfrm>
          <a:off x="20022911" y="6204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30</xdr:row>
      <xdr:rowOff>0</xdr:rowOff>
    </xdr:from>
    <xdr:to>
      <xdr:col>36</xdr:col>
      <xdr:colOff>523874</xdr:colOff>
      <xdr:row>30</xdr:row>
      <xdr:rowOff>173181</xdr:rowOff>
    </xdr:to>
    <xdr:sp macro="" textlink="">
      <xdr:nvSpPr>
        <xdr:cNvPr id="154" name="Delete_28">
          <a:extLst>
            <a:ext uri="{FF2B5EF4-FFF2-40B4-BE49-F238E27FC236}">
              <a16:creationId xmlns:a16="http://schemas.microsoft.com/office/drawing/2014/main" id="{FADF89C7-9594-4894-A00D-35AAAFC97167}"/>
            </a:ext>
          </a:extLst>
        </xdr:cNvPr>
        <xdr:cNvSpPr>
          <a:spLocks/>
        </xdr:cNvSpPr>
      </xdr:nvSpPr>
      <xdr:spPr bwMode="auto">
        <a:xfrm>
          <a:off x="20022911" y="6014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29</xdr:row>
      <xdr:rowOff>0</xdr:rowOff>
    </xdr:from>
    <xdr:to>
      <xdr:col>36</xdr:col>
      <xdr:colOff>523874</xdr:colOff>
      <xdr:row>29</xdr:row>
      <xdr:rowOff>173181</xdr:rowOff>
    </xdr:to>
    <xdr:sp macro="" textlink="">
      <xdr:nvSpPr>
        <xdr:cNvPr id="155" name="Delete_27">
          <a:extLst>
            <a:ext uri="{FF2B5EF4-FFF2-40B4-BE49-F238E27FC236}">
              <a16:creationId xmlns:a16="http://schemas.microsoft.com/office/drawing/2014/main" id="{136BB9F0-4E2A-4FC4-B092-BD061E23FE85}"/>
            </a:ext>
          </a:extLst>
        </xdr:cNvPr>
        <xdr:cNvSpPr>
          <a:spLocks/>
        </xdr:cNvSpPr>
      </xdr:nvSpPr>
      <xdr:spPr bwMode="auto">
        <a:xfrm>
          <a:off x="20022911" y="5823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28</xdr:row>
      <xdr:rowOff>0</xdr:rowOff>
    </xdr:from>
    <xdr:to>
      <xdr:col>36</xdr:col>
      <xdr:colOff>523874</xdr:colOff>
      <xdr:row>28</xdr:row>
      <xdr:rowOff>173181</xdr:rowOff>
    </xdr:to>
    <xdr:sp macro="" textlink="">
      <xdr:nvSpPr>
        <xdr:cNvPr id="156" name="Delete_26">
          <a:extLst>
            <a:ext uri="{FF2B5EF4-FFF2-40B4-BE49-F238E27FC236}">
              <a16:creationId xmlns:a16="http://schemas.microsoft.com/office/drawing/2014/main" id="{BD3EF1BD-3CF6-43F1-B726-CA6F14D1C927}"/>
            </a:ext>
          </a:extLst>
        </xdr:cNvPr>
        <xdr:cNvSpPr>
          <a:spLocks/>
        </xdr:cNvSpPr>
      </xdr:nvSpPr>
      <xdr:spPr bwMode="auto">
        <a:xfrm>
          <a:off x="20022911" y="5633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27</xdr:row>
      <xdr:rowOff>0</xdr:rowOff>
    </xdr:from>
    <xdr:to>
      <xdr:col>36</xdr:col>
      <xdr:colOff>523874</xdr:colOff>
      <xdr:row>27</xdr:row>
      <xdr:rowOff>173181</xdr:rowOff>
    </xdr:to>
    <xdr:sp macro="" textlink="">
      <xdr:nvSpPr>
        <xdr:cNvPr id="157" name="Delete_25">
          <a:extLst>
            <a:ext uri="{FF2B5EF4-FFF2-40B4-BE49-F238E27FC236}">
              <a16:creationId xmlns:a16="http://schemas.microsoft.com/office/drawing/2014/main" id="{AD1B8021-C392-4435-8781-32F05499B003}"/>
            </a:ext>
          </a:extLst>
        </xdr:cNvPr>
        <xdr:cNvSpPr>
          <a:spLocks/>
        </xdr:cNvSpPr>
      </xdr:nvSpPr>
      <xdr:spPr bwMode="auto">
        <a:xfrm>
          <a:off x="20022911" y="5442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26</xdr:row>
      <xdr:rowOff>0</xdr:rowOff>
    </xdr:from>
    <xdr:to>
      <xdr:col>36</xdr:col>
      <xdr:colOff>523874</xdr:colOff>
      <xdr:row>26</xdr:row>
      <xdr:rowOff>173181</xdr:rowOff>
    </xdr:to>
    <xdr:sp macro="" textlink="">
      <xdr:nvSpPr>
        <xdr:cNvPr id="158" name="Delete_24">
          <a:extLst>
            <a:ext uri="{FF2B5EF4-FFF2-40B4-BE49-F238E27FC236}">
              <a16:creationId xmlns:a16="http://schemas.microsoft.com/office/drawing/2014/main" id="{1F1A3441-230F-4B69-BF0E-F31B0FA74383}"/>
            </a:ext>
          </a:extLst>
        </xdr:cNvPr>
        <xdr:cNvSpPr>
          <a:spLocks/>
        </xdr:cNvSpPr>
      </xdr:nvSpPr>
      <xdr:spPr bwMode="auto">
        <a:xfrm>
          <a:off x="20022911" y="5252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25</xdr:row>
      <xdr:rowOff>0</xdr:rowOff>
    </xdr:from>
    <xdr:to>
      <xdr:col>36</xdr:col>
      <xdr:colOff>523874</xdr:colOff>
      <xdr:row>25</xdr:row>
      <xdr:rowOff>173181</xdr:rowOff>
    </xdr:to>
    <xdr:sp macro="" textlink="">
      <xdr:nvSpPr>
        <xdr:cNvPr id="159" name="Delete_23">
          <a:extLst>
            <a:ext uri="{FF2B5EF4-FFF2-40B4-BE49-F238E27FC236}">
              <a16:creationId xmlns:a16="http://schemas.microsoft.com/office/drawing/2014/main" id="{47592526-A3B5-4A53-B6AC-EA2182A1539B}"/>
            </a:ext>
          </a:extLst>
        </xdr:cNvPr>
        <xdr:cNvSpPr>
          <a:spLocks/>
        </xdr:cNvSpPr>
      </xdr:nvSpPr>
      <xdr:spPr bwMode="auto">
        <a:xfrm>
          <a:off x="20022911" y="5061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24</xdr:row>
      <xdr:rowOff>0</xdr:rowOff>
    </xdr:from>
    <xdr:to>
      <xdr:col>36</xdr:col>
      <xdr:colOff>523874</xdr:colOff>
      <xdr:row>24</xdr:row>
      <xdr:rowOff>173181</xdr:rowOff>
    </xdr:to>
    <xdr:sp macro="" textlink="">
      <xdr:nvSpPr>
        <xdr:cNvPr id="160" name="Delete_22">
          <a:extLst>
            <a:ext uri="{FF2B5EF4-FFF2-40B4-BE49-F238E27FC236}">
              <a16:creationId xmlns:a16="http://schemas.microsoft.com/office/drawing/2014/main" id="{EB8A0705-39BC-4D44-A367-B1D32239BC1A}"/>
            </a:ext>
          </a:extLst>
        </xdr:cNvPr>
        <xdr:cNvSpPr>
          <a:spLocks/>
        </xdr:cNvSpPr>
      </xdr:nvSpPr>
      <xdr:spPr bwMode="auto">
        <a:xfrm>
          <a:off x="20022911" y="4871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23</xdr:row>
      <xdr:rowOff>0</xdr:rowOff>
    </xdr:from>
    <xdr:to>
      <xdr:col>36</xdr:col>
      <xdr:colOff>523874</xdr:colOff>
      <xdr:row>23</xdr:row>
      <xdr:rowOff>173181</xdr:rowOff>
    </xdr:to>
    <xdr:sp macro="" textlink="">
      <xdr:nvSpPr>
        <xdr:cNvPr id="161" name="Delete_21">
          <a:extLst>
            <a:ext uri="{FF2B5EF4-FFF2-40B4-BE49-F238E27FC236}">
              <a16:creationId xmlns:a16="http://schemas.microsoft.com/office/drawing/2014/main" id="{DD39D2A2-58D8-40F1-912A-A16BA5D9BFD3}"/>
            </a:ext>
          </a:extLst>
        </xdr:cNvPr>
        <xdr:cNvSpPr>
          <a:spLocks/>
        </xdr:cNvSpPr>
      </xdr:nvSpPr>
      <xdr:spPr bwMode="auto">
        <a:xfrm>
          <a:off x="20022911" y="4680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22</xdr:row>
      <xdr:rowOff>0</xdr:rowOff>
    </xdr:from>
    <xdr:to>
      <xdr:col>36</xdr:col>
      <xdr:colOff>523874</xdr:colOff>
      <xdr:row>22</xdr:row>
      <xdr:rowOff>173181</xdr:rowOff>
    </xdr:to>
    <xdr:sp macro="" textlink="">
      <xdr:nvSpPr>
        <xdr:cNvPr id="162" name="Delete_20">
          <a:extLst>
            <a:ext uri="{FF2B5EF4-FFF2-40B4-BE49-F238E27FC236}">
              <a16:creationId xmlns:a16="http://schemas.microsoft.com/office/drawing/2014/main" id="{9BBBE7BC-ACAE-41B6-B73E-0B83FC9ABF56}"/>
            </a:ext>
          </a:extLst>
        </xdr:cNvPr>
        <xdr:cNvSpPr>
          <a:spLocks/>
        </xdr:cNvSpPr>
      </xdr:nvSpPr>
      <xdr:spPr bwMode="auto">
        <a:xfrm>
          <a:off x="20022911" y="4490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21</xdr:row>
      <xdr:rowOff>0</xdr:rowOff>
    </xdr:from>
    <xdr:to>
      <xdr:col>36</xdr:col>
      <xdr:colOff>523874</xdr:colOff>
      <xdr:row>21</xdr:row>
      <xdr:rowOff>173181</xdr:rowOff>
    </xdr:to>
    <xdr:sp macro="" textlink="">
      <xdr:nvSpPr>
        <xdr:cNvPr id="163" name="Delete_19">
          <a:extLst>
            <a:ext uri="{FF2B5EF4-FFF2-40B4-BE49-F238E27FC236}">
              <a16:creationId xmlns:a16="http://schemas.microsoft.com/office/drawing/2014/main" id="{CBA293CB-AA48-4AA9-94E6-935ADD6D9FFB}"/>
            </a:ext>
          </a:extLst>
        </xdr:cNvPr>
        <xdr:cNvSpPr>
          <a:spLocks/>
        </xdr:cNvSpPr>
      </xdr:nvSpPr>
      <xdr:spPr bwMode="auto">
        <a:xfrm>
          <a:off x="20022911" y="4299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20</xdr:row>
      <xdr:rowOff>0</xdr:rowOff>
    </xdr:from>
    <xdr:to>
      <xdr:col>36</xdr:col>
      <xdr:colOff>523874</xdr:colOff>
      <xdr:row>20</xdr:row>
      <xdr:rowOff>173181</xdr:rowOff>
    </xdr:to>
    <xdr:sp macro="" textlink="">
      <xdr:nvSpPr>
        <xdr:cNvPr id="164" name="Delete_18">
          <a:extLst>
            <a:ext uri="{FF2B5EF4-FFF2-40B4-BE49-F238E27FC236}">
              <a16:creationId xmlns:a16="http://schemas.microsoft.com/office/drawing/2014/main" id="{87E322A2-2D38-44D3-8101-B8494C3026F2}"/>
            </a:ext>
          </a:extLst>
        </xdr:cNvPr>
        <xdr:cNvSpPr>
          <a:spLocks/>
        </xdr:cNvSpPr>
      </xdr:nvSpPr>
      <xdr:spPr bwMode="auto">
        <a:xfrm>
          <a:off x="20022911" y="4109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19</xdr:row>
      <xdr:rowOff>0</xdr:rowOff>
    </xdr:from>
    <xdr:to>
      <xdr:col>36</xdr:col>
      <xdr:colOff>523874</xdr:colOff>
      <xdr:row>19</xdr:row>
      <xdr:rowOff>173181</xdr:rowOff>
    </xdr:to>
    <xdr:sp macro="" textlink="">
      <xdr:nvSpPr>
        <xdr:cNvPr id="165" name="Delete_17">
          <a:extLst>
            <a:ext uri="{FF2B5EF4-FFF2-40B4-BE49-F238E27FC236}">
              <a16:creationId xmlns:a16="http://schemas.microsoft.com/office/drawing/2014/main" id="{9C73A8B0-8A38-4095-8D62-4D0226DB5B08}"/>
            </a:ext>
          </a:extLst>
        </xdr:cNvPr>
        <xdr:cNvSpPr>
          <a:spLocks/>
        </xdr:cNvSpPr>
      </xdr:nvSpPr>
      <xdr:spPr bwMode="auto">
        <a:xfrm>
          <a:off x="20022911" y="3918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18</xdr:row>
      <xdr:rowOff>0</xdr:rowOff>
    </xdr:from>
    <xdr:to>
      <xdr:col>36</xdr:col>
      <xdr:colOff>523874</xdr:colOff>
      <xdr:row>18</xdr:row>
      <xdr:rowOff>173181</xdr:rowOff>
    </xdr:to>
    <xdr:sp macro="" textlink="">
      <xdr:nvSpPr>
        <xdr:cNvPr id="166" name="Delete_16">
          <a:extLst>
            <a:ext uri="{FF2B5EF4-FFF2-40B4-BE49-F238E27FC236}">
              <a16:creationId xmlns:a16="http://schemas.microsoft.com/office/drawing/2014/main" id="{B8D75F52-6A5F-414C-B512-91A8893B2F6A}"/>
            </a:ext>
          </a:extLst>
        </xdr:cNvPr>
        <xdr:cNvSpPr>
          <a:spLocks/>
        </xdr:cNvSpPr>
      </xdr:nvSpPr>
      <xdr:spPr bwMode="auto">
        <a:xfrm>
          <a:off x="20022911" y="3728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17</xdr:row>
      <xdr:rowOff>0</xdr:rowOff>
    </xdr:from>
    <xdr:to>
      <xdr:col>36</xdr:col>
      <xdr:colOff>523874</xdr:colOff>
      <xdr:row>17</xdr:row>
      <xdr:rowOff>173181</xdr:rowOff>
    </xdr:to>
    <xdr:sp macro="" textlink="">
      <xdr:nvSpPr>
        <xdr:cNvPr id="167" name="Delete_15">
          <a:extLst>
            <a:ext uri="{FF2B5EF4-FFF2-40B4-BE49-F238E27FC236}">
              <a16:creationId xmlns:a16="http://schemas.microsoft.com/office/drawing/2014/main" id="{FF363262-DA1C-42CE-B994-DE0FCD195A42}"/>
            </a:ext>
          </a:extLst>
        </xdr:cNvPr>
        <xdr:cNvSpPr>
          <a:spLocks/>
        </xdr:cNvSpPr>
      </xdr:nvSpPr>
      <xdr:spPr bwMode="auto">
        <a:xfrm>
          <a:off x="20022911" y="3537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16</xdr:row>
      <xdr:rowOff>0</xdr:rowOff>
    </xdr:from>
    <xdr:to>
      <xdr:col>36</xdr:col>
      <xdr:colOff>523874</xdr:colOff>
      <xdr:row>16</xdr:row>
      <xdr:rowOff>173181</xdr:rowOff>
    </xdr:to>
    <xdr:sp macro="" textlink="">
      <xdr:nvSpPr>
        <xdr:cNvPr id="168" name="Delete_14">
          <a:extLst>
            <a:ext uri="{FF2B5EF4-FFF2-40B4-BE49-F238E27FC236}">
              <a16:creationId xmlns:a16="http://schemas.microsoft.com/office/drawing/2014/main" id="{6AB5FEFC-6603-4802-86BD-222CD1AC050F}"/>
            </a:ext>
          </a:extLst>
        </xdr:cNvPr>
        <xdr:cNvSpPr>
          <a:spLocks/>
        </xdr:cNvSpPr>
      </xdr:nvSpPr>
      <xdr:spPr bwMode="auto">
        <a:xfrm>
          <a:off x="20022911" y="3347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15</xdr:row>
      <xdr:rowOff>0</xdr:rowOff>
    </xdr:from>
    <xdr:to>
      <xdr:col>36</xdr:col>
      <xdr:colOff>523874</xdr:colOff>
      <xdr:row>15</xdr:row>
      <xdr:rowOff>173181</xdr:rowOff>
    </xdr:to>
    <xdr:sp macro="" textlink="">
      <xdr:nvSpPr>
        <xdr:cNvPr id="169" name="Delete_13">
          <a:extLst>
            <a:ext uri="{FF2B5EF4-FFF2-40B4-BE49-F238E27FC236}">
              <a16:creationId xmlns:a16="http://schemas.microsoft.com/office/drawing/2014/main" id="{3698DBE1-1D6A-46DE-84C1-3F3F2D3150CC}"/>
            </a:ext>
          </a:extLst>
        </xdr:cNvPr>
        <xdr:cNvSpPr>
          <a:spLocks/>
        </xdr:cNvSpPr>
      </xdr:nvSpPr>
      <xdr:spPr bwMode="auto">
        <a:xfrm>
          <a:off x="20022911" y="3156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14</xdr:row>
      <xdr:rowOff>0</xdr:rowOff>
    </xdr:from>
    <xdr:to>
      <xdr:col>36</xdr:col>
      <xdr:colOff>523874</xdr:colOff>
      <xdr:row>14</xdr:row>
      <xdr:rowOff>173181</xdr:rowOff>
    </xdr:to>
    <xdr:sp macro="" textlink="">
      <xdr:nvSpPr>
        <xdr:cNvPr id="170" name="Delete_12">
          <a:extLst>
            <a:ext uri="{FF2B5EF4-FFF2-40B4-BE49-F238E27FC236}">
              <a16:creationId xmlns:a16="http://schemas.microsoft.com/office/drawing/2014/main" id="{5068D21B-1339-4648-B03D-7217748AAB01}"/>
            </a:ext>
          </a:extLst>
        </xdr:cNvPr>
        <xdr:cNvSpPr>
          <a:spLocks/>
        </xdr:cNvSpPr>
      </xdr:nvSpPr>
      <xdr:spPr bwMode="auto">
        <a:xfrm>
          <a:off x="20022911" y="2966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13</xdr:row>
      <xdr:rowOff>0</xdr:rowOff>
    </xdr:from>
    <xdr:to>
      <xdr:col>36</xdr:col>
      <xdr:colOff>523874</xdr:colOff>
      <xdr:row>13</xdr:row>
      <xdr:rowOff>173181</xdr:rowOff>
    </xdr:to>
    <xdr:sp macro="" textlink="">
      <xdr:nvSpPr>
        <xdr:cNvPr id="171" name="Delete_11">
          <a:extLst>
            <a:ext uri="{FF2B5EF4-FFF2-40B4-BE49-F238E27FC236}">
              <a16:creationId xmlns:a16="http://schemas.microsoft.com/office/drawing/2014/main" id="{1094C6FC-830A-4273-96C4-9791836870CA}"/>
            </a:ext>
          </a:extLst>
        </xdr:cNvPr>
        <xdr:cNvSpPr>
          <a:spLocks/>
        </xdr:cNvSpPr>
      </xdr:nvSpPr>
      <xdr:spPr bwMode="auto">
        <a:xfrm>
          <a:off x="20022911" y="2775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12</xdr:row>
      <xdr:rowOff>0</xdr:rowOff>
    </xdr:from>
    <xdr:to>
      <xdr:col>36</xdr:col>
      <xdr:colOff>523874</xdr:colOff>
      <xdr:row>12</xdr:row>
      <xdr:rowOff>173181</xdr:rowOff>
    </xdr:to>
    <xdr:sp macro="" textlink="">
      <xdr:nvSpPr>
        <xdr:cNvPr id="172" name="Delete_10">
          <a:extLst>
            <a:ext uri="{FF2B5EF4-FFF2-40B4-BE49-F238E27FC236}">
              <a16:creationId xmlns:a16="http://schemas.microsoft.com/office/drawing/2014/main" id="{35276EBF-5944-48C4-A07F-1D50BB36327F}"/>
            </a:ext>
          </a:extLst>
        </xdr:cNvPr>
        <xdr:cNvSpPr>
          <a:spLocks/>
        </xdr:cNvSpPr>
      </xdr:nvSpPr>
      <xdr:spPr bwMode="auto">
        <a:xfrm>
          <a:off x="20022911" y="2585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11</xdr:row>
      <xdr:rowOff>0</xdr:rowOff>
    </xdr:from>
    <xdr:to>
      <xdr:col>36</xdr:col>
      <xdr:colOff>523874</xdr:colOff>
      <xdr:row>11</xdr:row>
      <xdr:rowOff>173181</xdr:rowOff>
    </xdr:to>
    <xdr:sp macro="" textlink="">
      <xdr:nvSpPr>
        <xdr:cNvPr id="173" name="Delete_9">
          <a:extLst>
            <a:ext uri="{FF2B5EF4-FFF2-40B4-BE49-F238E27FC236}">
              <a16:creationId xmlns:a16="http://schemas.microsoft.com/office/drawing/2014/main" id="{D6E1B8FD-721C-43B2-BA70-8896B0F997A3}"/>
            </a:ext>
          </a:extLst>
        </xdr:cNvPr>
        <xdr:cNvSpPr>
          <a:spLocks/>
        </xdr:cNvSpPr>
      </xdr:nvSpPr>
      <xdr:spPr bwMode="auto">
        <a:xfrm>
          <a:off x="20022911" y="2394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10</xdr:row>
      <xdr:rowOff>0</xdr:rowOff>
    </xdr:from>
    <xdr:to>
      <xdr:col>36</xdr:col>
      <xdr:colOff>523874</xdr:colOff>
      <xdr:row>10</xdr:row>
      <xdr:rowOff>173181</xdr:rowOff>
    </xdr:to>
    <xdr:sp macro="" textlink="">
      <xdr:nvSpPr>
        <xdr:cNvPr id="174" name="Delete_8">
          <a:extLst>
            <a:ext uri="{FF2B5EF4-FFF2-40B4-BE49-F238E27FC236}">
              <a16:creationId xmlns:a16="http://schemas.microsoft.com/office/drawing/2014/main" id="{5E3EAF3D-E897-4390-BBAD-1C2AA8FE3F2A}"/>
            </a:ext>
          </a:extLst>
        </xdr:cNvPr>
        <xdr:cNvSpPr>
          <a:spLocks/>
        </xdr:cNvSpPr>
      </xdr:nvSpPr>
      <xdr:spPr bwMode="auto">
        <a:xfrm>
          <a:off x="20022911" y="2204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9</xdr:row>
      <xdr:rowOff>0</xdr:rowOff>
    </xdr:from>
    <xdr:to>
      <xdr:col>36</xdr:col>
      <xdr:colOff>523874</xdr:colOff>
      <xdr:row>9</xdr:row>
      <xdr:rowOff>173181</xdr:rowOff>
    </xdr:to>
    <xdr:sp macro="" textlink="">
      <xdr:nvSpPr>
        <xdr:cNvPr id="175" name="Delete_7">
          <a:extLst>
            <a:ext uri="{FF2B5EF4-FFF2-40B4-BE49-F238E27FC236}">
              <a16:creationId xmlns:a16="http://schemas.microsoft.com/office/drawing/2014/main" id="{93B07950-7094-4959-973D-511E72BE227A}"/>
            </a:ext>
          </a:extLst>
        </xdr:cNvPr>
        <xdr:cNvSpPr>
          <a:spLocks/>
        </xdr:cNvSpPr>
      </xdr:nvSpPr>
      <xdr:spPr bwMode="auto">
        <a:xfrm>
          <a:off x="20022911" y="2013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8</xdr:row>
      <xdr:rowOff>0</xdr:rowOff>
    </xdr:from>
    <xdr:to>
      <xdr:col>36</xdr:col>
      <xdr:colOff>523874</xdr:colOff>
      <xdr:row>8</xdr:row>
      <xdr:rowOff>173181</xdr:rowOff>
    </xdr:to>
    <xdr:sp macro="" textlink="">
      <xdr:nvSpPr>
        <xdr:cNvPr id="176" name="Delete_6">
          <a:extLst>
            <a:ext uri="{FF2B5EF4-FFF2-40B4-BE49-F238E27FC236}">
              <a16:creationId xmlns:a16="http://schemas.microsoft.com/office/drawing/2014/main" id="{79020602-CFCA-44AD-AB21-6B5CBD113A7C}"/>
            </a:ext>
          </a:extLst>
        </xdr:cNvPr>
        <xdr:cNvSpPr>
          <a:spLocks/>
        </xdr:cNvSpPr>
      </xdr:nvSpPr>
      <xdr:spPr bwMode="auto">
        <a:xfrm>
          <a:off x="20022911" y="1823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7</xdr:row>
      <xdr:rowOff>0</xdr:rowOff>
    </xdr:from>
    <xdr:to>
      <xdr:col>36</xdr:col>
      <xdr:colOff>523874</xdr:colOff>
      <xdr:row>7</xdr:row>
      <xdr:rowOff>173181</xdr:rowOff>
    </xdr:to>
    <xdr:sp macro="" textlink="">
      <xdr:nvSpPr>
        <xdr:cNvPr id="177" name="Delete_5">
          <a:extLst>
            <a:ext uri="{FF2B5EF4-FFF2-40B4-BE49-F238E27FC236}">
              <a16:creationId xmlns:a16="http://schemas.microsoft.com/office/drawing/2014/main" id="{75D4D51A-D9F9-4726-925C-1CD2E3F4CEE9}"/>
            </a:ext>
          </a:extLst>
        </xdr:cNvPr>
        <xdr:cNvSpPr>
          <a:spLocks/>
        </xdr:cNvSpPr>
      </xdr:nvSpPr>
      <xdr:spPr bwMode="auto">
        <a:xfrm>
          <a:off x="20022911" y="1632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6</xdr:row>
      <xdr:rowOff>0</xdr:rowOff>
    </xdr:from>
    <xdr:to>
      <xdr:col>36</xdr:col>
      <xdr:colOff>523874</xdr:colOff>
      <xdr:row>6</xdr:row>
      <xdr:rowOff>173181</xdr:rowOff>
    </xdr:to>
    <xdr:sp macro="" textlink="">
      <xdr:nvSpPr>
        <xdr:cNvPr id="178" name="Delete_4">
          <a:extLst>
            <a:ext uri="{FF2B5EF4-FFF2-40B4-BE49-F238E27FC236}">
              <a16:creationId xmlns:a16="http://schemas.microsoft.com/office/drawing/2014/main" id="{D2CC55CC-2B03-40D9-BF9A-37B650F3E95E}"/>
            </a:ext>
          </a:extLst>
        </xdr:cNvPr>
        <xdr:cNvSpPr>
          <a:spLocks/>
        </xdr:cNvSpPr>
      </xdr:nvSpPr>
      <xdr:spPr bwMode="auto">
        <a:xfrm>
          <a:off x="20022911" y="1442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36</xdr:col>
      <xdr:colOff>523874</xdr:colOff>
      <xdr:row>5</xdr:row>
      <xdr:rowOff>173181</xdr:rowOff>
    </xdr:to>
    <xdr:sp macro="" textlink="">
      <xdr:nvSpPr>
        <xdr:cNvPr id="179" name="Delete_3">
          <a:extLst>
            <a:ext uri="{FF2B5EF4-FFF2-40B4-BE49-F238E27FC236}">
              <a16:creationId xmlns:a16="http://schemas.microsoft.com/office/drawing/2014/main" id="{4F8BA889-43D7-49D4-9E90-2842E437F93D}"/>
            </a:ext>
          </a:extLst>
        </xdr:cNvPr>
        <xdr:cNvSpPr>
          <a:spLocks/>
        </xdr:cNvSpPr>
      </xdr:nvSpPr>
      <xdr:spPr bwMode="auto">
        <a:xfrm>
          <a:off x="20022911" y="12518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  <xdr:twoCellAnchor>
    <xdr:from>
      <xdr:col>36</xdr:col>
      <xdr:colOff>0</xdr:colOff>
      <xdr:row>4</xdr:row>
      <xdr:rowOff>0</xdr:rowOff>
    </xdr:from>
    <xdr:to>
      <xdr:col>36</xdr:col>
      <xdr:colOff>523874</xdr:colOff>
      <xdr:row>4</xdr:row>
      <xdr:rowOff>173181</xdr:rowOff>
    </xdr:to>
    <xdr:sp macro="" textlink="">
      <xdr:nvSpPr>
        <xdr:cNvPr id="180" name="Delete_2">
          <a:extLst>
            <a:ext uri="{FF2B5EF4-FFF2-40B4-BE49-F238E27FC236}">
              <a16:creationId xmlns:a16="http://schemas.microsoft.com/office/drawing/2014/main" id="{2C51CFBB-F179-4A5E-BD28-B9490BC527DE}"/>
            </a:ext>
          </a:extLst>
        </xdr:cNvPr>
        <xdr:cNvSpPr>
          <a:spLocks/>
        </xdr:cNvSpPr>
      </xdr:nvSpPr>
      <xdr:spPr bwMode="auto">
        <a:xfrm>
          <a:off x="20022911" y="1061357"/>
          <a:ext cx="523874" cy="173181"/>
        </a:xfrm>
        <a:prstGeom prst="roundRect">
          <a:avLst/>
        </a:prstGeom>
        <a:gradFill flip="none" rotWithShape="1">
          <a:gsLst>
            <a:gs pos="0">
              <a:srgbClr val="F15D4E"/>
            </a:gs>
            <a:gs pos="100000">
              <a:srgbClr val="DA4234"/>
            </a:gs>
          </a:gsLst>
          <a:lin ang="17400000" scaled="0"/>
          <a:tileRect/>
        </a:gradFill>
        <a:ln w="0">
          <a:noFill/>
          <a:prstDash val="solid"/>
          <a:round/>
          <a:headEnd/>
          <a:tailEnd/>
        </a:ln>
        <a:effectLst>
          <a:outerShdw blurRad="152400" dist="38100" dir="5400000" sx="102000" sy="102000" algn="t" rotWithShape="0">
            <a:prstClr val="black">
              <a:alpha val="36000"/>
            </a:prstClr>
          </a:outerShdw>
        </a:effectLst>
      </xdr:spPr>
      <xdr:txBody>
        <a:bodyPr vert="horz" wrap="square" lIns="0" tIns="0" rIns="0" bIns="0" numCol="1" anchor="t" anchorCtr="1" compatLnSpc="1">
          <a:prstTxWarp prst="textNoShape">
            <a:avLst/>
          </a:prstTxWarp>
        </a:bodyPr>
        <a:lstStyle>
          <a:defPPr>
            <a:defRPr lang="en-US"/>
          </a:defPPr>
          <a:lvl1pPr marL="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1pPr>
          <a:lvl2pPr marL="60949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2pPr>
          <a:lvl3pPr marL="121898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3pPr>
          <a:lvl4pPr marL="182848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4pPr>
          <a:lvl5pPr marL="243797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5pPr>
          <a:lvl6pPr marL="304746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6pPr>
          <a:lvl7pPr marL="3656960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7pPr>
          <a:lvl8pPr marL="4266453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8pPr>
          <a:lvl9pPr marL="4875947" algn="l" defTabSz="1218987" rtl="0" eaLnBrk="1" latinLnBrk="0" hangingPunct="1">
            <a:defRPr sz="2400" kern="1200">
              <a:solidFill>
                <a:sysClr val="windowText" lastClr="000000"/>
              </a:solidFill>
              <a:latin typeface="Calibri"/>
            </a:defRPr>
          </a:lvl9pPr>
        </a:lstStyle>
        <a:p>
          <a:pPr marL="0" indent="0" algn="l" defTabSz="1218987" rtl="0" eaLnBrk="1" latinLnBrk="0" hangingPunct="1"/>
          <a:r>
            <a:rPr lang="en-IN" sz="900" kern="0">
              <a:solidFill>
                <a:sysClr val="window" lastClr="FFFFFF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delete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80E5DA04-7E99-4867-8B9D-7E5B390080E9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Jan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23A9E2B6-CF65-4C87-901A-3F53EA97E4DC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Jan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C7F5B27C-4B58-492C-8303-E560948A0AE1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15" name="Admin_Edit_Jan_2017">
          <a:extLst>
            <a:ext uri="{FF2B5EF4-FFF2-40B4-BE49-F238E27FC236}">
              <a16:creationId xmlns:a16="http://schemas.microsoft.com/office/drawing/2014/main" id="{503E69C4-1106-4D29-922A-644D79286395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Jan_2017" textlink="">
        <xdr:nvSpPr>
          <xdr:cNvPr id="12" name="Freeform 63">
            <a:extLst>
              <a:ext uri="{FF2B5EF4-FFF2-40B4-BE49-F238E27FC236}">
                <a16:creationId xmlns:a16="http://schemas.microsoft.com/office/drawing/2014/main" id="{52768E44-F7BD-4E5A-89E9-95993F290943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Jan_2017" textlink="">
        <xdr:nvSpPr>
          <xdr:cNvPr id="13" name="TextBox 64">
            <a:extLst>
              <a:ext uri="{FF2B5EF4-FFF2-40B4-BE49-F238E27FC236}">
                <a16:creationId xmlns:a16="http://schemas.microsoft.com/office/drawing/2014/main" id="{7375D775-F4F3-4904-A44B-4064AB6F5A66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709874B-85E4-447E-9259-196E1F901FF8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Feb_2017" textlink="">
        <xdr:nvSpPr>
          <xdr:cNvPr id="3" name="Freeform 63">
            <a:extLst>
              <a:ext uri="{FF2B5EF4-FFF2-40B4-BE49-F238E27FC236}">
                <a16:creationId xmlns:a16="http://schemas.microsoft.com/office/drawing/2014/main" id="{F52A0916-4BE7-4876-AF43-23D24BBC9BBF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Feb_2017" textlink="">
        <xdr:nvSpPr>
          <xdr:cNvPr id="4" name="TextBox 64">
            <a:extLst>
              <a:ext uri="{FF2B5EF4-FFF2-40B4-BE49-F238E27FC236}">
                <a16:creationId xmlns:a16="http://schemas.microsoft.com/office/drawing/2014/main" id="{AB0B83E4-4CC1-4541-AEAD-452B697757E3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5" name="Admin_Edit_Feb_2017">
          <a:extLst>
            <a:ext uri="{FF2B5EF4-FFF2-40B4-BE49-F238E27FC236}">
              <a16:creationId xmlns:a16="http://schemas.microsoft.com/office/drawing/2014/main" id="{0ABCC394-2617-4F2D-89A3-C49668F04828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Feb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5E501959-9AC0-4DF5-A5E0-EC9E11747CC5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Feb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A3D2C1E0-60D0-41E5-B31C-96E65BA6FFD4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45C19A1-7C2E-4F97-A011-3386EA56E279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Mar_2017" textlink="">
        <xdr:nvSpPr>
          <xdr:cNvPr id="9" name="Freeform 63">
            <a:extLst>
              <a:ext uri="{FF2B5EF4-FFF2-40B4-BE49-F238E27FC236}">
                <a16:creationId xmlns:a16="http://schemas.microsoft.com/office/drawing/2014/main" id="{DF50463A-DD3A-4FD5-AAFC-96ADD4EE726A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Mar_2017" textlink="">
        <xdr:nvSpPr>
          <xdr:cNvPr id="10" name="TextBox 64">
            <a:extLst>
              <a:ext uri="{FF2B5EF4-FFF2-40B4-BE49-F238E27FC236}">
                <a16:creationId xmlns:a16="http://schemas.microsoft.com/office/drawing/2014/main" id="{6E2E7193-97B5-400C-8C4F-E8229049EF30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11" name="Admin_Edit_Mar_2017">
          <a:extLst>
            <a:ext uri="{FF2B5EF4-FFF2-40B4-BE49-F238E27FC236}">
              <a16:creationId xmlns:a16="http://schemas.microsoft.com/office/drawing/2014/main" id="{76839759-0603-4E25-B9FC-F97E3298B9F3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Mar_2017" textlink="">
        <xdr:nvSpPr>
          <xdr:cNvPr id="12" name="Freeform 63">
            <a:extLst>
              <a:ext uri="{FF2B5EF4-FFF2-40B4-BE49-F238E27FC236}">
                <a16:creationId xmlns:a16="http://schemas.microsoft.com/office/drawing/2014/main" id="{B3B85214-747D-47E7-83EA-0B52592332E6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Mar_2017" textlink="">
        <xdr:nvSpPr>
          <xdr:cNvPr id="13" name="TextBox 64">
            <a:extLst>
              <a:ext uri="{FF2B5EF4-FFF2-40B4-BE49-F238E27FC236}">
                <a16:creationId xmlns:a16="http://schemas.microsoft.com/office/drawing/2014/main" id="{5BDB7642-08A0-42DD-8558-C33BBF1FB02D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9A22343E-9364-403C-8C83-7B45186B0BD9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Apr_2017" textlink="">
        <xdr:nvSpPr>
          <xdr:cNvPr id="15" name="Freeform 63">
            <a:extLst>
              <a:ext uri="{FF2B5EF4-FFF2-40B4-BE49-F238E27FC236}">
                <a16:creationId xmlns:a16="http://schemas.microsoft.com/office/drawing/2014/main" id="{35C9BFEB-0AE1-455D-86B1-2809D34E1B4B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Apr_2017" textlink="">
        <xdr:nvSpPr>
          <xdr:cNvPr id="16" name="TextBox 64">
            <a:extLst>
              <a:ext uri="{FF2B5EF4-FFF2-40B4-BE49-F238E27FC236}">
                <a16:creationId xmlns:a16="http://schemas.microsoft.com/office/drawing/2014/main" id="{AEEC5796-0F0A-4902-8D74-1AC6B66511E2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17" name="Admin_Edit_Apr_2017">
          <a:extLst>
            <a:ext uri="{FF2B5EF4-FFF2-40B4-BE49-F238E27FC236}">
              <a16:creationId xmlns:a16="http://schemas.microsoft.com/office/drawing/2014/main" id="{74B4973A-CA01-460F-A02B-BBE43F0F6ABF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Apr_2017" textlink="">
        <xdr:nvSpPr>
          <xdr:cNvPr id="18" name="Freeform 63">
            <a:extLst>
              <a:ext uri="{FF2B5EF4-FFF2-40B4-BE49-F238E27FC236}">
                <a16:creationId xmlns:a16="http://schemas.microsoft.com/office/drawing/2014/main" id="{17A54928-22E3-4C47-9050-246B425D7479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Apr_2017" textlink="">
        <xdr:nvSpPr>
          <xdr:cNvPr id="19" name="TextBox 64">
            <a:extLst>
              <a:ext uri="{FF2B5EF4-FFF2-40B4-BE49-F238E27FC236}">
                <a16:creationId xmlns:a16="http://schemas.microsoft.com/office/drawing/2014/main" id="{2AB751C0-EFBA-4495-B2D7-95A4C37C4448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9856ED6-4749-427E-A10A-E1F063BDA4C4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May_2017" textlink="">
        <xdr:nvSpPr>
          <xdr:cNvPr id="3" name="Freeform 63">
            <a:extLst>
              <a:ext uri="{FF2B5EF4-FFF2-40B4-BE49-F238E27FC236}">
                <a16:creationId xmlns:a16="http://schemas.microsoft.com/office/drawing/2014/main" id="{D33356FC-1A1B-4E6A-98E5-037401779616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May_2017" textlink="">
        <xdr:nvSpPr>
          <xdr:cNvPr id="4" name="TextBox 64">
            <a:extLst>
              <a:ext uri="{FF2B5EF4-FFF2-40B4-BE49-F238E27FC236}">
                <a16:creationId xmlns:a16="http://schemas.microsoft.com/office/drawing/2014/main" id="{A463835D-CBA1-4909-BF7B-17735F944C07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5" name="Admin_Edit_May_2017">
          <a:extLst>
            <a:ext uri="{FF2B5EF4-FFF2-40B4-BE49-F238E27FC236}">
              <a16:creationId xmlns:a16="http://schemas.microsoft.com/office/drawing/2014/main" id="{67A48CE1-8003-42EE-AAF7-55ED7EAC6F2F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May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CDA1B53E-AFF0-4172-B9DF-3E5C4986AC58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May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12D1BE32-FD0D-4D74-B24B-DE65887A37B9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36AEA9D-23E2-4E6F-A1B8-7F00C7EB2BDE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Jun_2017" textlink="">
        <xdr:nvSpPr>
          <xdr:cNvPr id="3" name="Freeform 63">
            <a:extLst>
              <a:ext uri="{FF2B5EF4-FFF2-40B4-BE49-F238E27FC236}">
                <a16:creationId xmlns:a16="http://schemas.microsoft.com/office/drawing/2014/main" id="{B66E807C-3A09-40B5-B68F-398AF1C96205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Jun_2017" textlink="">
        <xdr:nvSpPr>
          <xdr:cNvPr id="4" name="TextBox 64">
            <a:extLst>
              <a:ext uri="{FF2B5EF4-FFF2-40B4-BE49-F238E27FC236}">
                <a16:creationId xmlns:a16="http://schemas.microsoft.com/office/drawing/2014/main" id="{2FD0D870-B9F2-4F95-8412-293151F66960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5" name="Admin_Edit_Jun_2017">
          <a:extLst>
            <a:ext uri="{FF2B5EF4-FFF2-40B4-BE49-F238E27FC236}">
              <a16:creationId xmlns:a16="http://schemas.microsoft.com/office/drawing/2014/main" id="{FC3E5D09-0270-4271-9D31-325FDF2C859A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Jun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B82E626B-4B70-45FB-8234-97B2BE00CF93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Jun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51DD7789-2AD2-4816-983D-003EB197F642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C5CBA019-589B-4C9C-A6F2-33F10229A111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Jul_2017" textlink="">
        <xdr:nvSpPr>
          <xdr:cNvPr id="3" name="Freeform 63">
            <a:extLst>
              <a:ext uri="{FF2B5EF4-FFF2-40B4-BE49-F238E27FC236}">
                <a16:creationId xmlns:a16="http://schemas.microsoft.com/office/drawing/2014/main" id="{06C88B75-D65C-4085-B007-4DA145552FCC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Jul_2017" textlink="">
        <xdr:nvSpPr>
          <xdr:cNvPr id="4" name="TextBox 64">
            <a:extLst>
              <a:ext uri="{FF2B5EF4-FFF2-40B4-BE49-F238E27FC236}">
                <a16:creationId xmlns:a16="http://schemas.microsoft.com/office/drawing/2014/main" id="{C6258BBA-9DD9-47D3-AB16-9BE009889897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5" name="Admin_Edit_Jul_2017">
          <a:extLst>
            <a:ext uri="{FF2B5EF4-FFF2-40B4-BE49-F238E27FC236}">
              <a16:creationId xmlns:a16="http://schemas.microsoft.com/office/drawing/2014/main" id="{5F2E2DDD-2925-4E02-B08F-60743F63B7DA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Jul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C719E831-B2D0-4CE0-BD5A-66BDD8EAF51C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Jul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1BAA9340-2A49-4484-81BC-23C5148E2077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263AFDD5-C8BE-4A1C-8006-A383CEEF94EA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Aug_2017" textlink="">
        <xdr:nvSpPr>
          <xdr:cNvPr id="3" name="Freeform 63">
            <a:extLst>
              <a:ext uri="{FF2B5EF4-FFF2-40B4-BE49-F238E27FC236}">
                <a16:creationId xmlns:a16="http://schemas.microsoft.com/office/drawing/2014/main" id="{71909685-9A17-4F0F-8C2D-B234A99FF964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Aug_2017" textlink="">
        <xdr:nvSpPr>
          <xdr:cNvPr id="4" name="TextBox 64">
            <a:extLst>
              <a:ext uri="{FF2B5EF4-FFF2-40B4-BE49-F238E27FC236}">
                <a16:creationId xmlns:a16="http://schemas.microsoft.com/office/drawing/2014/main" id="{E7ECEDA3-718D-4450-852B-CAFCFB279057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5" name="Admin_Edit_Aug_2017">
          <a:extLst>
            <a:ext uri="{FF2B5EF4-FFF2-40B4-BE49-F238E27FC236}">
              <a16:creationId xmlns:a16="http://schemas.microsoft.com/office/drawing/2014/main" id="{2473E87F-48E7-49C3-B554-6309F4E14261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Aug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7E19A57C-4CC7-40E1-8B4B-782E87EE1BD0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Aug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C6C50033-19B3-4DF6-B411-EB6177905E1A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444E86E-0E1F-465D-A0AE-36621CCCC9B6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Sep_2017" textlink="">
        <xdr:nvSpPr>
          <xdr:cNvPr id="3" name="Freeform 63">
            <a:extLst>
              <a:ext uri="{FF2B5EF4-FFF2-40B4-BE49-F238E27FC236}">
                <a16:creationId xmlns:a16="http://schemas.microsoft.com/office/drawing/2014/main" id="{71B405F6-2B4D-47B2-AEAB-39FE7AE88579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Sep_2017" textlink="">
        <xdr:nvSpPr>
          <xdr:cNvPr id="4" name="TextBox 64">
            <a:extLst>
              <a:ext uri="{FF2B5EF4-FFF2-40B4-BE49-F238E27FC236}">
                <a16:creationId xmlns:a16="http://schemas.microsoft.com/office/drawing/2014/main" id="{C51149BC-F569-4568-A41D-C2C0EF7A24FD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5" name="Admin_Edit_Sep_2017">
          <a:extLst>
            <a:ext uri="{FF2B5EF4-FFF2-40B4-BE49-F238E27FC236}">
              <a16:creationId xmlns:a16="http://schemas.microsoft.com/office/drawing/2014/main" id="{7DF263B1-66BA-4C85-A0F1-E9E12EE0144D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Sep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9C2D0BDD-8021-4DE7-AE29-69C8B943322B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Sep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17F75E74-91D7-459C-8657-C86CA0D915CB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59A14132-425E-4158-A1CE-3A2692466BFE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Oct_2017" textlink="">
        <xdr:nvSpPr>
          <xdr:cNvPr id="3" name="Freeform 63">
            <a:extLst>
              <a:ext uri="{FF2B5EF4-FFF2-40B4-BE49-F238E27FC236}">
                <a16:creationId xmlns:a16="http://schemas.microsoft.com/office/drawing/2014/main" id="{6E8E3512-3DBE-4732-9D65-D182CD282FC9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Oct_2017" textlink="">
        <xdr:nvSpPr>
          <xdr:cNvPr id="4" name="TextBox 64">
            <a:extLst>
              <a:ext uri="{FF2B5EF4-FFF2-40B4-BE49-F238E27FC236}">
                <a16:creationId xmlns:a16="http://schemas.microsoft.com/office/drawing/2014/main" id="{78C6EFC8-7DEC-4906-86A2-6A307730F46F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5" name="Admin_Edit_Oct_2017">
          <a:extLst>
            <a:ext uri="{FF2B5EF4-FFF2-40B4-BE49-F238E27FC236}">
              <a16:creationId xmlns:a16="http://schemas.microsoft.com/office/drawing/2014/main" id="{1328A5BF-68B2-42EB-B967-5DFB0FAE3763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Oct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802BC6DA-828B-4434-81AA-913C5146AEE8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Oct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7431C9C6-9712-4D2E-87A8-E7E3D1DF8FE1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FF24A4-07F2-4A45-8489-B3F2AFCDB714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Nov_2017" textlink="">
        <xdr:nvSpPr>
          <xdr:cNvPr id="3" name="Freeform 63">
            <a:extLst>
              <a:ext uri="{FF2B5EF4-FFF2-40B4-BE49-F238E27FC236}">
                <a16:creationId xmlns:a16="http://schemas.microsoft.com/office/drawing/2014/main" id="{3498C666-F809-4E5A-AD55-7A174DECB3B3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Nov_2017" textlink="">
        <xdr:nvSpPr>
          <xdr:cNvPr id="4" name="TextBox 64">
            <a:extLst>
              <a:ext uri="{FF2B5EF4-FFF2-40B4-BE49-F238E27FC236}">
                <a16:creationId xmlns:a16="http://schemas.microsoft.com/office/drawing/2014/main" id="{A888ECC9-9883-456B-A0C6-7E249FF0E54A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5" name="Admin_Edit_Nov_2017">
          <a:extLst>
            <a:ext uri="{FF2B5EF4-FFF2-40B4-BE49-F238E27FC236}">
              <a16:creationId xmlns:a16="http://schemas.microsoft.com/office/drawing/2014/main" id="{43924911-8891-4ADA-81F7-572214AF7DFE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Nov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D0337506-EE61-4C07-84FD-B7991EBEE056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Nov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3A10557B-7248-4E05-9652-6AEDD254E75E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188816</xdr:rowOff>
    </xdr:from>
    <xdr:to>
      <xdr:col>1</xdr:col>
      <xdr:colOff>279770</xdr:colOff>
      <xdr:row>2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34C94721-4189-4CBD-8822-2D23E7106870}"/>
            </a:ext>
          </a:extLst>
        </xdr:cNvPr>
        <xdr:cNvGrpSpPr/>
      </xdr:nvGrpSpPr>
      <xdr:grpSpPr>
        <a:xfrm>
          <a:off x="85725" y="188816"/>
          <a:ext cx="1289420" cy="239809"/>
          <a:chOff x="2847976" y="174788"/>
          <a:chExt cx="1289420" cy="239809"/>
        </a:xfrm>
        <a:effectLst>
          <a:outerShdw blurRad="50800" dist="38100" dir="10800000" algn="r" rotWithShape="0">
            <a:prstClr val="black">
              <a:alpha val="40000"/>
            </a:prstClr>
          </a:outerShdw>
        </a:effectLst>
      </xdr:grpSpPr>
      <xdr:sp macro="[0]!i_Archive_Worksheets.Dec_2017" textlink="">
        <xdr:nvSpPr>
          <xdr:cNvPr id="3" name="Freeform 63">
            <a:extLst>
              <a:ext uri="{FF2B5EF4-FFF2-40B4-BE49-F238E27FC236}">
                <a16:creationId xmlns:a16="http://schemas.microsoft.com/office/drawing/2014/main" id="{D5579994-B147-4C92-847B-5AA9596270BE}"/>
              </a:ext>
            </a:extLst>
          </xdr:cNvPr>
          <xdr:cNvSpPr>
            <a:spLocks/>
          </xdr:cNvSpPr>
        </xdr:nvSpPr>
        <xdr:spPr bwMode="auto">
          <a:xfrm>
            <a:off x="2847976" y="209551"/>
            <a:ext cx="1289420" cy="190500"/>
          </a:xfrm>
          <a:prstGeom prst="roundRect">
            <a:avLst/>
          </a:prstGeom>
          <a:gradFill flip="none" rotWithShape="1">
            <a:gsLst>
              <a:gs pos="10000">
                <a:srgbClr val="EA1728"/>
              </a:gs>
              <a:gs pos="87000">
                <a:srgbClr val="F79E20"/>
              </a:gs>
            </a:gsLst>
            <a:lin ang="3600000" scaled="0"/>
            <a:tileRect/>
          </a:gradFill>
          <a:ln w="12700">
            <a:gradFill>
              <a:gsLst>
                <a:gs pos="0">
                  <a:srgbClr val="FEBE1E"/>
                </a:gs>
                <a:gs pos="100000">
                  <a:srgbClr val="DF3133"/>
                </a:gs>
              </a:gsLst>
              <a:lin ang="36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endParaRPr lang="en-IN"/>
          </a:p>
        </xdr:txBody>
      </xdr:sp>
      <xdr:sp macro="[0]!i_Archive_Worksheets.Dec_2017" textlink="">
        <xdr:nvSpPr>
          <xdr:cNvPr id="4" name="TextBox 64">
            <a:extLst>
              <a:ext uri="{FF2B5EF4-FFF2-40B4-BE49-F238E27FC236}">
                <a16:creationId xmlns:a16="http://schemas.microsoft.com/office/drawing/2014/main" id="{DEFF5DD7-C5EE-4E83-BD03-74CCB02373E0}"/>
              </a:ext>
            </a:extLst>
          </xdr:cNvPr>
          <xdr:cNvSpPr txBox="1"/>
        </xdr:nvSpPr>
        <xdr:spPr>
          <a:xfrm>
            <a:off x="2952750" y="174788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ysClr val="window" lastClr="FFFFF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archive &amp; save</a:t>
            </a:r>
          </a:p>
        </xdr:txBody>
      </xdr:sp>
    </xdr:grpSp>
    <xdr:clientData/>
  </xdr:twoCellAnchor>
  <xdr:twoCellAnchor>
    <xdr:from>
      <xdr:col>1</xdr:col>
      <xdr:colOff>472704</xdr:colOff>
      <xdr:row>0</xdr:row>
      <xdr:rowOff>188816</xdr:rowOff>
    </xdr:from>
    <xdr:to>
      <xdr:col>1</xdr:col>
      <xdr:colOff>1762124</xdr:colOff>
      <xdr:row>2</xdr:row>
      <xdr:rowOff>0</xdr:rowOff>
    </xdr:to>
    <xdr:grpSp>
      <xdr:nvGrpSpPr>
        <xdr:cNvPr id="5" name="Admin_Edit_Dec_2017">
          <a:extLst>
            <a:ext uri="{FF2B5EF4-FFF2-40B4-BE49-F238E27FC236}">
              <a16:creationId xmlns:a16="http://schemas.microsoft.com/office/drawing/2014/main" id="{56D61FFC-568A-427D-9E45-1BE591DDDDC4}"/>
            </a:ext>
          </a:extLst>
        </xdr:cNvPr>
        <xdr:cNvGrpSpPr/>
      </xdr:nvGrpSpPr>
      <xdr:grpSpPr>
        <a:xfrm>
          <a:off x="1568079" y="188816"/>
          <a:ext cx="1289420" cy="239809"/>
          <a:chOff x="4162425" y="209550"/>
          <a:chExt cx="1289420" cy="239809"/>
        </a:xfrm>
      </xdr:grpSpPr>
      <xdr:sp macro="[0]!j_Edit_and_Save.Dec_2017" textlink="">
        <xdr:nvSpPr>
          <xdr:cNvPr id="6" name="Freeform 63">
            <a:extLst>
              <a:ext uri="{FF2B5EF4-FFF2-40B4-BE49-F238E27FC236}">
                <a16:creationId xmlns:a16="http://schemas.microsoft.com/office/drawing/2014/main" id="{3D7190E7-4BE6-45A1-A30B-7C5A70391E46}"/>
              </a:ext>
            </a:extLst>
          </xdr:cNvPr>
          <xdr:cNvSpPr>
            <a:spLocks/>
          </xdr:cNvSpPr>
        </xdr:nvSpPr>
        <xdr:spPr bwMode="auto">
          <a:xfrm>
            <a:off x="4162425" y="244313"/>
            <a:ext cx="1289420" cy="190500"/>
          </a:xfrm>
          <a:prstGeom prst="roundRect">
            <a:avLst/>
          </a:prstGeom>
          <a:gradFill flip="none" rotWithShape="1">
            <a:gsLst>
              <a:gs pos="30000">
                <a:srgbClr val="A9CB5D"/>
              </a:gs>
              <a:gs pos="82000">
                <a:srgbClr val="F0E70C"/>
              </a:gs>
            </a:gsLst>
            <a:lin ang="2700000" scaled="1"/>
            <a:tileRect/>
          </a:gradFill>
          <a:ln w="12700">
            <a:gradFill>
              <a:gsLst>
                <a:gs pos="0">
                  <a:srgbClr val="F0E70C"/>
                </a:gs>
                <a:gs pos="100000">
                  <a:srgbClr val="A9CB5D"/>
                </a:gs>
              </a:gsLst>
              <a:lin ang="5400000" scaled="0"/>
            </a:gradFill>
            <a:prstDash val="solid"/>
            <a:round/>
            <a:headEnd/>
            <a:tailEnd/>
          </a:ln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spPr>
        <xdr:txBody>
          <a:bodyPr vert="horz" wrap="square" lIns="91440" tIns="45720" rIns="91440" bIns="45720" numCol="1" anchor="t" anchorCtr="0" compatLnSpc="1">
            <a:prstTxWarp prst="textNoShape">
              <a:avLst/>
            </a:prstTxWarp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marL="0" indent="0" algn="l" defTabSz="1218987" rtl="0" eaLnBrk="1" latinLnBrk="0" hangingPunct="1"/>
            <a:endParaRPr lang="en-IN" sz="2400" kern="1200">
              <a:solidFill>
                <a:schemeClr val="tx1"/>
              </a:solidFill>
              <a:latin typeface="+mn-lt"/>
              <a:ea typeface="+mn-ea"/>
              <a:cs typeface="+mn-cs"/>
            </a:endParaRPr>
          </a:p>
        </xdr:txBody>
      </xdr:sp>
      <xdr:sp macro="[0]!j_Edit_and_Save.Dec_2017" textlink="">
        <xdr:nvSpPr>
          <xdr:cNvPr id="7" name="TextBox 64">
            <a:extLst>
              <a:ext uri="{FF2B5EF4-FFF2-40B4-BE49-F238E27FC236}">
                <a16:creationId xmlns:a16="http://schemas.microsoft.com/office/drawing/2014/main" id="{40FF7907-70C2-4EAC-95E9-123F69DBDEA5}"/>
              </a:ext>
            </a:extLst>
          </xdr:cNvPr>
          <xdr:cNvSpPr txBox="1"/>
        </xdr:nvSpPr>
        <xdr:spPr>
          <a:xfrm>
            <a:off x="4267199" y="209550"/>
            <a:ext cx="1038226" cy="239809"/>
          </a:xfrm>
          <a:prstGeom prst="rect">
            <a:avLst/>
          </a:prstGeom>
          <a:noFill/>
          <a:effectLst>
            <a:outerShdw blurRad="25400" dist="12700" dir="2700000" algn="tl" rotWithShape="0">
              <a:prstClr val="black">
                <a:alpha val="55000"/>
              </a:prstClr>
            </a:outerShdw>
          </a:effectLst>
        </xdr:spPr>
        <xdr:txBody>
          <a:bodyPr wrap="square" rtlCol="0">
            <a:noAutofit/>
          </a:bodyPr>
          <a:lstStyle>
            <a:defPPr>
              <a:defRPr lang="en-US"/>
            </a:defPPr>
            <a:lvl1pPr marL="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1pPr>
            <a:lvl2pPr marL="60949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2pPr>
            <a:lvl3pPr marL="121898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3pPr>
            <a:lvl4pPr marL="182848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4pPr>
            <a:lvl5pPr marL="243797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5pPr>
            <a:lvl6pPr marL="304746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6pPr>
            <a:lvl7pPr marL="3656960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7pPr>
            <a:lvl8pPr marL="4266453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8pPr>
            <a:lvl9pPr marL="4875947" algn="l" defTabSz="1218987" rtl="0" eaLnBrk="1" latinLnBrk="0" hangingPunct="1">
              <a:defRPr sz="2400" kern="1200">
                <a:solidFill>
                  <a:sysClr val="windowText" lastClr="000000"/>
                </a:solidFill>
                <a:latin typeface="Calibri"/>
              </a:defRPr>
            </a:lvl9pPr>
          </a:lstStyle>
          <a:p>
            <a:pPr algn="ctr"/>
            <a:r>
              <a:rPr lang="en-IN" sz="1000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admin edits</a:t>
            </a:r>
          </a:p>
        </xdr:txBody>
      </xdr:sp>
    </xdr:grpSp>
    <xdr:clientData/>
  </xdr:twoCellAnchor>
</xdr:wsDr>
</file>

<file path=xl/tables/table1.xml><?xml version="1.0" encoding="utf-8"?>
<table xmlns="http://schemas.openxmlformats.org/spreadsheetml/2006/main" id="4" name="Jan_Period_1_Tbl" displayName="Jan_Period_1_Tbl" ref="A5:AD11" totalsRowCount="1" dataDxfId="1479">
  <tableColumns count="30">
    <tableColumn id="1" name="STAFF:" totalsRowLabel="Totals:" dataDxfId="1478" totalsRowDxfId="1477" dataCellStyle="Normal"/>
    <tableColumn id="2" name="notes" dataDxfId="1476" totalsRowDxfId="1475" dataCellStyle="Normal"/>
    <tableColumn id="3" name="# PTO USED" totalsRowFunction="sum" dataDxfId="1474" totalsRowDxfId="1473" dataCellStyle="Normal"/>
    <tableColumn id="16" name="# PTO Holiday" totalsRowFunction="sum" dataDxfId="1472" totalsRowDxfId="1471"/>
    <tableColumn id="4" name="# HRS WORKED" totalsRowFunction="sum" dataDxfId="1470" totalsRowDxfId="1469" dataCellStyle="Normal"/>
    <tableColumn id="5" name="$ Hourly RATE" totalsRowFunction="sum" dataDxfId="1468" totalsRowDxfId="1467" dataCellStyle="Normal"/>
    <tableColumn id="6" name="$ Hourly WAGES" totalsRowFunction="sum" dataDxfId="1466" totalsRowDxfId="1465" dataCellStyle="Normal">
      <calculatedColumnFormula>IF(OR(ISBLANK(Jan_Period_1_Tbl[[#This Row],['# HRS WORKED]]),ISBLANK(Jan_Period_1_Tbl[[#This Row],[$ Hourly RATE]])),"",Jan_Period_1_Tbl[[#This Row],['# HRS WORKED]]*Jan_Period_1_Tbl[[#This Row],[$ Hourly RATE]])</calculatedColumnFormula>
    </tableColumn>
    <tableColumn id="7" name="$ SALARY" totalsRowFunction="sum" dataDxfId="1464" totalsRowDxfId="1463" dataCellStyle="Normal"/>
    <tableColumn id="8" name="$ SALARY PT" totalsRowFunction="sum" dataDxfId="1462" totalsRowDxfId="1461" dataCellStyle="Normal"/>
    <tableColumn id="9" name="$ FREE PT" totalsRowFunction="sum" dataDxfId="1460" totalsRowDxfId="1459" dataCellStyle="Normal"/>
    <tableColumn id="10" name="$ PAID PT" totalsRowFunction="sum" dataDxfId="1458" totalsRowDxfId="1457" dataCellStyle="Normal"/>
    <tableColumn id="11" name="$ PT COMM" totalsRowFunction="sum" dataDxfId="1456" totalsRowDxfId="1455" dataCellStyle="Normal"/>
    <tableColumn id="12" name="$ EFT COMM" totalsRowFunction="sum" dataDxfId="1454" totalsRowDxfId="1453" dataCellStyle="Normal"/>
    <tableColumn id="13" name="$ CLASS PAY" totalsRowFunction="sum" dataDxfId="1452" totalsRowDxfId="1451" dataCellStyle="Normal"/>
    <tableColumn id="14" name="$ BONUS PAY" totalsRowFunction="sum" dataDxfId="1450" totalsRowDxfId="1449" dataCellStyle="Normal"/>
    <tableColumn id="15" name="TOTAL PAY" totalsRowFunction="sum" dataDxfId="1448" totalsRowDxfId="1447">
      <calculatedColumnFormula>IF(Jan_Period_1_Tbl[[#This Row],[$ Hourly WAGES]]="",SUM(Jan_Period_1_Tbl[[#This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PAY]]),SUM(Jan_Period_1_Tbl[[#This Row],[$ Hourly WAGES]]+Jan_Period_1_Tbl[[#This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PAY]]))</calculatedColumnFormula>
    </tableColumn>
    <tableColumn id="17" name="Column1" dataDxfId="1446"/>
    <tableColumn id="18" name="# POINTS EARNED" totalsRowFunction="sum" dataDxfId="1445" totalsRowDxfId="1444"/>
    <tableColumn id="19" name="# POINTS USED" totalsRowFunction="sum" dataDxfId="1443" totalsRowDxfId="1442"/>
    <tableColumn id="20" name="# CLASSES LEAD" totalsRowFunction="sum" dataDxfId="1441" totalsRowDxfId="1440"/>
    <tableColumn id="21" name="# CLASSES SHOW" totalsRowFunction="sum" dataDxfId="1439" totalsRowDxfId="1438"/>
    <tableColumn id="22" name="Column12" dataDxfId="1437" totalsRowDxfId="1436"/>
    <tableColumn id="23" name="BR FITNESS, LLC" totalsRowLabel="TOTALS" dataDxfId="1435" totalsRowDxfId="1434">
      <calculatedColumnFormula>Jan_Period_1_Tbl[[#This Row],[STAFF:]]</calculatedColumnFormula>
    </tableColumn>
    <tableColumn id="24" name="$ REGULAR WAGES" totalsRowFunction="sum" dataDxfId="1433" totalsRowDxfId="1432">
      <calculatedColumnFormula>IF(Jan_Period_1_Tbl[[#This Row],[$ Hourly WAGES]]="",Jan_Period_1_Tbl[[#This Row],[$ SALARY]],Jan_Period_1_Tbl[[#This Row],[$ Hourly WAGES]]+Jan_Period_1_Tbl[[#This Row],[$ SALARY]])</calculatedColumnFormula>
    </tableColumn>
    <tableColumn id="25" name="$ PERSONAL TRAINING" totalsRowFunction="sum" dataDxfId="1431" totalsRowDxfId="1430">
      <calculatedColumnFormula>Jan_Period_1_Tbl[[#This Row],[$ FREE PT]]+Jan_Period_1_Tbl[[#This Row],[$ PAID PT]]</calculatedColumnFormula>
    </tableColumn>
    <tableColumn id="26" name="$ CLASSES" totalsRowFunction="sum" dataDxfId="1429" totalsRowDxfId="1428">
      <calculatedColumnFormula>Jan_Period_1_Tbl[[#This Row],[$ CLASS PAY]]</calculatedColumnFormula>
    </tableColumn>
    <tableColumn id="27" name="$ EFT COMMISSION" totalsRowFunction="sum" dataDxfId="1427" totalsRowDxfId="1426">
      <calculatedColumnFormula>Jan_Period_1_Tbl[[#This Row],[$ EFT COMM]]</calculatedColumnFormula>
    </tableColumn>
    <tableColumn id="28" name="$ PT COMMISSION" totalsRowFunction="sum" dataDxfId="1425" totalsRowDxfId="1424">
      <calculatedColumnFormula>Jan_Period_1_Tbl[[#This Row],[$ PT COMM]]</calculatedColumnFormula>
    </tableColumn>
    <tableColumn id="29" name="BONUS" totalsRowFunction="sum" dataDxfId="1423" totalsRowDxfId="1422">
      <calculatedColumnFormula>Jan_Period_1_Tbl[[#This Row],[$ BONUS PAY]]</calculatedColumnFormula>
    </tableColumn>
    <tableColumn id="30" name="TOTAL_x000a_PAY" totalsRowFunction="sum" dataDxfId="1421" totalsRowDxfId="1420">
      <calculatedColumnFormula>Jan_Period_1_Tbl[[#This Row],[TOTAL PAY]]</calculatedColumnFormula>
    </tableColumn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id="1" name="Jan_Period_2_Tbl" displayName="Jan_Period_2_Tbl" ref="A15:AD22" totalsRowCount="1" dataDxfId="1419">
  <tableColumns count="30">
    <tableColumn id="1" name="STAFF:" totalsRowLabel="Totals:" dataDxfId="1418" totalsRowDxfId="1417" dataCellStyle="Normal"/>
    <tableColumn id="2" name="notes" dataDxfId="1416" totalsRowDxfId="1415" dataCellStyle="Normal"/>
    <tableColumn id="3" name="# PTO USED" totalsRowFunction="sum" dataDxfId="1414" totalsRowDxfId="1413" dataCellStyle="Normal"/>
    <tableColumn id="16" name="# PTO Holiday" totalsRowFunction="sum" dataDxfId="1412" totalsRowDxfId="1411"/>
    <tableColumn id="4" name="# HRS WORKED" totalsRowFunction="sum" dataDxfId="1410" totalsRowDxfId="1409" dataCellStyle="Normal"/>
    <tableColumn id="5" name="$ Hourly RATE" totalsRowFunction="sum" dataDxfId="1408" totalsRowDxfId="1407" dataCellStyle="Normal"/>
    <tableColumn id="6" name="$ Hourly WAGES" totalsRowFunction="sum" dataDxfId="1406" totalsRowDxfId="1405" dataCellStyle="Normal">
      <calculatedColumnFormula>IF(OR(ISBLANK(Jan_Period_2_Tbl[[#This Row],['# HRS WORKED]]),ISBLANK(Jan_Period_2_Tbl[[#This Row],[$ Hourly RATE]])),"",Jan_Period_2_Tbl[[#This Row],['# HRS WORKED]]*Jan_Period_2_Tbl[[#This Row],[$ Hourly RATE]])</calculatedColumnFormula>
    </tableColumn>
    <tableColumn id="7" name="$ SALARY" totalsRowFunction="sum" dataDxfId="1404" totalsRowDxfId="1403" dataCellStyle="Normal"/>
    <tableColumn id="8" name="$ SALARY PT" totalsRowFunction="sum" dataDxfId="1402" totalsRowDxfId="1401" dataCellStyle="Normal"/>
    <tableColumn id="9" name="$ FREE PT" totalsRowFunction="sum" dataDxfId="1400" totalsRowDxfId="1399" dataCellStyle="Normal"/>
    <tableColumn id="10" name="$ PAID PT" totalsRowFunction="sum" dataDxfId="1398" totalsRowDxfId="1397" dataCellStyle="Normal"/>
    <tableColumn id="11" name="$ PT COMM" totalsRowFunction="sum" dataDxfId="1396" totalsRowDxfId="1395" dataCellStyle="Normal"/>
    <tableColumn id="12" name="$ EFT COMM" totalsRowFunction="sum" dataDxfId="1394" totalsRowDxfId="1393" dataCellStyle="Normal"/>
    <tableColumn id="13" name="$ CLASS PAY" totalsRowFunction="sum" dataDxfId="1392" totalsRowDxfId="1391" dataCellStyle="Normal"/>
    <tableColumn id="14" name="$ BONUS PAY" totalsRowFunction="sum" dataDxfId="1390" totalsRowDxfId="1389" dataCellStyle="Normal"/>
    <tableColumn id="15" name="TOTAL PAY" totalsRowFunction="sum" dataDxfId="1388" totalsRowDxfId="1387">
      <calculatedColumnFormula>IF(Jan_Period_2_Tbl[[#This Row],[$ Hourly WAGES]]="",SUM(Jan_Period_2_Tbl[[#This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PAY]]),SUM(Jan_Period_2_Tbl[[#This Row],[$ Hourly WAGES]]+Jan_Period_2_Tbl[[#This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PAY]]))</calculatedColumnFormula>
    </tableColumn>
    <tableColumn id="17" name="Column1" dataDxfId="1386" totalsRowDxfId="1385"/>
    <tableColumn id="18" name="# POINTS EARNED" totalsRowFunction="sum" dataDxfId="1384" totalsRowDxfId="1383"/>
    <tableColumn id="19" name="# POINTS USED" totalsRowFunction="sum" dataDxfId="1382" totalsRowDxfId="1381"/>
    <tableColumn id="20" name="# CLASSES LEAD" totalsRowFunction="sum" dataDxfId="1380" totalsRowDxfId="1379"/>
    <tableColumn id="21" name="# CLASSES SHOW" totalsRowFunction="sum" dataDxfId="1378" totalsRowDxfId="1377"/>
    <tableColumn id="22" name="Column12" dataDxfId="1376" totalsRowDxfId="1375"/>
    <tableColumn id="23" name="BR FITNESS, LLC" totalsRowLabel="TOTALS" dataDxfId="1374" totalsRowDxfId="1373">
      <calculatedColumnFormula>Jan_Period_2_Tbl[[#This Row],[STAFF:]]</calculatedColumnFormula>
    </tableColumn>
    <tableColumn id="24" name="$ REGULAR WAGES" totalsRowFunction="sum" dataDxfId="1372" totalsRowDxfId="1371">
      <calculatedColumnFormula>IF(Jan_Period_2_Tbl[[#This Row],[$ Hourly WAGES]]="",Jan_Period_2_Tbl[[#This Row],[$ SALARY]],Jan_Period_2_Tbl[[#This Row],[$ Hourly WAGES]]+Jan_Period_2_Tbl[[#This Row],[$ SALARY]])</calculatedColumnFormula>
    </tableColumn>
    <tableColumn id="25" name="$ PERSONAL TRAINING" totalsRowFunction="sum" dataDxfId="1370" totalsRowDxfId="1369">
      <calculatedColumnFormula>Jan_Period_2_Tbl[[#This Row],[$ FREE PT]]+Jan_Period_2_Tbl[[#This Row],[$ PAID PT]]</calculatedColumnFormula>
    </tableColumn>
    <tableColumn id="26" name="$ CLASSES" totalsRowFunction="sum" dataDxfId="1368" totalsRowDxfId="1367">
      <calculatedColumnFormula>Jan_Period_2_Tbl[[#This Row],[$ CLASS PAY]]</calculatedColumnFormula>
    </tableColumn>
    <tableColumn id="27" name="$ EFT COMMISSION" totalsRowFunction="sum" dataDxfId="1366" totalsRowDxfId="1365">
      <calculatedColumnFormula>Jan_Period_2_Tbl[[#This Row],[$ EFT COMM]]</calculatedColumnFormula>
    </tableColumn>
    <tableColumn id="28" name="$ PT COMMISSION" totalsRowFunction="sum" dataDxfId="1364" totalsRowDxfId="1363">
      <calculatedColumnFormula>Jan_Period_2_Tbl[[#This Row],[$ PT COMM]]</calculatedColumnFormula>
    </tableColumn>
    <tableColumn id="29" name="BONUS" totalsRowFunction="sum" dataDxfId="1362" totalsRowDxfId="1361">
      <calculatedColumnFormula>Jan_Period_2_Tbl[[#This Row],[$ BONUS PAY]]</calculatedColumnFormula>
    </tableColumn>
    <tableColumn id="30" name="TOTAL_x000a_PAY" totalsRowFunction="sum" dataDxfId="1360" totalsRowDxfId="1359">
      <calculatedColumnFormula>Jan_Period_2_Tbl[[#This Row],[TOTAL PAY]]</calculatedColumnFormula>
    </tableColumn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id="2" name="Feb_Period_1_Tbl" displayName="Feb_Period_1_Tbl" ref="A5:AD10" totalsRowCount="1" headerRowDxfId="1358" tableBorderDxfId="1357">
  <tableColumns count="30">
    <tableColumn id="1" name="STAFF:" totalsRowLabel="Totals:" dataDxfId="1356" totalsRowDxfId="58" dataCellStyle="Normal"/>
    <tableColumn id="2" name="notes" dataDxfId="1355" totalsRowDxfId="57" dataCellStyle="Normal"/>
    <tableColumn id="3" name="# PTO USED" totalsRowFunction="sum" dataDxfId="1354" totalsRowDxfId="56" dataCellStyle="Normal"/>
    <tableColumn id="16" name="# PTO Holiday" totalsRowFunction="sum" dataDxfId="1353" totalsRowDxfId="55"/>
    <tableColumn id="4" name="# HRS WORKED" totalsRowFunction="sum" dataDxfId="1352" totalsRowDxfId="54" dataCellStyle="Normal"/>
    <tableColumn id="5" name="$ Hourly RATE" totalsRowFunction="sum" dataDxfId="1351" totalsRowDxfId="53" dataCellStyle="Normal"/>
    <tableColumn id="6" name="$ Hourly WAGES" totalsRowFunction="sum" dataDxfId="1350" totalsRowDxfId="52" dataCellStyle="Normal">
      <calculatedColumnFormula>IF(OR(ISBLANK(Feb_Period_1_Tbl[[#This Row],['# HRS WORKED]]),ISBLANK(Feb_Period_1_Tbl[[#This Row],[$ Hourly RATE]])),"",Feb_Period_1_Tbl[[#This Row],['# HRS WORKED]]*Feb_Period_1_Tbl[[#This Row],[$ Hourly RATE]])</calculatedColumnFormula>
    </tableColumn>
    <tableColumn id="7" name="$ SALARY" totalsRowFunction="sum" dataDxfId="1349" totalsRowDxfId="51" dataCellStyle="Normal"/>
    <tableColumn id="8" name="$ SALARY PT" totalsRowFunction="sum" dataDxfId="1348" totalsRowDxfId="50" dataCellStyle="Normal"/>
    <tableColumn id="9" name="$ FREE PT" totalsRowFunction="sum" dataDxfId="1347" totalsRowDxfId="49" dataCellStyle="Normal"/>
    <tableColumn id="10" name="$ PAID PT" totalsRowFunction="sum" dataDxfId="1346" totalsRowDxfId="48" dataCellStyle="Normal"/>
    <tableColumn id="11" name="$ PT COMM" totalsRowFunction="sum" dataDxfId="1345" totalsRowDxfId="47" dataCellStyle="Normal"/>
    <tableColumn id="12" name="$ EFT COMM" totalsRowFunction="sum" dataDxfId="1344" totalsRowDxfId="46" dataCellStyle="Normal"/>
    <tableColumn id="13" name="$ CLASS PAY" totalsRowFunction="sum" dataDxfId="1343" totalsRowDxfId="45" dataCellStyle="Normal"/>
    <tableColumn id="14" name="$ BONUS PAY" totalsRowFunction="sum" dataDxfId="1342" totalsRowDxfId="44" dataCellStyle="Normal"/>
    <tableColumn id="15" name="TOTAL PAY" totalsRowFunction="sum" dataDxfId="1341" totalsRowDxfId="43">
      <calculatedColumnFormula>IF(Feb_Period_1_Tbl[[#This Row],[$ Hourly WAGES]]="",SUM(Feb_Period_1_Tbl[[#This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PAY]]),SUM(Feb_Period_1_Tbl[[#This Row],[$ Hourly WAGES]]+Feb_Period_1_Tbl[[#This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PAY]]))</calculatedColumnFormula>
    </tableColumn>
    <tableColumn id="17" name="Column1" dataDxfId="1340"/>
    <tableColumn id="18" name="# POINTS EARNED" totalsRowFunction="custom" dataDxfId="1339" totalsRowDxfId="42">
      <totalsRowFormula>SUBTOTAL(109,Dec_Period_1_Tbl['# POINTS EARNED])</totalsRowFormula>
    </tableColumn>
    <tableColumn id="19" name="# POINTS USED" totalsRowFunction="custom" dataDxfId="1338" totalsRowDxfId="41">
      <totalsRowFormula>SUBTOTAL(109,Dec_Period_1_Tbl['# POINTS USED])</totalsRowFormula>
    </tableColumn>
    <tableColumn id="20" name="# CLASSES LEAD" totalsRowFunction="custom" dataDxfId="1337" totalsRowDxfId="40">
      <totalsRowFormula>SUBTOTAL(109,Dec_Period_1_Tbl['# CLASSES LEAD])</totalsRowFormula>
    </tableColumn>
    <tableColumn id="21" name="# CLASSES SHOW" totalsRowFunction="custom" dataDxfId="1336" totalsRowDxfId="39">
      <totalsRowFormula>SUBTOTAL(109,Dec_Period_1_Tbl['# CLASSES SHOW])</totalsRowFormula>
    </tableColumn>
    <tableColumn id="22" name="Column12" dataDxfId="1335" totalsRowDxfId="38"/>
    <tableColumn id="23" name="BR FITNESS, LLC" totalsRowLabel="TOTALS" dataDxfId="1334" totalsRowDxfId="37">
      <calculatedColumnFormula>Feb_Period_1_Tbl[[#This Row],[STAFF:]]</calculatedColumnFormula>
    </tableColumn>
    <tableColumn id="24" name="$ REGULAR WAGES" totalsRowFunction="sum" dataDxfId="1333" totalsRowDxfId="36">
      <calculatedColumnFormula>IF(Feb_Period_1_Tbl[[#This Row],[$ Hourly WAGES]]="",Feb_Period_1_Tbl[[#This Row],[$ SALARY]],Feb_Period_1_Tbl[[#This Row],[$ Hourly WAGES]]+Feb_Period_1_Tbl[[#This Row],[$ SALARY]])</calculatedColumnFormula>
    </tableColumn>
    <tableColumn id="25" name="$ PERSONAL TRAINING" totalsRowFunction="sum" dataDxfId="1332" totalsRowDxfId="35">
      <calculatedColumnFormula>Feb_Period_1_Tbl[[#This Row],[$ FREE PT]]+Feb_Period_1_Tbl[[#This Row],[$ PAID PT]]</calculatedColumnFormula>
    </tableColumn>
    <tableColumn id="26" name="$ CLASSES" totalsRowFunction="sum" dataDxfId="1331" totalsRowDxfId="34">
      <calculatedColumnFormula>Feb_Period_1_Tbl[[#This Row],[$ CLASS PAY]]</calculatedColumnFormula>
    </tableColumn>
    <tableColumn id="27" name="$ EFT COMMISSION" totalsRowFunction="sum" dataDxfId="1330" totalsRowDxfId="33">
      <calculatedColumnFormula>Feb_Period_1_Tbl[[#This Row],[$ EFT COMM]]</calculatedColumnFormula>
    </tableColumn>
    <tableColumn id="28" name="$ PT COMMISSION" totalsRowFunction="sum" dataDxfId="1329" totalsRowDxfId="32">
      <calculatedColumnFormula>Feb_Period_1_Tbl[[#This Row],[$ PT COMM]]</calculatedColumnFormula>
    </tableColumn>
    <tableColumn id="29" name="BONUS" totalsRowFunction="sum" dataDxfId="1328" totalsRowDxfId="31">
      <calculatedColumnFormula>Feb_Period_1_Tbl[[#This Row],[$ BONUS PAY]]</calculatedColumnFormula>
    </tableColumn>
    <tableColumn id="30" name="TOTAL_x000a_PAY" totalsRowFunction="sum" dataDxfId="1327" totalsRowDxfId="30">
      <calculatedColumnFormula>Feb_Period_1_Tbl[[#This Row],[TOTAL PAY]]</calculatedColumnFormula>
    </tableColumn>
  </tableColumns>
  <tableStyleInfo name="TableStyleLight16" showFirstColumn="0" showLastColumn="0" showRowStripes="1" showColumnStripes="0"/>
</table>
</file>

<file path=xl/tables/table4.xml><?xml version="1.0" encoding="utf-8"?>
<table xmlns="http://schemas.openxmlformats.org/spreadsheetml/2006/main" id="3" name="Feb_Period_2_Tbl" displayName="Feb_Period_2_Tbl" ref="A14:AD19" totalsRowCount="1" headerRowDxfId="1326" tableBorderDxfId="1325">
  <tableColumns count="30">
    <tableColumn id="1" name="STAFF:" totalsRowLabel="Totals:" dataDxfId="1324" totalsRowDxfId="29" dataCellStyle="Normal"/>
    <tableColumn id="2" name="notes" dataDxfId="1323" totalsRowDxfId="28" dataCellStyle="Normal"/>
    <tableColumn id="3" name="# PTO USED" totalsRowFunction="sum" dataDxfId="1322" totalsRowDxfId="27" dataCellStyle="Normal"/>
    <tableColumn id="16" name="# PTO Holiday" totalsRowFunction="sum" dataDxfId="1321" totalsRowDxfId="26"/>
    <tableColumn id="4" name="# HRS WORKED" totalsRowFunction="sum" dataDxfId="1320" totalsRowDxfId="25" dataCellStyle="Normal"/>
    <tableColumn id="5" name="$ Hourly RATE" totalsRowFunction="sum" dataDxfId="1319" totalsRowDxfId="24" dataCellStyle="Normal"/>
    <tableColumn id="6" name="$ Hourly WAGES" totalsRowFunction="sum" dataDxfId="1318" totalsRowDxfId="23" dataCellStyle="Normal">
      <calculatedColumnFormula>IF(OR(ISBLANK(Feb_Period_2_Tbl[[#This Row],['# HRS WORKED]]),ISBLANK(Feb_Period_2_Tbl[[#This Row],[$ Hourly RATE]])),"",Feb_Period_2_Tbl[[#This Row],['# HRS WORKED]]*Feb_Period_2_Tbl[[#This Row],[$ Hourly RATE]])</calculatedColumnFormula>
    </tableColumn>
    <tableColumn id="7" name="$ SALARY" totalsRowFunction="sum" dataDxfId="1317" totalsRowDxfId="22" dataCellStyle="Normal"/>
    <tableColumn id="8" name="$ SALARY PT" totalsRowFunction="sum" dataDxfId="1316" totalsRowDxfId="21" dataCellStyle="Normal"/>
    <tableColumn id="9" name="$ FREE PT" totalsRowFunction="sum" dataDxfId="1315" totalsRowDxfId="20" dataCellStyle="Normal"/>
    <tableColumn id="10" name="$ PAID PT" totalsRowFunction="sum" dataDxfId="1314" totalsRowDxfId="19" dataCellStyle="Normal"/>
    <tableColumn id="11" name="$ PT COMM" totalsRowFunction="sum" dataDxfId="1313" totalsRowDxfId="18" dataCellStyle="Normal"/>
    <tableColumn id="12" name="$ EFT COMM" totalsRowFunction="sum" dataDxfId="1312" totalsRowDxfId="17" dataCellStyle="Normal"/>
    <tableColumn id="13" name="$ CLASS PAY" totalsRowFunction="sum" dataDxfId="1311" totalsRowDxfId="16" dataCellStyle="Normal"/>
    <tableColumn id="14" name="$ BONUS PAY" totalsRowFunction="sum" dataDxfId="1310" totalsRowDxfId="15" dataCellStyle="Normal"/>
    <tableColumn id="15" name="TOTAL PAY" totalsRowFunction="sum" dataDxfId="1309" totalsRowDxfId="14">
      <calculatedColumnFormula>IF(Feb_Period_2_Tbl[[#This Row],[$ Hourly WAGES]]="",SUM(Feb_Period_2_Tbl[[#This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PAY]]),SUM(Feb_Period_2_Tbl[[#This Row],[$ Hourly WAGES]]+Feb_Period_2_Tbl[[#This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PAY]]))</calculatedColumnFormula>
    </tableColumn>
    <tableColumn id="17" name="Column1" dataDxfId="1308" totalsRowDxfId="13"/>
    <tableColumn id="18" name="# POINTS EARNED" totalsRowFunction="custom" dataDxfId="1307" totalsRowDxfId="12">
      <totalsRowFormula>SUBTOTAL(109,Dec_Period_1_Tbl['# POINTS EARNED])</totalsRowFormula>
    </tableColumn>
    <tableColumn id="19" name="# POINTS USED" totalsRowFunction="custom" dataDxfId="1306" totalsRowDxfId="11">
      <totalsRowFormula>SUBTOTAL(109,Dec_Period_1_Tbl['# POINTS USED])</totalsRowFormula>
    </tableColumn>
    <tableColumn id="20" name="# CLASSES LEAD" totalsRowFunction="custom" dataDxfId="1305" totalsRowDxfId="10">
      <totalsRowFormula>SUBTOTAL(109,Dec_Period_1_Tbl['# CLASSES LEAD])</totalsRowFormula>
    </tableColumn>
    <tableColumn id="21" name="# CLASSES SHOW" totalsRowFunction="custom" dataDxfId="1304" totalsRowDxfId="9">
      <totalsRowFormula>SUBTOTAL(109,Dec_Period_1_Tbl['# CLASSES SHOW])</totalsRowFormula>
    </tableColumn>
    <tableColumn id="22" name="Column12" dataDxfId="1303" totalsRowDxfId="8"/>
    <tableColumn id="23" name="BR FITNESS, LLC" totalsRowLabel="TOTALS" dataDxfId="1302" totalsRowDxfId="7">
      <calculatedColumnFormula>Feb_Period_2_Tbl[[#This Row],[STAFF:]]</calculatedColumnFormula>
    </tableColumn>
    <tableColumn id="24" name="$ REGULAR WAGES" totalsRowFunction="sum" dataDxfId="1301" totalsRowDxfId="6">
      <calculatedColumnFormula>IF(Jan_Period_2_Tbl[[#This Row],[$ Hourly WAGES]]="",Jan_Period_2_Tbl[[#This Row],[$ SALARY]],Jan_Period_2_Tbl[[#This Row],[$ Hourly WAGES]]+Jan_Period_2_Tbl[[#This Row],[$ SALARY]])</calculatedColumnFormula>
    </tableColumn>
    <tableColumn id="25" name="$ PERSONAL TRAINING" totalsRowFunction="sum" dataDxfId="1300" totalsRowDxfId="5">
      <calculatedColumnFormula>Jan_Period_2_Tbl[[#This Row],[$ FREE PT]]+Jan_Period_2_Tbl[[#This Row],[$ PAID PT]]</calculatedColumnFormula>
    </tableColumn>
    <tableColumn id="26" name="$ CLASSES" totalsRowFunction="sum" dataDxfId="1299" totalsRowDxfId="4">
      <calculatedColumnFormula>Jan_Period_2_Tbl[[#This Row],[$ CLASS PAY]]</calculatedColumnFormula>
    </tableColumn>
    <tableColumn id="27" name="$ EFT COMMISSION" totalsRowFunction="sum" dataDxfId="1298" totalsRowDxfId="3">
      <calculatedColumnFormula>Jan_Period_2_Tbl[[#This Row],[$ EFT COMM]]</calculatedColumnFormula>
    </tableColumn>
    <tableColumn id="28" name="$ PT COMMISSION" totalsRowFunction="sum" dataDxfId="1297" totalsRowDxfId="2">
      <calculatedColumnFormula>Jan_Period_2_Tbl[[#This Row],[$ PT COMM]]</calculatedColumnFormula>
    </tableColumn>
    <tableColumn id="29" name="BONUS" totalsRowFunction="sum" dataDxfId="1296" totalsRowDxfId="1">
      <calculatedColumnFormula>Jan_Period_2_Tbl[[#This Row],[$ BONUS PAY]]</calculatedColumnFormula>
    </tableColumn>
    <tableColumn id="30" name="TOTAL_x000a_PAY" totalsRowFunction="sum" dataDxfId="1295" totalsRowDxfId="0">
      <calculatedColumnFormula>Jan_Period_2_Tbl[[#This Row],[TOTAL PAY]]</calculatedColumnFormula>
    </tableColumn>
  </tableColumns>
  <tableStyleInfo name="TableStyleLight16" showFirstColumn="0" showLastColumn="0" showRowStripes="1" showColumnStripes="0"/>
</table>
</file>

<file path=xl/tables/table5.xml><?xml version="1.0" encoding="utf-8"?>
<table xmlns="http://schemas.openxmlformats.org/spreadsheetml/2006/main" id="6" name="Mar_Period_2_Tbl" displayName="Mar_Period_2_Tbl" ref="A14:AD19" totalsRowCount="1" headerRowDxfId="1294" tableBorderDxfId="1293">
  <tableColumns count="30">
    <tableColumn id="1" name="STAFF:" totalsRowLabel="Totals:" dataDxfId="1292" totalsRowDxfId="1291" dataCellStyle="Normal"/>
    <tableColumn id="2" name="notes" dataDxfId="1290" totalsRowDxfId="1289" dataCellStyle="Normal"/>
    <tableColumn id="3" name="# PTO USED" totalsRowFunction="sum" dataDxfId="1288" totalsRowDxfId="1287" dataCellStyle="Normal"/>
    <tableColumn id="16" name="# PTO Holiday" totalsRowFunction="sum" dataDxfId="1286" totalsRowDxfId="1285"/>
    <tableColumn id="4" name="# HRS WORKED" totalsRowFunction="sum" dataDxfId="1284" totalsRowDxfId="1283" dataCellStyle="Normal"/>
    <tableColumn id="5" name="$ Hourly RATE" totalsRowFunction="sum" dataDxfId="1282" totalsRowDxfId="1281" dataCellStyle="Normal"/>
    <tableColumn id="6" name="$ Hourly WAGES" totalsRowFunction="sum" dataDxfId="1280" totalsRowDxfId="1279" dataCellStyle="Normal">
      <calculatedColumnFormula>IF(OR(ISBLANK(Mar_Period_2_Tbl[[#This Row],['# HRS WORKED]]),ISBLANK(Mar_Period_2_Tbl[[#This Row],[$ Hourly RATE]])),"",Mar_Period_2_Tbl[[#This Row],['# HRS WORKED]]*Mar_Period_2_Tbl[[#This Row],[$ Hourly RATE]])</calculatedColumnFormula>
    </tableColumn>
    <tableColumn id="7" name="$ SALARY" totalsRowFunction="sum" dataDxfId="1278" totalsRowDxfId="1277" dataCellStyle="Normal"/>
    <tableColumn id="8" name="$ SALARY PT" totalsRowFunction="sum" dataDxfId="1276" totalsRowDxfId="1275" dataCellStyle="Normal"/>
    <tableColumn id="9" name="$ FREE PT" totalsRowFunction="sum" dataDxfId="1274" totalsRowDxfId="1273" dataCellStyle="Normal"/>
    <tableColumn id="10" name="$ PAID PT" totalsRowFunction="sum" dataDxfId="1272" totalsRowDxfId="1271" dataCellStyle="Normal"/>
    <tableColumn id="11" name="$ PT COMM" totalsRowFunction="sum" dataDxfId="1270" totalsRowDxfId="1269" dataCellStyle="Normal"/>
    <tableColumn id="12" name="$ EFT COMM" totalsRowFunction="sum" dataDxfId="1268" totalsRowDxfId="1267" dataCellStyle="Normal"/>
    <tableColumn id="13" name="$ CLASS PAY" totalsRowFunction="sum" dataDxfId="1266" totalsRowDxfId="1265" dataCellStyle="Normal"/>
    <tableColumn id="14" name="$ BONUS PAY" totalsRowFunction="sum" dataDxfId="1264" totalsRowDxfId="1263" dataCellStyle="Normal"/>
    <tableColumn id="15" name="TOTAL PAY" totalsRowFunction="sum" dataDxfId="1262" totalsRowDxfId="1261">
      <calculatedColumnFormula>IF(Mar_Period_2_Tbl[[#This Row],[$ Hourly WAGES]]="",SUM(Mar_Period_2_Tbl[[#This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PAY]]),SUM(Mar_Period_2_Tbl[[#This Row],[$ Hourly WAGES]]+Mar_Period_2_Tbl[[#This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PAY]]))</calculatedColumnFormula>
    </tableColumn>
    <tableColumn id="17" name="Column1" dataDxfId="1260" totalsRowDxfId="1259"/>
    <tableColumn id="18" name="# POINTS EARNED" totalsRowFunction="custom" dataDxfId="1258" totalsRowDxfId="1257">
      <totalsRowFormula>SUBTOTAL(109,Dec_Period_1_Tbl['# POINTS EARNED])</totalsRowFormula>
    </tableColumn>
    <tableColumn id="19" name="# POINTS USED" totalsRowFunction="custom" dataDxfId="1256" totalsRowDxfId="1255">
      <totalsRowFormula>SUBTOTAL(109,Dec_Period_1_Tbl['# POINTS USED])</totalsRowFormula>
    </tableColumn>
    <tableColumn id="20" name="# CLASSES LEAD" totalsRowFunction="custom" dataDxfId="1254" totalsRowDxfId="1253">
      <totalsRowFormula>SUBTOTAL(109,Dec_Period_1_Tbl['# CLASSES LEAD])</totalsRowFormula>
    </tableColumn>
    <tableColumn id="21" name="# CLASSES SHOW" totalsRowFunction="custom" dataDxfId="1252" totalsRowDxfId="1251">
      <totalsRowFormula>SUBTOTAL(109,Dec_Period_1_Tbl['# CLASSES SHOW])</totalsRowFormula>
    </tableColumn>
    <tableColumn id="22" name="Column12" dataDxfId="1250" totalsRowDxfId="1249"/>
    <tableColumn id="23" name="BR FITNESS, LLC" totalsRowLabel="TOTALS" dataDxfId="1248" totalsRowDxfId="1247">
      <calculatedColumnFormula>Mar_Period_2_Tbl[[#This Row],[STAFF:]]</calculatedColumnFormula>
    </tableColumn>
    <tableColumn id="24" name="$ REGULAR WAGES" totalsRowFunction="sum" dataDxfId="1246" totalsRowDxfId="1245">
      <calculatedColumnFormula>IF(Mar_Period_2_Tbl[[#This Row],[$ Hourly WAGES]]="",Mar_Period_2_Tbl[[#This Row],[$ SALARY]],Mar_Period_2_Tbl[[#This Row],[$ Hourly WAGES]]+Mar_Period_2_Tbl[[#This Row],[$ SALARY]])</calculatedColumnFormula>
    </tableColumn>
    <tableColumn id="25" name="$ PERSONAL TRAINING" totalsRowFunction="sum" dataDxfId="1244" totalsRowDxfId="1243">
      <calculatedColumnFormula>Mar_Period_2_Tbl[[#This Row],[$ FREE PT]]+Mar_Period_2_Tbl[[#This Row],[$ PAID PT]]</calculatedColumnFormula>
    </tableColumn>
    <tableColumn id="26" name="$ CLASSES" totalsRowFunction="sum" dataDxfId="1242" totalsRowDxfId="1241">
      <calculatedColumnFormula>Mar_Period_2_Tbl[[#This Row],[$ CLASS PAY]]</calculatedColumnFormula>
    </tableColumn>
    <tableColumn id="27" name="$ EFT COMMISSION" totalsRowFunction="sum" dataDxfId="1240" totalsRowDxfId="1239">
      <calculatedColumnFormula>Mar_Period_2_Tbl[[#This Row],[$ EFT COMM]]</calculatedColumnFormula>
    </tableColumn>
    <tableColumn id="28" name="$ PT COMMISSION" totalsRowFunction="sum" dataDxfId="1238" totalsRowDxfId="1237">
      <calculatedColumnFormula>Mar_Period_2_Tbl[[#This Row],[$ PT COMM]]</calculatedColumnFormula>
    </tableColumn>
    <tableColumn id="29" name="BONUS" totalsRowFunction="sum" dataDxfId="1236" totalsRowDxfId="1235">
      <calculatedColumnFormula>Mar_Period_2_Tbl[[#This Row],[$ BONUS PAY]]</calculatedColumnFormula>
    </tableColumn>
    <tableColumn id="30" name="TOTAL_x000a_PAY" totalsRowFunction="sum" dataDxfId="1234" totalsRowDxfId="1233">
      <calculatedColumnFormula>Mar_Period_2_Tbl[[#This Row],[TOTAL PAY]]</calculatedColumnFormula>
    </tableColumn>
  </tableColumns>
  <tableStyleInfo name="TableStyleLight16" showFirstColumn="0" showLastColumn="0" showRowStripes="1" showColumnStripes="0"/>
</table>
</file>

<file path=xl/tables/table6.xml><?xml version="1.0" encoding="utf-8"?>
<table xmlns="http://schemas.openxmlformats.org/spreadsheetml/2006/main" id="5" name="Mar_Period_1_Tbl" displayName="Mar_Period_1_Tbl" ref="A5:AD10" totalsRowCount="1" headerRowDxfId="1232" tableBorderDxfId="1231">
  <tableColumns count="30">
    <tableColumn id="1" name="STAFF:" totalsRowLabel="Totals:" dataDxfId="1230" totalsRowDxfId="1229" dataCellStyle="Normal"/>
    <tableColumn id="2" name="notes" dataDxfId="1228" totalsRowDxfId="1227" dataCellStyle="Normal"/>
    <tableColumn id="3" name="# PTO USED" totalsRowFunction="sum" dataDxfId="1226" totalsRowDxfId="1225" dataCellStyle="Normal"/>
    <tableColumn id="16" name="# PTO Holiday" totalsRowFunction="sum" dataDxfId="1224" totalsRowDxfId="1223"/>
    <tableColumn id="4" name="# HRS WORKED" totalsRowFunction="sum" dataDxfId="1222" totalsRowDxfId="1221" dataCellStyle="Normal"/>
    <tableColumn id="5" name="$ Hourly RATE" totalsRowFunction="sum" dataDxfId="1220" totalsRowDxfId="1219" dataCellStyle="Normal"/>
    <tableColumn id="6" name="$ Hourly WAGES" totalsRowFunction="sum" dataDxfId="1218" totalsRowDxfId="1217" dataCellStyle="Normal">
      <calculatedColumnFormula>IF(OR(ISBLANK(Mar_Period_1_Tbl[[#This Row],['# HRS WORKED]]),ISBLANK(Mar_Period_1_Tbl[[#This Row],[$ Hourly RATE]])),"",Mar_Period_1_Tbl[[#This Row],['# HRS WORKED]]*Mar_Period_1_Tbl[[#This Row],[$ Hourly RATE]])</calculatedColumnFormula>
    </tableColumn>
    <tableColumn id="7" name="$ SALARY" totalsRowFunction="sum" dataDxfId="1216" totalsRowDxfId="1215" dataCellStyle="Normal"/>
    <tableColumn id="8" name="$ SALARY PT" totalsRowFunction="sum" dataDxfId="1214" totalsRowDxfId="1213" dataCellStyle="Normal"/>
    <tableColumn id="9" name="$ FREE PT" totalsRowFunction="sum" dataDxfId="1212" totalsRowDxfId="1211" dataCellStyle="Normal"/>
    <tableColumn id="10" name="$ PAID PT" totalsRowFunction="sum" dataDxfId="1210" totalsRowDxfId="1209" dataCellStyle="Normal"/>
    <tableColumn id="11" name="$ PT COMM" totalsRowFunction="sum" dataDxfId="1208" totalsRowDxfId="1207" dataCellStyle="Normal"/>
    <tableColumn id="12" name="$ EFT COMM" totalsRowFunction="sum" dataDxfId="1206" totalsRowDxfId="1205" dataCellStyle="Normal"/>
    <tableColumn id="13" name="$ CLASS PAY" totalsRowFunction="sum" dataDxfId="1204" totalsRowDxfId="1203" dataCellStyle="Normal"/>
    <tableColumn id="14" name="$ BONUS PAY" totalsRowFunction="sum" dataDxfId="1202" totalsRowDxfId="1201" dataCellStyle="Normal"/>
    <tableColumn id="15" name="TOTAL PAY" totalsRowFunction="sum" dataDxfId="1200" totalsRowDxfId="1199">
      <calculatedColumnFormula>IF(Mar_Period_1_Tbl[[#This Row],[$ Hourly WAGES]]="",SUM(Mar_Period_1_Tbl[[#This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PAY]]),SUM(Mar_Period_1_Tbl[[#This Row],[$ Hourly WAGES]]+Mar_Period_1_Tbl[[#This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PAY]]))</calculatedColumnFormula>
    </tableColumn>
    <tableColumn id="17" name="Column1" dataDxfId="1198"/>
    <tableColumn id="18" name="# POINTS EARNED" totalsRowFunction="custom" dataDxfId="1197" totalsRowDxfId="1196">
      <totalsRowFormula>SUBTOTAL(109,Dec_Period_1_Tbl['# POINTS EARNED])</totalsRowFormula>
    </tableColumn>
    <tableColumn id="19" name="# POINTS USED" totalsRowFunction="custom" dataDxfId="1195" totalsRowDxfId="1194">
      <totalsRowFormula>SUBTOTAL(109,Dec_Period_1_Tbl['# POINTS USED])</totalsRowFormula>
    </tableColumn>
    <tableColumn id="20" name="# CLASSES LEAD" totalsRowFunction="custom" dataDxfId="1193" totalsRowDxfId="1192">
      <totalsRowFormula>SUBTOTAL(109,Dec_Period_1_Tbl['# CLASSES LEAD])</totalsRowFormula>
    </tableColumn>
    <tableColumn id="21" name="# CLASSES SHOW" totalsRowFunction="custom" dataDxfId="1191" totalsRowDxfId="1190">
      <totalsRowFormula>SUBTOTAL(109,Dec_Period_1_Tbl['# CLASSES SHOW])</totalsRowFormula>
    </tableColumn>
    <tableColumn id="22" name="Column12" dataDxfId="1189" totalsRowDxfId="1188"/>
    <tableColumn id="23" name="BR FITNESS, LLC" totalsRowLabel="TOTALS" dataDxfId="1187" totalsRowDxfId="1186">
      <calculatedColumnFormula>Mar_Period_1_Tbl[[#This Row],[STAFF:]]</calculatedColumnFormula>
    </tableColumn>
    <tableColumn id="24" name="$ REGULAR WAGES" totalsRowFunction="sum" dataDxfId="1185" totalsRowDxfId="1184">
      <calculatedColumnFormula>IF(Mar_Period_1_Tbl[[#This Row],[$ Hourly WAGES]]="",Mar_Period_1_Tbl[[#This Row],[$ SALARY]],Mar_Period_1_Tbl[[#This Row],[$ Hourly WAGES]]+Mar_Period_1_Tbl[[#This Row],[$ SALARY]])</calculatedColumnFormula>
    </tableColumn>
    <tableColumn id="25" name="$ PERSONAL TRAINING" totalsRowFunction="sum" dataDxfId="1183" totalsRowDxfId="1182">
      <calculatedColumnFormula>Mar_Period_1_Tbl[[#This Row],[$ FREE PT]]+Mar_Period_1_Tbl[[#This Row],[$ PAID PT]]</calculatedColumnFormula>
    </tableColumn>
    <tableColumn id="26" name="$ CLASSES" totalsRowFunction="sum" dataDxfId="1181" totalsRowDxfId="1180">
      <calculatedColumnFormula>Mar_Period_1_Tbl[[#This Row],[$ CLASS PAY]]</calculatedColumnFormula>
    </tableColumn>
    <tableColumn id="27" name="$ EFT COMMISSION" totalsRowFunction="sum" dataDxfId="1179" totalsRowDxfId="1178">
      <calculatedColumnFormula>Mar_Period_1_Tbl[[#This Row],[$ EFT COMM]]</calculatedColumnFormula>
    </tableColumn>
    <tableColumn id="28" name="$ PT COMMISSION" totalsRowFunction="sum" dataDxfId="1177" totalsRowDxfId="1176">
      <calculatedColumnFormula>Mar_Period_1_Tbl[[#This Row],[$ PT COMM]]</calculatedColumnFormula>
    </tableColumn>
    <tableColumn id="29" name="BONUS" totalsRowFunction="sum" dataDxfId="1175" totalsRowDxfId="1174">
      <calculatedColumnFormula>Mar_Period_1_Tbl[[#This Row],[$ BONUS PAY]]</calculatedColumnFormula>
    </tableColumn>
    <tableColumn id="30" name="TOTAL_x000a_PAY" totalsRowFunction="sum" dataDxfId="1173" totalsRowDxfId="1172">
      <calculatedColumnFormula>Mar_Period_1_Tbl[[#This Row],[TOTAL PAY]]</calculatedColumnFormula>
    </tableColumn>
  </tableColumns>
  <tableStyleInfo name="TableStyleLight16" showFirstColumn="0" showLastColumn="0" showRowStripes="1" showColumnStripes="0"/>
</table>
</file>

<file path=xl/tables/table7.xml><?xml version="1.0" encoding="utf-8"?>
<table xmlns="http://schemas.openxmlformats.org/spreadsheetml/2006/main" id="7" name="Apr_Period_1_Tbl" displayName="Apr_Period_1_Tbl" ref="A5:AD10" totalsRowCount="1" headerRowDxfId="1171" tableBorderDxfId="1170">
  <tableColumns count="30">
    <tableColumn id="1" name="STAFF:" totalsRowLabel="Totals:" dataDxfId="1169" totalsRowDxfId="1168" dataCellStyle="Normal"/>
    <tableColumn id="2" name="notes" dataDxfId="1167" totalsRowDxfId="1166" dataCellStyle="Normal"/>
    <tableColumn id="3" name="# PTO USED" totalsRowFunction="sum" dataDxfId="1165" totalsRowDxfId="1164" dataCellStyle="Normal"/>
    <tableColumn id="16" name="# PTO Holiday" totalsRowFunction="sum" dataDxfId="1163" totalsRowDxfId="1162"/>
    <tableColumn id="4" name="# HRS WORKED" totalsRowFunction="sum" dataDxfId="1161" totalsRowDxfId="1160" dataCellStyle="Normal"/>
    <tableColumn id="5" name="$ Hourly RATE" totalsRowFunction="sum" dataDxfId="1159" totalsRowDxfId="1158" dataCellStyle="Normal"/>
    <tableColumn id="6" name="$ Hourly WAGES" totalsRowFunction="sum" dataDxfId="1157" totalsRowDxfId="1156" dataCellStyle="Normal">
      <calculatedColumnFormula>IF(OR(ISBLANK(Apr_Period_1_Tbl[[#This Row],['# HRS WORKED]]),ISBLANK(Apr_Period_1_Tbl[[#This Row],[$ Hourly RATE]])),"",Apr_Period_1_Tbl[[#This Row],['# HRS WORKED]]*Apr_Period_1_Tbl[[#This Row],[$ Hourly RATE]])</calculatedColumnFormula>
    </tableColumn>
    <tableColumn id="7" name="$ SALARY" totalsRowFunction="sum" dataDxfId="1155" totalsRowDxfId="1154" dataCellStyle="Normal"/>
    <tableColumn id="8" name="$ SALARY PT" totalsRowFunction="sum" dataDxfId="1153" totalsRowDxfId="1152" dataCellStyle="Normal"/>
    <tableColumn id="9" name="$ FREE PT" totalsRowFunction="sum" dataDxfId="1151" totalsRowDxfId="1150" dataCellStyle="Normal"/>
    <tableColumn id="10" name="$ PAID PT" totalsRowFunction="sum" dataDxfId="1149" totalsRowDxfId="1148" dataCellStyle="Normal"/>
    <tableColumn id="11" name="$ PT COMM" totalsRowFunction="sum" dataDxfId="1147" totalsRowDxfId="1146" dataCellStyle="Normal"/>
    <tableColumn id="12" name="$ EFT COMM" totalsRowFunction="sum" dataDxfId="1145" totalsRowDxfId="1144" dataCellStyle="Normal"/>
    <tableColumn id="13" name="$ CLASS PAY" totalsRowFunction="sum" dataDxfId="1143" totalsRowDxfId="1142" dataCellStyle="Normal"/>
    <tableColumn id="14" name="$ BONUS PAY" totalsRowFunction="sum" dataDxfId="1141" totalsRowDxfId="1140" dataCellStyle="Normal"/>
    <tableColumn id="15" name="TOTAL PAY" totalsRowFunction="sum" dataDxfId="1139" totalsRowDxfId="1138">
      <calculatedColumnFormula>IF(Apr_Period_1_Tbl[[#This Row],[$ Hourly WAGES]]="",SUM(Apr_Period_1_Tbl[[#This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PAY]]),SUM(Apr_Period_1_Tbl[[#This Row],[$ Hourly WAGES]]+Apr_Period_1_Tbl[[#This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PAY]]))</calculatedColumnFormula>
    </tableColumn>
    <tableColumn id="17" name="Column1" dataDxfId="1137"/>
    <tableColumn id="18" name="# POINTS EARNED" totalsRowFunction="custom" dataDxfId="1136" totalsRowDxfId="1135">
      <totalsRowFormula>SUBTOTAL(109,Dec_Period_1_Tbl['# POINTS EARNED])</totalsRowFormula>
    </tableColumn>
    <tableColumn id="19" name="# POINTS USED" totalsRowFunction="custom" dataDxfId="1134" totalsRowDxfId="1133">
      <totalsRowFormula>SUBTOTAL(109,Dec_Period_1_Tbl['# POINTS USED])</totalsRowFormula>
    </tableColumn>
    <tableColumn id="20" name="# CLASSES LEAD" totalsRowFunction="custom" dataDxfId="1132" totalsRowDxfId="1131">
      <totalsRowFormula>SUBTOTAL(109,Dec_Period_1_Tbl['# CLASSES LEAD])</totalsRowFormula>
    </tableColumn>
    <tableColumn id="21" name="# CLASSES SHOW" totalsRowFunction="custom" dataDxfId="1130" totalsRowDxfId="1129">
      <totalsRowFormula>SUBTOTAL(109,Dec_Period_1_Tbl['# CLASSES SHOW])</totalsRowFormula>
    </tableColumn>
    <tableColumn id="22" name="Column12" dataDxfId="1128" totalsRowDxfId="1127"/>
    <tableColumn id="23" name="BR FITNESS, LLC" totalsRowLabel="TOTALS" dataDxfId="1126" totalsRowDxfId="1125">
      <calculatedColumnFormula>Apr_Period_1_Tbl[[#This Row],[STAFF:]]</calculatedColumnFormula>
    </tableColumn>
    <tableColumn id="24" name="$ REGULAR WAGES" totalsRowFunction="sum" dataDxfId="1124" totalsRowDxfId="1123">
      <calculatedColumnFormula>IF(Apr_Period_1_Tbl[[#This Row],[$ Hourly WAGES]]="",Apr_Period_1_Tbl[[#This Row],[$ SALARY]],Apr_Period_1_Tbl[[#This Row],[$ Hourly WAGES]]+Apr_Period_1_Tbl[[#This Row],[$ SALARY]])</calculatedColumnFormula>
    </tableColumn>
    <tableColumn id="25" name="$ PERSONAL TRAINING" totalsRowFunction="sum" dataDxfId="1122" totalsRowDxfId="1121">
      <calculatedColumnFormula>Apr_Period_1_Tbl[[#This Row],[$ FREE PT]]+Apr_Period_1_Tbl[[#This Row],[$ PAID PT]]</calculatedColumnFormula>
    </tableColumn>
    <tableColumn id="26" name="$ CLASSES" totalsRowFunction="sum" dataDxfId="1120" totalsRowDxfId="1119">
      <calculatedColumnFormula>Apr_Period_1_Tbl[[#This Row],[$ CLASS PAY]]</calculatedColumnFormula>
    </tableColumn>
    <tableColumn id="27" name="$ EFT COMMISSION" totalsRowFunction="sum" dataDxfId="1118" totalsRowDxfId="1117">
      <calculatedColumnFormula>Apr_Period_1_Tbl[[#This Row],[$ EFT COMM]]</calculatedColumnFormula>
    </tableColumn>
    <tableColumn id="28" name="$ PT COMMISSION" totalsRowFunction="sum" dataDxfId="1116" totalsRowDxfId="1115">
      <calculatedColumnFormula>Apr_Period_1_Tbl[[#This Row],[$ PT COMM]]</calculatedColumnFormula>
    </tableColumn>
    <tableColumn id="29" name="BONUS" totalsRowFunction="sum" dataDxfId="1114" totalsRowDxfId="1113">
      <calculatedColumnFormula>Apr_Period_1_Tbl[[#This Row],[$ BONUS PAY]]</calculatedColumnFormula>
    </tableColumn>
    <tableColumn id="30" name="TOTAL_x000a_PAY" totalsRowFunction="sum" dataDxfId="1112" totalsRowDxfId="1111">
      <calculatedColumnFormula>Apr_Period_1_Tbl[[#This Row],[TOTAL PAY]]</calculatedColumnFormula>
    </tableColumn>
  </tableColumns>
  <tableStyleInfo name="TableStyleLight16" showFirstColumn="0" showLastColumn="0" showRowStripes="1" showColumnStripes="0"/>
</table>
</file>

<file path=xl/tables/table8.xml><?xml version="1.0" encoding="utf-8"?>
<table xmlns="http://schemas.openxmlformats.org/spreadsheetml/2006/main" id="8" name="Apr_Period_2_Tbl" displayName="Apr_Period_2_Tbl" ref="A14:AD19" totalsRowCount="1" headerRowDxfId="1110" tableBorderDxfId="1109">
  <tableColumns count="30">
    <tableColumn id="1" name="STAFF:" totalsRowLabel="Totals:" dataDxfId="1108" totalsRowDxfId="1107" dataCellStyle="Normal"/>
    <tableColumn id="2" name="notes" dataDxfId="1106" totalsRowDxfId="1105" dataCellStyle="Normal"/>
    <tableColumn id="3" name="# PTO USED" totalsRowFunction="sum" dataDxfId="1104" totalsRowDxfId="1103" dataCellStyle="Normal"/>
    <tableColumn id="16" name="# PTO Holiday" totalsRowFunction="sum" dataDxfId="1102" totalsRowDxfId="1101"/>
    <tableColumn id="4" name="# HRS WORKED" totalsRowFunction="sum" dataDxfId="1100" totalsRowDxfId="1099" dataCellStyle="Normal"/>
    <tableColumn id="5" name="$ Hourly RATE" totalsRowFunction="sum" dataDxfId="1098" totalsRowDxfId="1097" dataCellStyle="Normal"/>
    <tableColumn id="6" name="$ Hourly WAGES" totalsRowFunction="sum" dataDxfId="1096" totalsRowDxfId="1095" dataCellStyle="Normal">
      <calculatedColumnFormula>IF(OR(ISBLANK(Apr_Period_2_Tbl[[#This Row],['# HRS WORKED]]),ISBLANK(Apr_Period_2_Tbl[[#This Row],[$ Hourly RATE]])),"",Apr_Period_2_Tbl[[#This Row],['# HRS WORKED]]*Apr_Period_2_Tbl[[#This Row],[$ Hourly RATE]])</calculatedColumnFormula>
    </tableColumn>
    <tableColumn id="7" name="$ SALARY" totalsRowFunction="sum" dataDxfId="1094" totalsRowDxfId="1093" dataCellStyle="Normal"/>
    <tableColumn id="8" name="$ SALARY PT" totalsRowFunction="sum" dataDxfId="1092" totalsRowDxfId="1091" dataCellStyle="Normal"/>
    <tableColumn id="9" name="$ FREE PT" totalsRowFunction="sum" dataDxfId="1090" totalsRowDxfId="1089" dataCellStyle="Normal"/>
    <tableColumn id="10" name="$ PAID PT" totalsRowFunction="sum" dataDxfId="1088" totalsRowDxfId="1087" dataCellStyle="Normal"/>
    <tableColumn id="11" name="$ PT COMM" totalsRowFunction="sum" dataDxfId="1086" totalsRowDxfId="1085" dataCellStyle="Normal"/>
    <tableColumn id="12" name="$ EFT COMM" totalsRowFunction="sum" dataDxfId="1084" totalsRowDxfId="1083" dataCellStyle="Normal"/>
    <tableColumn id="13" name="$ CLASS PAY" totalsRowFunction="sum" dataDxfId="1082" totalsRowDxfId="1081" dataCellStyle="Normal"/>
    <tableColumn id="14" name="$ BONUS PAY" totalsRowFunction="sum" dataDxfId="1080" totalsRowDxfId="1079" dataCellStyle="Normal"/>
    <tableColumn id="15" name="TOTAL PAY" totalsRowFunction="sum" dataDxfId="1078" totalsRowDxfId="1077">
      <calculatedColumnFormula>IF(Apr_Period_2_Tbl[[#This Row],[$ Hourly WAGES]]="",SUM(Apr_Period_2_Tbl[[#This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PAY]]),SUM(Apr_Period_2_Tbl[[#This Row],[$ Hourly WAGES]]+Apr_Period_2_Tbl[[#This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PAY]]))</calculatedColumnFormula>
    </tableColumn>
    <tableColumn id="17" name="Column1" dataDxfId="1076" totalsRowDxfId="1075"/>
    <tableColumn id="18" name="# POINTS EARNED" totalsRowFunction="custom" dataDxfId="1074" totalsRowDxfId="1073">
      <totalsRowFormula>SUBTOTAL(109,Dec_Period_1_Tbl['# POINTS EARNED])</totalsRowFormula>
    </tableColumn>
    <tableColumn id="19" name="# POINTS USED" totalsRowFunction="custom" dataDxfId="1072" totalsRowDxfId="1071">
      <totalsRowFormula>SUBTOTAL(109,Dec_Period_1_Tbl['# POINTS USED])</totalsRowFormula>
    </tableColumn>
    <tableColumn id="20" name="# CLASSES LEAD" totalsRowFunction="custom" dataDxfId="1070" totalsRowDxfId="1069">
      <totalsRowFormula>SUBTOTAL(109,Dec_Period_1_Tbl['# CLASSES LEAD])</totalsRowFormula>
    </tableColumn>
    <tableColumn id="21" name="# CLASSES SHOW" totalsRowFunction="custom" dataDxfId="1068" totalsRowDxfId="1067">
      <totalsRowFormula>SUBTOTAL(109,Dec_Period_1_Tbl['# CLASSES SHOW])</totalsRowFormula>
    </tableColumn>
    <tableColumn id="22" name="Column12" dataDxfId="1066" totalsRowDxfId="1065"/>
    <tableColumn id="23" name="BR FITNESS, LLC" totalsRowLabel="TOTALS" dataDxfId="1064" totalsRowDxfId="1063">
      <calculatedColumnFormula>Apr_Period_2_Tbl[[#This Row],[STAFF:]]</calculatedColumnFormula>
    </tableColumn>
    <tableColumn id="24" name="$ REGULAR WAGES" totalsRowFunction="sum" dataDxfId="1062" totalsRowDxfId="1061">
      <calculatedColumnFormula>IF(Apr_Period_2_Tbl[[#This Row],[$ Hourly WAGES]]="",Apr_Period_2_Tbl[[#This Row],[$ SALARY]],Apr_Period_2_Tbl[[#This Row],[$ Hourly WAGES]]+Apr_Period_2_Tbl[[#This Row],[$ SALARY]])</calculatedColumnFormula>
    </tableColumn>
    <tableColumn id="25" name="$ PERSONAL TRAINING" totalsRowFunction="sum" dataDxfId="1060" totalsRowDxfId="1059">
      <calculatedColumnFormula>Apr_Period_2_Tbl[[#This Row],[$ FREE PT]]+Apr_Period_2_Tbl[[#This Row],[$ PAID PT]]</calculatedColumnFormula>
    </tableColumn>
    <tableColumn id="26" name="$ CLASSES" totalsRowFunction="sum" dataDxfId="1058" totalsRowDxfId="1057">
      <calculatedColumnFormula>Apr_Period_2_Tbl[[#This Row],[$ CLASS PAY]]</calculatedColumnFormula>
    </tableColumn>
    <tableColumn id="27" name="$ EFT COMMISSION" totalsRowFunction="sum" dataDxfId="1056" totalsRowDxfId="1055">
      <calculatedColumnFormula>Apr_Period_2_Tbl[[#This Row],[$ EFT COMM]]</calculatedColumnFormula>
    </tableColumn>
    <tableColumn id="28" name="$ PT COMMISSION" totalsRowFunction="sum" dataDxfId="1054" totalsRowDxfId="1053">
      <calculatedColumnFormula>Apr_Period_2_Tbl[[#This Row],[$ PT COMM]]</calculatedColumnFormula>
    </tableColumn>
    <tableColumn id="29" name="BONUS" totalsRowFunction="sum" dataDxfId="1052" totalsRowDxfId="1051">
      <calculatedColumnFormula>Apr_Period_2_Tbl[[#This Row],[$ BONUS PAY]]</calculatedColumnFormula>
    </tableColumn>
    <tableColumn id="30" name="TOTAL_x000a_PAY" totalsRowFunction="sum" dataDxfId="1050" totalsRowDxfId="1049">
      <calculatedColumnFormula>Apr_Period_2_Tbl[[#This Row],[TOTAL PAY]]</calculatedColumnFormula>
    </tableColumn>
  </tableColumns>
  <tableStyleInfo name="TableStyleLight16" showFirstColumn="0" showLastColumn="0" showRowStripes="1" showColumnStripes="0"/>
</table>
</file>

<file path=xl/tables/table9.xml><?xml version="1.0" encoding="utf-8"?>
<table xmlns="http://schemas.openxmlformats.org/spreadsheetml/2006/main" id="9" name="May_Period_1_Tbl" displayName="May_Period_1_Tbl" ref="A5:AD10" totalsRowCount="1" headerRowDxfId="1048" tableBorderDxfId="1047">
  <tableColumns count="30">
    <tableColumn id="1" name="STAFF:" totalsRowLabel="Totals:" dataDxfId="1046" totalsRowDxfId="1045" dataCellStyle="Normal"/>
    <tableColumn id="2" name="notes" dataDxfId="1044" totalsRowDxfId="1043" dataCellStyle="Normal"/>
    <tableColumn id="3" name="# PTO USED" totalsRowFunction="sum" dataDxfId="1042" totalsRowDxfId="1041" dataCellStyle="Normal"/>
    <tableColumn id="16" name="# PTO Holiday" totalsRowFunction="sum" dataDxfId="1040" totalsRowDxfId="1039"/>
    <tableColumn id="4" name="# HRS WORKED" totalsRowFunction="sum" dataDxfId="1038" totalsRowDxfId="1037" dataCellStyle="Normal"/>
    <tableColumn id="5" name="$ Hourly RATE" totalsRowFunction="sum" dataDxfId="1036" totalsRowDxfId="1035" dataCellStyle="Normal"/>
    <tableColumn id="6" name="$ Hourly WAGES" totalsRowFunction="sum" dataDxfId="1034" totalsRowDxfId="1033" dataCellStyle="Normal">
      <calculatedColumnFormula>IF(OR(ISBLANK(May_Period_1_Tbl[[#This Row],['# HRS WORKED]]),ISBLANK(May_Period_1_Tbl[[#This Row],[$ Hourly RATE]])),"",May_Period_1_Tbl[[#This Row],['# HRS WORKED]]*May_Period_1_Tbl[[#This Row],[$ Hourly RATE]])</calculatedColumnFormula>
    </tableColumn>
    <tableColumn id="7" name="$ SALARY" totalsRowFunction="sum" dataDxfId="1032" totalsRowDxfId="1031" dataCellStyle="Normal"/>
    <tableColumn id="8" name="$ SALARY PT" totalsRowFunction="sum" dataDxfId="1030" totalsRowDxfId="1029" dataCellStyle="Normal"/>
    <tableColumn id="9" name="$ FREE PT" totalsRowFunction="sum" dataDxfId="1028" totalsRowDxfId="1027" dataCellStyle="Normal"/>
    <tableColumn id="10" name="$ PAID PT" totalsRowFunction="sum" dataDxfId="1026" totalsRowDxfId="1025" dataCellStyle="Normal"/>
    <tableColumn id="11" name="$ PT COMM" totalsRowFunction="sum" dataDxfId="1024" totalsRowDxfId="1023" dataCellStyle="Normal"/>
    <tableColumn id="12" name="$ EFT COMM" totalsRowFunction="sum" dataDxfId="1022" totalsRowDxfId="1021" dataCellStyle="Normal"/>
    <tableColumn id="13" name="$ CLASS PAY" totalsRowFunction="sum" dataDxfId="1020" totalsRowDxfId="1019" dataCellStyle="Normal"/>
    <tableColumn id="14" name="$ BONUS PAY" totalsRowFunction="sum" dataDxfId="1018" totalsRowDxfId="1017" dataCellStyle="Normal"/>
    <tableColumn id="15" name="TOTAL PAY" totalsRowFunction="sum" dataDxfId="1016" totalsRowDxfId="1015">
      <calculatedColumnFormula>IF(May_Period_1_Tbl[[#This Row],[$ Hourly WAGES]]="",SUM(May_Period_1_Tbl[[#This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PAY]]),SUM(May_Period_1_Tbl[[#This Row],[$ Hourly WAGES]]+May_Period_1_Tbl[[#This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PAY]]))</calculatedColumnFormula>
    </tableColumn>
    <tableColumn id="17" name="Column1" dataDxfId="1014"/>
    <tableColumn id="18" name="# POINTS EARNED" totalsRowFunction="custom" dataDxfId="1013" totalsRowDxfId="1012">
      <totalsRowFormula>SUBTOTAL(109,Dec_Period_1_Tbl['# POINTS EARNED])</totalsRowFormula>
    </tableColumn>
    <tableColumn id="19" name="# POINTS USED" totalsRowFunction="custom" dataDxfId="1011" totalsRowDxfId="1010">
      <totalsRowFormula>SUBTOTAL(109,Dec_Period_1_Tbl['# POINTS USED])</totalsRowFormula>
    </tableColumn>
    <tableColumn id="20" name="# CLASSES LEAD" totalsRowFunction="custom" dataDxfId="1009" totalsRowDxfId="1008">
      <totalsRowFormula>SUBTOTAL(109,Dec_Period_1_Tbl['# CLASSES LEAD])</totalsRowFormula>
    </tableColumn>
    <tableColumn id="21" name="# CLASSES SHOW" totalsRowFunction="custom" dataDxfId="1007" totalsRowDxfId="1006">
      <totalsRowFormula>SUBTOTAL(109,Dec_Period_1_Tbl['# CLASSES SHOW])</totalsRowFormula>
    </tableColumn>
    <tableColumn id="22" name="Column12" dataDxfId="1005" totalsRowDxfId="1004"/>
    <tableColumn id="23" name="BR FITNESS, LLC" totalsRowLabel="TOTALS" dataDxfId="1003" totalsRowDxfId="1002">
      <calculatedColumnFormula>May_Period_1_Tbl[[#This Row],[STAFF:]]</calculatedColumnFormula>
    </tableColumn>
    <tableColumn id="24" name="$ REGULAR WAGES" totalsRowFunction="sum" dataDxfId="1001" totalsRowDxfId="1000">
      <calculatedColumnFormula>IF(May_Period_1_Tbl[[#This Row],[$ Hourly WAGES]]="",May_Period_1_Tbl[[#This Row],[$ SALARY]],May_Period_1_Tbl[[#This Row],[$ Hourly WAGES]]+May_Period_1_Tbl[[#This Row],[$ SALARY]])</calculatedColumnFormula>
    </tableColumn>
    <tableColumn id="25" name="$ PERSONAL TRAINING" totalsRowFunction="sum" dataDxfId="999" totalsRowDxfId="998">
      <calculatedColumnFormula>May_Period_1_Tbl[[#This Row],[$ FREE PT]]+May_Period_1_Tbl[[#This Row],[$ PAID PT]]</calculatedColumnFormula>
    </tableColumn>
    <tableColumn id="26" name="$ CLASSES" totalsRowFunction="sum" dataDxfId="997" totalsRowDxfId="996">
      <calculatedColumnFormula>May_Period_1_Tbl[[#This Row],[$ CLASS PAY]]</calculatedColumnFormula>
    </tableColumn>
    <tableColumn id="27" name="$ EFT COMMISSION" totalsRowFunction="sum" dataDxfId="995" totalsRowDxfId="994">
      <calculatedColumnFormula>May_Period_1_Tbl[[#This Row],[$ EFT COMM]]</calculatedColumnFormula>
    </tableColumn>
    <tableColumn id="28" name="$ PT COMMISSION" totalsRowFunction="sum" dataDxfId="993" totalsRowDxfId="992">
      <calculatedColumnFormula>May_Period_1_Tbl[[#This Row],[$ PT COMM]]</calculatedColumnFormula>
    </tableColumn>
    <tableColumn id="29" name="BONUS" totalsRowFunction="sum" dataDxfId="991" totalsRowDxfId="990">
      <calculatedColumnFormula>May_Period_1_Tbl[[#This Row],[$ BONUS PAY]]</calculatedColumnFormula>
    </tableColumn>
    <tableColumn id="30" name="TOTAL_x000a_PAY" totalsRowFunction="sum" dataDxfId="989" totalsRowDxfId="988">
      <calculatedColumnFormula>May_Period_1_Tbl[[#This Row],[TOTAL PAY]]</calculatedColumnFormula>
    </tableColumn>
  </tableColumns>
  <tableStyleInfo name="TableStyleLight16" showFirstColumn="0" showLastColumn="0" showRowStripes="1" showColumnStripes="0"/>
</table>
</file>

<file path=xl/tables/table10.xml><?xml version="1.0" encoding="utf-8"?>
<table xmlns="http://schemas.openxmlformats.org/spreadsheetml/2006/main" id="10" name="May_Period_2_Tbl" displayName="May_Period_2_Tbl" ref="A14:AD19" totalsRowCount="1" headerRowDxfId="987" tableBorderDxfId="986">
  <tableColumns count="30">
    <tableColumn id="1" name="STAFF:" totalsRowLabel="Totals:" dataDxfId="985" totalsRowDxfId="984" dataCellStyle="Normal"/>
    <tableColumn id="2" name="notes" dataDxfId="983" totalsRowDxfId="982" dataCellStyle="Normal"/>
    <tableColumn id="3" name="# PTO USED" totalsRowFunction="sum" dataDxfId="981" totalsRowDxfId="980" dataCellStyle="Normal"/>
    <tableColumn id="16" name="# PTO Holiday" totalsRowFunction="sum" dataDxfId="979" totalsRowDxfId="978"/>
    <tableColumn id="4" name="# HRS WORKED" totalsRowFunction="sum" dataDxfId="977" totalsRowDxfId="976" dataCellStyle="Normal"/>
    <tableColumn id="5" name="$ Hourly RATE" totalsRowFunction="sum" dataDxfId="975" totalsRowDxfId="974" dataCellStyle="Normal"/>
    <tableColumn id="6" name="$ Hourly WAGES" totalsRowFunction="sum" dataDxfId="973" totalsRowDxfId="972" dataCellStyle="Normal">
      <calculatedColumnFormula>IF(OR(ISBLANK(May_Period_2_Tbl[[#This Row],['# HRS WORKED]]),ISBLANK(May_Period_2_Tbl[[#This Row],[$ Hourly RATE]])),"",May_Period_2_Tbl[[#This Row],['# HRS WORKED]]*May_Period_2_Tbl[[#This Row],[$ Hourly RATE]])</calculatedColumnFormula>
    </tableColumn>
    <tableColumn id="7" name="$ SALARY" totalsRowFunction="sum" dataDxfId="971" totalsRowDxfId="970" dataCellStyle="Normal"/>
    <tableColumn id="8" name="$ SALARY PT" totalsRowFunction="sum" dataDxfId="969" totalsRowDxfId="968" dataCellStyle="Normal"/>
    <tableColumn id="9" name="$ FREE PT" totalsRowFunction="sum" dataDxfId="967" totalsRowDxfId="966" dataCellStyle="Normal"/>
    <tableColumn id="10" name="$ PAID PT" totalsRowFunction="sum" dataDxfId="965" totalsRowDxfId="964" dataCellStyle="Normal"/>
    <tableColumn id="11" name="$ PT COMM" totalsRowFunction="sum" dataDxfId="963" totalsRowDxfId="962" dataCellStyle="Normal"/>
    <tableColumn id="12" name="$ EFT COMM" totalsRowFunction="sum" dataDxfId="961" totalsRowDxfId="960" dataCellStyle="Normal"/>
    <tableColumn id="13" name="$ CLASS PAY" totalsRowFunction="sum" dataDxfId="959" totalsRowDxfId="958" dataCellStyle="Normal"/>
    <tableColumn id="14" name="$ BONUS PAY" totalsRowFunction="sum" dataDxfId="957" totalsRowDxfId="956" dataCellStyle="Normal"/>
    <tableColumn id="15" name="TOTAL PAY" totalsRowFunction="sum" dataDxfId="955" totalsRowDxfId="954">
      <calculatedColumnFormula>IF(May_Period_2_Tbl[[#This Row],[$ Hourly WAGES]]="",SUM(May_Period_2_Tbl[[#This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PAY]]),SUM(May_Period_2_Tbl[[#This Row],[$ Hourly WAGES]]+May_Period_2_Tbl[[#This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PAY]]))</calculatedColumnFormula>
    </tableColumn>
    <tableColumn id="17" name="Column1" dataDxfId="953" totalsRowDxfId="952"/>
    <tableColumn id="18" name="# POINTS EARNED" totalsRowFunction="custom" dataDxfId="951" totalsRowDxfId="950">
      <totalsRowFormula>SUBTOTAL(109,Dec_Period_1_Tbl['# POINTS EARNED])</totalsRowFormula>
    </tableColumn>
    <tableColumn id="19" name="# POINTS USED" totalsRowFunction="custom" dataDxfId="949" totalsRowDxfId="948">
      <totalsRowFormula>SUBTOTAL(109,Dec_Period_1_Tbl['# POINTS USED])</totalsRowFormula>
    </tableColumn>
    <tableColumn id="20" name="# CLASSES LEAD" totalsRowFunction="custom" dataDxfId="947" totalsRowDxfId="946">
      <totalsRowFormula>SUBTOTAL(109,Dec_Period_1_Tbl['# CLASSES LEAD])</totalsRowFormula>
    </tableColumn>
    <tableColumn id="21" name="# CLASSES SHOW" totalsRowFunction="custom" dataDxfId="945" totalsRowDxfId="944">
      <totalsRowFormula>SUBTOTAL(109,Dec_Period_1_Tbl['# CLASSES SHOW])</totalsRowFormula>
    </tableColumn>
    <tableColumn id="22" name="Column12" dataDxfId="943" totalsRowDxfId="942"/>
    <tableColumn id="23" name="BR FITNESS, LLC" totalsRowLabel="TOTALS" dataDxfId="941" totalsRowDxfId="940">
      <calculatedColumnFormula>May_Period_2_Tbl[[#This Row],[STAFF:]]</calculatedColumnFormula>
    </tableColumn>
    <tableColumn id="24" name="$ REGULAR WAGES" totalsRowFunction="sum" dataDxfId="939" totalsRowDxfId="938">
      <calculatedColumnFormula>IF(May_Period_2_Tbl[[#This Row],[$ Hourly WAGES]]="",May_Period_2_Tbl[[#This Row],[$ SALARY]],May_Period_2_Tbl[[#This Row],[$ Hourly WAGES]]+May_Period_2_Tbl[[#This Row],[$ SALARY]])</calculatedColumnFormula>
    </tableColumn>
    <tableColumn id="25" name="$ PERSONAL TRAINING" totalsRowFunction="sum" dataDxfId="937" totalsRowDxfId="936">
      <calculatedColumnFormula>May_Period_2_Tbl[[#This Row],[$ FREE PT]]+May_Period_2_Tbl[[#This Row],[$ PAID PT]]</calculatedColumnFormula>
    </tableColumn>
    <tableColumn id="26" name="$ CLASSES" totalsRowFunction="sum" dataDxfId="935" totalsRowDxfId="934">
      <calculatedColumnFormula>May_Period_2_Tbl[[#This Row],[$ CLASS PAY]]</calculatedColumnFormula>
    </tableColumn>
    <tableColumn id="27" name="$ EFT COMMISSION" totalsRowFunction="sum" dataDxfId="933" totalsRowDxfId="932">
      <calculatedColumnFormula>May_Period_2_Tbl[[#This Row],[$ EFT COMM]]</calculatedColumnFormula>
    </tableColumn>
    <tableColumn id="28" name="$ PT COMMISSION" totalsRowFunction="sum" dataDxfId="931" totalsRowDxfId="930">
      <calculatedColumnFormula>May_Period_2_Tbl[[#This Row],[$ PT COMM]]</calculatedColumnFormula>
    </tableColumn>
    <tableColumn id="29" name="BONUS" totalsRowFunction="sum" dataDxfId="929" totalsRowDxfId="928">
      <calculatedColumnFormula>May_Period_2_Tbl[[#This Row],[$ BONUS PAY]]</calculatedColumnFormula>
    </tableColumn>
    <tableColumn id="30" name="TOTAL_x000a_PAY" totalsRowFunction="sum" dataDxfId="927" totalsRowDxfId="926">
      <calculatedColumnFormula>May_Period_2_Tbl[[#This Row],[TOTAL PAY]]</calculatedColumnFormula>
    </tableColumn>
  </tableColumns>
  <tableStyleInfo name="TableStyleLight16" showFirstColumn="0" showLastColumn="0" showRowStripes="1" showColumnStripes="0"/>
</table>
</file>

<file path=xl/tables/table11.xml><?xml version="1.0" encoding="utf-8"?>
<table xmlns="http://schemas.openxmlformats.org/spreadsheetml/2006/main" id="11" name="Jun_Period_1_Tbl" displayName="Jun_Period_1_Tbl" ref="A5:AD10" totalsRowCount="1" headerRowDxfId="925" tableBorderDxfId="924">
  <tableColumns count="30">
    <tableColumn id="1" name="STAFF:" totalsRowLabel="Totals:" dataDxfId="923" totalsRowDxfId="922" dataCellStyle="Normal"/>
    <tableColumn id="2" name="notes" dataDxfId="921" totalsRowDxfId="920" dataCellStyle="Normal"/>
    <tableColumn id="3" name="# PTO USED" totalsRowFunction="sum" dataDxfId="919" totalsRowDxfId="918" dataCellStyle="Normal"/>
    <tableColumn id="16" name="# PTO Holiday" totalsRowFunction="sum" dataDxfId="917" totalsRowDxfId="916"/>
    <tableColumn id="4" name="# HRS WORKED" totalsRowFunction="sum" dataDxfId="915" totalsRowDxfId="914" dataCellStyle="Normal"/>
    <tableColumn id="5" name="$ Hourly RATE" totalsRowFunction="sum" dataDxfId="913" totalsRowDxfId="912" dataCellStyle="Normal"/>
    <tableColumn id="6" name="$ Hourly WAGES" totalsRowFunction="sum" dataDxfId="911" totalsRowDxfId="910" dataCellStyle="Normal">
      <calculatedColumnFormula>IF(OR(ISBLANK(Jun_Period_1_Tbl[[#This Row],['# HRS WORKED]]),ISBLANK(Jun_Period_1_Tbl[[#This Row],[$ Hourly RATE]])),"",Jun_Period_1_Tbl[[#This Row],['# HRS WORKED]]*Jun_Period_1_Tbl[[#This Row],[$ Hourly RATE]])</calculatedColumnFormula>
    </tableColumn>
    <tableColumn id="7" name="$ SALARY" totalsRowFunction="sum" dataDxfId="909" totalsRowDxfId="908" dataCellStyle="Normal"/>
    <tableColumn id="8" name="$ SALARY PT" totalsRowFunction="sum" dataDxfId="907" totalsRowDxfId="906" dataCellStyle="Normal"/>
    <tableColumn id="9" name="$ FREE PT" totalsRowFunction="sum" dataDxfId="905" totalsRowDxfId="904" dataCellStyle="Normal"/>
    <tableColumn id="10" name="$ PAID PT" totalsRowFunction="sum" dataDxfId="903" totalsRowDxfId="902" dataCellStyle="Normal"/>
    <tableColumn id="11" name="$ PT COMM" totalsRowFunction="sum" dataDxfId="901" totalsRowDxfId="900" dataCellStyle="Normal"/>
    <tableColumn id="12" name="$ EFT COMM" totalsRowFunction="sum" dataDxfId="899" totalsRowDxfId="898" dataCellStyle="Normal"/>
    <tableColumn id="13" name="$ CLASS PAY" totalsRowFunction="sum" dataDxfId="897" totalsRowDxfId="896" dataCellStyle="Normal"/>
    <tableColumn id="14" name="$ BONUS PAY" totalsRowFunction="sum" dataDxfId="895" totalsRowDxfId="894" dataCellStyle="Normal"/>
    <tableColumn id="15" name="TOTAL PAY" totalsRowFunction="sum" dataDxfId="893" totalsRowDxfId="892">
      <calculatedColumnFormula>IF(Jun_Period_1_Tbl[[#This Row],[$ Hourly WAGES]]="",SUM(Jun_Period_1_Tbl[[#This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PAY]]),SUM(Jun_Period_1_Tbl[[#This Row],[$ Hourly WAGES]]+Jun_Period_1_Tbl[[#This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PAY]]))</calculatedColumnFormula>
    </tableColumn>
    <tableColumn id="17" name="Column1" dataDxfId="891"/>
    <tableColumn id="18" name="# POINTS EARNED" totalsRowFunction="custom" dataDxfId="890" totalsRowDxfId="889">
      <totalsRowFormula>SUBTOTAL(109,Dec_Period_1_Tbl['# POINTS EARNED])</totalsRowFormula>
    </tableColumn>
    <tableColumn id="19" name="# POINTS USED" totalsRowFunction="custom" dataDxfId="888" totalsRowDxfId="887">
      <totalsRowFormula>SUBTOTAL(109,Dec_Period_1_Tbl['# POINTS USED])</totalsRowFormula>
    </tableColumn>
    <tableColumn id="20" name="# CLASSES LEAD" totalsRowFunction="custom" dataDxfId="886" totalsRowDxfId="885">
      <totalsRowFormula>SUBTOTAL(109,Dec_Period_1_Tbl['# CLASSES LEAD])</totalsRowFormula>
    </tableColumn>
    <tableColumn id="21" name="# CLASSES SHOW" totalsRowFunction="custom" dataDxfId="884" totalsRowDxfId="883">
      <totalsRowFormula>SUBTOTAL(109,Dec_Period_1_Tbl['# CLASSES SHOW])</totalsRowFormula>
    </tableColumn>
    <tableColumn id="22" name="Column12" dataDxfId="882" totalsRowDxfId="881"/>
    <tableColumn id="23" name="BR FITNESS, LLC" totalsRowLabel="TOTALS" dataDxfId="880" totalsRowDxfId="879">
      <calculatedColumnFormula>Jun_Period_1_Tbl[[#This Row],[STAFF:]]</calculatedColumnFormula>
    </tableColumn>
    <tableColumn id="24" name="$ REGULAR WAGES" totalsRowFunction="sum" dataDxfId="878" totalsRowDxfId="877">
      <calculatedColumnFormula>IF(Jun_Period_1_Tbl[[#This Row],[$ Hourly WAGES]]="",Jun_Period_1_Tbl[[#This Row],[$ SALARY]],Jun_Period_1_Tbl[[#This Row],[$ Hourly WAGES]]+Jun_Period_1_Tbl[[#This Row],[$ SALARY]])</calculatedColumnFormula>
    </tableColumn>
    <tableColumn id="25" name="$ PERSONAL TRAINING" totalsRowFunction="sum" dataDxfId="876" totalsRowDxfId="875">
      <calculatedColumnFormula>Jun_Period_1_Tbl[[#This Row],[$ FREE PT]]+Jun_Period_1_Tbl[[#This Row],[$ PAID PT]]</calculatedColumnFormula>
    </tableColumn>
    <tableColumn id="26" name="$ CLASSES" totalsRowFunction="sum" dataDxfId="874" totalsRowDxfId="873">
      <calculatedColumnFormula>Jun_Period_1_Tbl[[#This Row],[$ CLASS PAY]]</calculatedColumnFormula>
    </tableColumn>
    <tableColumn id="27" name="$ EFT COMMISSION" totalsRowFunction="sum" dataDxfId="872" totalsRowDxfId="871">
      <calculatedColumnFormula>Jun_Period_1_Tbl[[#This Row],[$ EFT COMM]]</calculatedColumnFormula>
    </tableColumn>
    <tableColumn id="28" name="$ PT COMMISSION" totalsRowFunction="sum" dataDxfId="870" totalsRowDxfId="869">
      <calculatedColumnFormula>Jun_Period_1_Tbl[[#This Row],[$ PT COMM]]</calculatedColumnFormula>
    </tableColumn>
    <tableColumn id="29" name="BONUS" totalsRowFunction="sum" dataDxfId="868" totalsRowDxfId="867">
      <calculatedColumnFormula>Jun_Period_1_Tbl[[#This Row],[$ BONUS PAY]]</calculatedColumnFormula>
    </tableColumn>
    <tableColumn id="30" name="TOTAL_x000a_PAY" totalsRowFunction="sum" dataDxfId="866" totalsRowDxfId="865">
      <calculatedColumnFormula>Jun_Period_1_Tbl[[#This Row],[TOTAL PAY]]</calculatedColumnFormula>
    </tableColumn>
  </tableColumns>
  <tableStyleInfo name="TableStyleLight16" showFirstColumn="0" showLastColumn="0" showRowStripes="1" showColumnStripes="0"/>
</table>
</file>

<file path=xl/tables/table12.xml><?xml version="1.0" encoding="utf-8"?>
<table xmlns="http://schemas.openxmlformats.org/spreadsheetml/2006/main" id="12" name="Jun_Period_2_Tbl" displayName="Jun_Period_2_Tbl" ref="A14:AD19" totalsRowCount="1" headerRowDxfId="864" tableBorderDxfId="863">
  <tableColumns count="30">
    <tableColumn id="1" name="STAFF:" totalsRowLabel="Totals:" dataDxfId="862" totalsRowDxfId="861" dataCellStyle="Normal"/>
    <tableColumn id="2" name="notes" dataDxfId="860" totalsRowDxfId="859" dataCellStyle="Normal"/>
    <tableColumn id="3" name="# PTO USED" totalsRowFunction="sum" dataDxfId="858" totalsRowDxfId="857" dataCellStyle="Normal"/>
    <tableColumn id="16" name="# PTO Holiday" totalsRowFunction="sum" dataDxfId="856" totalsRowDxfId="855"/>
    <tableColumn id="4" name="# HRS WORKED" totalsRowFunction="sum" dataDxfId="854" totalsRowDxfId="853" dataCellStyle="Normal"/>
    <tableColumn id="5" name="$ Hourly RATE" totalsRowFunction="sum" dataDxfId="852" totalsRowDxfId="851" dataCellStyle="Normal"/>
    <tableColumn id="6" name="$ Hourly WAGES" totalsRowFunction="sum" dataDxfId="850" totalsRowDxfId="849" dataCellStyle="Normal">
      <calculatedColumnFormula>IF(OR(ISBLANK(Jun_Period_2_Tbl[[#This Row],['# HRS WORKED]]),ISBLANK(Jun_Period_2_Tbl[[#This Row],[$ Hourly RATE]])),"",Jun_Period_2_Tbl[[#This Row],['# HRS WORKED]]*Jun_Period_2_Tbl[[#This Row],[$ Hourly RATE]])</calculatedColumnFormula>
    </tableColumn>
    <tableColumn id="7" name="$ SALARY" totalsRowFunction="sum" dataDxfId="848" totalsRowDxfId="847" dataCellStyle="Normal"/>
    <tableColumn id="8" name="$ SALARY PT" totalsRowFunction="sum" dataDxfId="846" totalsRowDxfId="845" dataCellStyle="Normal"/>
    <tableColumn id="9" name="$ FREE PT" totalsRowFunction="sum" dataDxfId="844" totalsRowDxfId="843" dataCellStyle="Normal"/>
    <tableColumn id="10" name="$ PAID PT" totalsRowFunction="sum" dataDxfId="842" totalsRowDxfId="841" dataCellStyle="Normal"/>
    <tableColumn id="11" name="$ PT COMM" totalsRowFunction="sum" dataDxfId="840" totalsRowDxfId="839" dataCellStyle="Normal"/>
    <tableColumn id="12" name="$ EFT COMM" totalsRowFunction="sum" dataDxfId="838" totalsRowDxfId="837" dataCellStyle="Normal"/>
    <tableColumn id="13" name="$ CLASS PAY" totalsRowFunction="sum" dataDxfId="836" totalsRowDxfId="835" dataCellStyle="Normal"/>
    <tableColumn id="14" name="$ BONUS PAY" totalsRowFunction="sum" dataDxfId="834" totalsRowDxfId="833" dataCellStyle="Normal"/>
    <tableColumn id="15" name="TOTAL PAY" totalsRowFunction="sum" dataDxfId="832" totalsRowDxfId="831">
      <calculatedColumnFormula>IF(Jun_Period_2_Tbl[[#This Row],[$ Hourly WAGES]]="",SUM(Jun_Period_2_Tbl[[#This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PAY]]),SUM(Jun_Period_2_Tbl[[#This Row],[$ Hourly WAGES]]+Jun_Period_2_Tbl[[#This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PAY]]))</calculatedColumnFormula>
    </tableColumn>
    <tableColumn id="17" name="Column1" dataDxfId="830" totalsRowDxfId="829"/>
    <tableColumn id="18" name="# POINTS EARNED" totalsRowFunction="custom" dataDxfId="828" totalsRowDxfId="827">
      <totalsRowFormula>SUBTOTAL(109,Dec_Period_1_Tbl['# POINTS EARNED])</totalsRowFormula>
    </tableColumn>
    <tableColumn id="19" name="# POINTS USED" totalsRowFunction="custom" dataDxfId="826" totalsRowDxfId="825">
      <totalsRowFormula>SUBTOTAL(109,Dec_Period_1_Tbl['# POINTS USED])</totalsRowFormula>
    </tableColumn>
    <tableColumn id="20" name="# CLASSES LEAD" totalsRowFunction="custom" dataDxfId="824" totalsRowDxfId="823">
      <totalsRowFormula>SUBTOTAL(109,Dec_Period_1_Tbl['# CLASSES LEAD])</totalsRowFormula>
    </tableColumn>
    <tableColumn id="21" name="# CLASSES SHOW" totalsRowFunction="custom" dataDxfId="822" totalsRowDxfId="821">
      <totalsRowFormula>SUBTOTAL(109,Dec_Period_1_Tbl['# CLASSES SHOW])</totalsRowFormula>
    </tableColumn>
    <tableColumn id="22" name="Column12" dataDxfId="820" totalsRowDxfId="819"/>
    <tableColumn id="23" name="BR FITNESS, LLC" totalsRowLabel="TOTALS" dataDxfId="818" totalsRowDxfId="817">
      <calculatedColumnFormula>Jun_Period_2_Tbl[[#This Row],[STAFF:]]</calculatedColumnFormula>
    </tableColumn>
    <tableColumn id="24" name="$ REGULAR WAGES" totalsRowFunction="sum" dataDxfId="816" totalsRowDxfId="815">
      <calculatedColumnFormula>IF(Jun_Period_2_Tbl[[#This Row],[$ Hourly WAGES]]="",Jun_Period_2_Tbl[[#This Row],[$ SALARY]],Jun_Period_2_Tbl[[#This Row],[$ Hourly WAGES]]+Jun_Period_2_Tbl[[#This Row],[$ SALARY]])</calculatedColumnFormula>
    </tableColumn>
    <tableColumn id="25" name="$ PERSONAL TRAINING" totalsRowFunction="sum" dataDxfId="814" totalsRowDxfId="813">
      <calculatedColumnFormula>Jun_Period_2_Tbl[[#This Row],[$ FREE PT]]+Jun_Period_2_Tbl[[#This Row],[$ PAID PT]]</calculatedColumnFormula>
    </tableColumn>
    <tableColumn id="26" name="$ CLASSES" totalsRowFunction="sum" dataDxfId="812" totalsRowDxfId="811">
      <calculatedColumnFormula>Jun_Period_2_Tbl[[#This Row],[$ CLASS PAY]]</calculatedColumnFormula>
    </tableColumn>
    <tableColumn id="27" name="$ EFT COMMISSION" totalsRowFunction="sum" dataDxfId="810" totalsRowDxfId="809">
      <calculatedColumnFormula>Jun_Period_2_Tbl[[#This Row],[$ EFT COMM]]</calculatedColumnFormula>
    </tableColumn>
    <tableColumn id="28" name="$ PT COMMISSION" totalsRowFunction="sum" dataDxfId="808" totalsRowDxfId="807">
      <calculatedColumnFormula>Jun_Period_2_Tbl[[#This Row],[$ PT COMM]]</calculatedColumnFormula>
    </tableColumn>
    <tableColumn id="29" name="BONUS" totalsRowFunction="sum" dataDxfId="806" totalsRowDxfId="805">
      <calculatedColumnFormula>Jun_Period_2_Tbl[[#This Row],[$ BONUS PAY]]</calculatedColumnFormula>
    </tableColumn>
    <tableColumn id="30" name="TOTAL_x000a_PAY" totalsRowFunction="sum" dataDxfId="804" totalsRowDxfId="803">
      <calculatedColumnFormula>Jun_Period_2_Tbl[[#This Row],[TOTAL PAY]]</calculatedColumnFormula>
    </tableColumn>
  </tableColumns>
  <tableStyleInfo name="TableStyleLight16" showFirstColumn="0" showLastColumn="0" showRowStripes="1" showColumnStripes="0"/>
</table>
</file>

<file path=xl/tables/table13.xml><?xml version="1.0" encoding="utf-8"?>
<table xmlns="http://schemas.openxmlformats.org/spreadsheetml/2006/main" id="13" name="Jul_Period_1_Tbl" displayName="Jul_Period_1_Tbl" ref="A5:AD10" totalsRowCount="1" headerRowDxfId="802" tableBorderDxfId="801">
  <tableColumns count="30">
    <tableColumn id="1" name="STAFF:" totalsRowLabel="Totals:" dataDxfId="800" totalsRowDxfId="799" dataCellStyle="Normal"/>
    <tableColumn id="2" name="notes" dataDxfId="798" totalsRowDxfId="797" dataCellStyle="Normal"/>
    <tableColumn id="3" name="# PTO USED" totalsRowFunction="sum" dataDxfId="796" totalsRowDxfId="795" dataCellStyle="Normal"/>
    <tableColumn id="16" name="# PTO Holiday" totalsRowFunction="sum" dataDxfId="794" totalsRowDxfId="793"/>
    <tableColumn id="4" name="# HRS WORKED" totalsRowFunction="sum" dataDxfId="792" totalsRowDxfId="791" dataCellStyle="Normal"/>
    <tableColumn id="5" name="$ Hourly RATE" totalsRowFunction="sum" dataDxfId="790" totalsRowDxfId="789" dataCellStyle="Normal"/>
    <tableColumn id="6" name="$ Hourly WAGES" totalsRowFunction="sum" dataDxfId="788" totalsRowDxfId="787" dataCellStyle="Normal">
      <calculatedColumnFormula>IF(OR(ISBLANK(Jul_Period_1_Tbl[[#This Row],['# HRS WORKED]]),ISBLANK(Jul_Period_1_Tbl[[#This Row],[$ Hourly RATE]])),"",Jul_Period_1_Tbl[[#This Row],['# HRS WORKED]]*Jul_Period_1_Tbl[[#This Row],[$ Hourly RATE]])</calculatedColumnFormula>
    </tableColumn>
    <tableColumn id="7" name="$ SALARY" totalsRowFunction="sum" dataDxfId="786" totalsRowDxfId="785" dataCellStyle="Normal"/>
    <tableColumn id="8" name="$ SALARY PT" totalsRowFunction="sum" dataDxfId="784" totalsRowDxfId="783" dataCellStyle="Normal"/>
    <tableColumn id="9" name="$ FREE PT" totalsRowFunction="sum" dataDxfId="782" totalsRowDxfId="781" dataCellStyle="Normal"/>
    <tableColumn id="10" name="$ PAID PT" totalsRowFunction="sum" dataDxfId="780" totalsRowDxfId="779" dataCellStyle="Normal"/>
    <tableColumn id="11" name="$ PT COMM" totalsRowFunction="sum" dataDxfId="778" totalsRowDxfId="777" dataCellStyle="Normal"/>
    <tableColumn id="12" name="$ EFT COMM" totalsRowFunction="sum" dataDxfId="776" totalsRowDxfId="775" dataCellStyle="Normal"/>
    <tableColumn id="13" name="$ CLASS PAY" totalsRowFunction="sum" dataDxfId="774" totalsRowDxfId="773" dataCellStyle="Normal"/>
    <tableColumn id="14" name="$ BONUS PAY" totalsRowFunction="sum" dataDxfId="772" totalsRowDxfId="771" dataCellStyle="Normal"/>
    <tableColumn id="15" name="TOTAL PAY" totalsRowFunction="sum" dataDxfId="770" totalsRowDxfId="769">
      <calculatedColumnFormula>IF(Jul_Period_1_Tbl[[#This Row],[$ Hourly WAGES]]="",SUM(Jul_Period_1_Tbl[[#This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PAY]]),SUM(Jul_Period_1_Tbl[[#This Row],[$ Hourly WAGES]]+Jul_Period_1_Tbl[[#This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PAY]]))</calculatedColumnFormula>
    </tableColumn>
    <tableColumn id="17" name="Column1" dataDxfId="768"/>
    <tableColumn id="18" name="# POINTS EARNED" totalsRowFunction="custom" dataDxfId="767" totalsRowDxfId="766">
      <totalsRowFormula>SUBTOTAL(109,Dec_Period_1_Tbl['# POINTS EARNED])</totalsRowFormula>
    </tableColumn>
    <tableColumn id="19" name="# POINTS USED" totalsRowFunction="custom" dataDxfId="765" totalsRowDxfId="764">
      <totalsRowFormula>SUBTOTAL(109,Dec_Period_1_Tbl['# POINTS USED])</totalsRowFormula>
    </tableColumn>
    <tableColumn id="20" name="# CLASSES LEAD" totalsRowFunction="custom" dataDxfId="763" totalsRowDxfId="762">
      <totalsRowFormula>SUBTOTAL(109,Dec_Period_1_Tbl['# CLASSES LEAD])</totalsRowFormula>
    </tableColumn>
    <tableColumn id="21" name="# CLASSES SHOW" totalsRowFunction="custom" dataDxfId="761" totalsRowDxfId="760">
      <totalsRowFormula>SUBTOTAL(109,Dec_Period_1_Tbl['# CLASSES SHOW])</totalsRowFormula>
    </tableColumn>
    <tableColumn id="22" name="Column12" dataDxfId="759" totalsRowDxfId="758"/>
    <tableColumn id="23" name="BR FITNESS, LLC" totalsRowLabel="TOTALS" dataDxfId="757" totalsRowDxfId="756">
      <calculatedColumnFormula>Jul_Period_1_Tbl[[#This Row],[STAFF:]]</calculatedColumnFormula>
    </tableColumn>
    <tableColumn id="24" name="$ REGULAR WAGES" totalsRowFunction="sum" dataDxfId="755" totalsRowDxfId="754">
      <calculatedColumnFormula>IF(Jul_Period_1_Tbl[[#This Row],[$ Hourly WAGES]]="",Jul_Period_1_Tbl[[#This Row],[$ SALARY]],Jul_Period_1_Tbl[[#This Row],[$ Hourly WAGES]]+Jul_Period_1_Tbl[[#This Row],[$ SALARY]])</calculatedColumnFormula>
    </tableColumn>
    <tableColumn id="25" name="$ PERSONAL TRAINING" totalsRowFunction="sum" dataDxfId="753" totalsRowDxfId="752">
      <calculatedColumnFormula>Jul_Period_1_Tbl[[#This Row],[$ FREE PT]]+Jul_Period_1_Tbl[[#This Row],[$ PAID PT]]</calculatedColumnFormula>
    </tableColumn>
    <tableColumn id="26" name="$ CLASSES" totalsRowFunction="sum" dataDxfId="751" totalsRowDxfId="750">
      <calculatedColumnFormula>Jul_Period_1_Tbl[[#This Row],[$ CLASS PAY]]</calculatedColumnFormula>
    </tableColumn>
    <tableColumn id="27" name="$ EFT COMMISSION" totalsRowFunction="sum" dataDxfId="749" totalsRowDxfId="748">
      <calculatedColumnFormula>Jul_Period_1_Tbl[[#This Row],[$ EFT COMM]]</calculatedColumnFormula>
    </tableColumn>
    <tableColumn id="28" name="$ PT COMMISSION" totalsRowFunction="sum" dataDxfId="747" totalsRowDxfId="746">
      <calculatedColumnFormula>Jul_Period_1_Tbl[[#This Row],[$ PT COMM]]</calculatedColumnFormula>
    </tableColumn>
    <tableColumn id="29" name="BONUS" totalsRowFunction="sum" dataDxfId="745" totalsRowDxfId="744">
      <calculatedColumnFormula>Jul_Period_1_Tbl[[#This Row],[$ BONUS PAY]]</calculatedColumnFormula>
    </tableColumn>
    <tableColumn id="30" name="TOTAL_x000a_PAY" totalsRowFunction="sum" dataDxfId="743" totalsRowDxfId="742">
      <calculatedColumnFormula>Jul_Period_1_Tbl[[#This Row],[TOTAL PAY]]</calculatedColumnFormula>
    </tableColumn>
  </tableColumns>
  <tableStyleInfo name="TableStyleLight16" showFirstColumn="0" showLastColumn="0" showRowStripes="1" showColumnStripes="0"/>
</table>
</file>

<file path=xl/tables/table14.xml><?xml version="1.0" encoding="utf-8"?>
<table xmlns="http://schemas.openxmlformats.org/spreadsheetml/2006/main" id="14" name="Jul_Period_2_Tbl" displayName="Jul_Period_2_Tbl" ref="A14:AD19" totalsRowCount="1" headerRowDxfId="741" tableBorderDxfId="740">
  <tableColumns count="30">
    <tableColumn id="1" name="STAFF:" totalsRowLabel="Totals:" dataDxfId="739" totalsRowDxfId="738" dataCellStyle="Normal"/>
    <tableColumn id="2" name="notes" dataDxfId="737" totalsRowDxfId="736" dataCellStyle="Normal"/>
    <tableColumn id="3" name="# PTO USED" totalsRowFunction="sum" dataDxfId="735" totalsRowDxfId="734" dataCellStyle="Normal"/>
    <tableColumn id="16" name="# PTO Holiday" totalsRowFunction="sum" dataDxfId="733" totalsRowDxfId="732"/>
    <tableColumn id="4" name="# HRS WORKED" totalsRowFunction="sum" dataDxfId="731" totalsRowDxfId="730" dataCellStyle="Normal"/>
    <tableColumn id="5" name="$ Hourly RATE" totalsRowFunction="sum" dataDxfId="729" totalsRowDxfId="728" dataCellStyle="Normal"/>
    <tableColumn id="6" name="$ Hourly WAGES" totalsRowFunction="sum" dataDxfId="727" totalsRowDxfId="726" dataCellStyle="Normal">
      <calculatedColumnFormula>IF(OR(ISBLANK(Jul_Period_2_Tbl[[#This Row],['# HRS WORKED]]),ISBLANK(Jul_Period_2_Tbl[[#This Row],[$ Hourly RATE]])),"",Jul_Period_2_Tbl[[#This Row],['# HRS WORKED]]*Jul_Period_2_Tbl[[#This Row],[$ Hourly RATE]])</calculatedColumnFormula>
    </tableColumn>
    <tableColumn id="7" name="$ SALARY" totalsRowFunction="sum" dataDxfId="725" totalsRowDxfId="724" dataCellStyle="Normal"/>
    <tableColumn id="8" name="$ SALARY PT" totalsRowFunction="sum" dataDxfId="723" totalsRowDxfId="722" dataCellStyle="Normal"/>
    <tableColumn id="9" name="$ FREE PT" totalsRowFunction="sum" dataDxfId="721" totalsRowDxfId="720" dataCellStyle="Normal"/>
    <tableColumn id="10" name="$ PAID PT" totalsRowFunction="sum" dataDxfId="719" totalsRowDxfId="718" dataCellStyle="Normal"/>
    <tableColumn id="11" name="$ PT COMM" totalsRowFunction="sum" dataDxfId="717" totalsRowDxfId="716" dataCellStyle="Normal"/>
    <tableColumn id="12" name="$ EFT COMM" totalsRowFunction="sum" dataDxfId="715" totalsRowDxfId="714" dataCellStyle="Normal"/>
    <tableColumn id="13" name="$ CLASS PAY" totalsRowFunction="sum" dataDxfId="713" totalsRowDxfId="712" dataCellStyle="Normal"/>
    <tableColumn id="14" name="$ BONUS PAY" totalsRowFunction="sum" dataDxfId="711" totalsRowDxfId="710" dataCellStyle="Normal"/>
    <tableColumn id="15" name="TOTAL PAY" totalsRowFunction="sum" dataDxfId="709" totalsRowDxfId="708">
      <calculatedColumnFormula>IF(Jul_Period_2_Tbl[[#This Row],[$ Hourly WAGES]]="",SUM(Jul_Period_2_Tbl[[#This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PAY]]),SUM(Jul_Period_2_Tbl[[#This Row],[$ Hourly WAGES]]+Jul_Period_2_Tbl[[#This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PAY]]))</calculatedColumnFormula>
    </tableColumn>
    <tableColumn id="17" name="Column1" dataDxfId="707" totalsRowDxfId="706"/>
    <tableColumn id="18" name="# POINTS EARNED" totalsRowFunction="custom" dataDxfId="705" totalsRowDxfId="704">
      <totalsRowFormula>SUBTOTAL(109,Dec_Period_1_Tbl['# POINTS EARNED])</totalsRowFormula>
    </tableColumn>
    <tableColumn id="19" name="# POINTS USED" totalsRowFunction="custom" dataDxfId="703" totalsRowDxfId="702">
      <totalsRowFormula>SUBTOTAL(109,Dec_Period_1_Tbl['# POINTS USED])</totalsRowFormula>
    </tableColumn>
    <tableColumn id="20" name="# CLASSES LEAD" totalsRowFunction="custom" dataDxfId="701" totalsRowDxfId="700">
      <totalsRowFormula>SUBTOTAL(109,Dec_Period_1_Tbl['# CLASSES LEAD])</totalsRowFormula>
    </tableColumn>
    <tableColumn id="21" name="# CLASSES SHOW" totalsRowFunction="custom" dataDxfId="699" totalsRowDxfId="698">
      <totalsRowFormula>SUBTOTAL(109,Dec_Period_1_Tbl['# CLASSES SHOW])</totalsRowFormula>
    </tableColumn>
    <tableColumn id="22" name="Column12" dataDxfId="697" totalsRowDxfId="696"/>
    <tableColumn id="23" name="BR FITNESS, LLC" totalsRowLabel="TOTALS" dataDxfId="695" totalsRowDxfId="694">
      <calculatedColumnFormula>Jul_Period_2_Tbl[[#This Row],[STAFF:]]</calculatedColumnFormula>
    </tableColumn>
    <tableColumn id="24" name="$ REGULAR WAGES" totalsRowFunction="sum" dataDxfId="693" totalsRowDxfId="692">
      <calculatedColumnFormula>IF(Jul_Period_2_Tbl[[#This Row],[$ Hourly WAGES]]="",Jul_Period_2_Tbl[[#This Row],[$ SALARY]],Jul_Period_2_Tbl[[#This Row],[$ Hourly WAGES]]+Jul_Period_2_Tbl[[#This Row],[$ SALARY]])</calculatedColumnFormula>
    </tableColumn>
    <tableColumn id="25" name="$ PERSONAL TRAINING" totalsRowFunction="sum" dataDxfId="691" totalsRowDxfId="690">
      <calculatedColumnFormula>Jul_Period_2_Tbl[[#This Row],[$ FREE PT]]+Jul_Period_2_Tbl[[#This Row],[$ PAID PT]]</calculatedColumnFormula>
    </tableColumn>
    <tableColumn id="26" name="$ CLASSES" totalsRowFunction="sum" dataDxfId="689" totalsRowDxfId="688">
      <calculatedColumnFormula>Jul_Period_2_Tbl[[#This Row],[$ CLASS PAY]]</calculatedColumnFormula>
    </tableColumn>
    <tableColumn id="27" name="$ EFT COMMISSION" totalsRowFunction="sum" dataDxfId="687" totalsRowDxfId="686">
      <calculatedColumnFormula>Jul_Period_2_Tbl[[#This Row],[$ EFT COMM]]</calculatedColumnFormula>
    </tableColumn>
    <tableColumn id="28" name="$ PT COMMISSION" totalsRowFunction="sum" dataDxfId="685" totalsRowDxfId="684">
      <calculatedColumnFormula>Jul_Period_2_Tbl[[#This Row],[$ PT COMM]]</calculatedColumnFormula>
    </tableColumn>
    <tableColumn id="29" name="BONUS" totalsRowFunction="sum" dataDxfId="683" totalsRowDxfId="682">
      <calculatedColumnFormula>Jul_Period_2_Tbl[[#This Row],[$ BONUS PAY]]</calculatedColumnFormula>
    </tableColumn>
    <tableColumn id="30" name="TOTAL_x000a_PAY" totalsRowFunction="sum" dataDxfId="681" totalsRowDxfId="680">
      <calculatedColumnFormula>Jul_Period_2_Tbl[[#This Row],[TOTAL PAY]]</calculatedColumnFormula>
    </tableColumn>
  </tableColumns>
  <tableStyleInfo name="TableStyleLight16" showFirstColumn="0" showLastColumn="0" showRowStripes="1" showColumnStripes="0"/>
</table>
</file>

<file path=xl/tables/table15.xml><?xml version="1.0" encoding="utf-8"?>
<table xmlns="http://schemas.openxmlformats.org/spreadsheetml/2006/main" id="15" name="Aug_Period_1_Tbl" displayName="Aug_Period_1_Tbl" ref="A5:AD10" totalsRowCount="1" headerRowDxfId="679" tableBorderDxfId="678">
  <tableColumns count="30">
    <tableColumn id="1" name="STAFF:" totalsRowLabel="Totals:" dataDxfId="677" totalsRowDxfId="676" dataCellStyle="Normal"/>
    <tableColumn id="2" name="notes" dataDxfId="675" totalsRowDxfId="674" dataCellStyle="Normal"/>
    <tableColumn id="3" name="# PTO USED" totalsRowFunction="sum" dataDxfId="673" totalsRowDxfId="672" dataCellStyle="Normal"/>
    <tableColumn id="16" name="# PTO Holiday" totalsRowFunction="sum" dataDxfId="671" totalsRowDxfId="670"/>
    <tableColumn id="4" name="# HRS WORKED" totalsRowFunction="sum" dataDxfId="669" totalsRowDxfId="668" dataCellStyle="Normal"/>
    <tableColumn id="5" name="$ Hourly RATE" totalsRowFunction="sum" dataDxfId="667" totalsRowDxfId="666" dataCellStyle="Normal"/>
    <tableColumn id="6" name="$ Hourly WAGES" totalsRowFunction="sum" dataDxfId="665" totalsRowDxfId="664" dataCellStyle="Normal">
      <calculatedColumnFormula>IF(OR(ISBLANK(Aug_Period_1_Tbl[[#This Row],['# HRS WORKED]]),ISBLANK(Aug_Period_1_Tbl[[#This Row],[$ Hourly RATE]])),"",Aug_Period_1_Tbl[[#This Row],['# HRS WORKED]]*Aug_Period_1_Tbl[[#This Row],[$ Hourly RATE]])</calculatedColumnFormula>
    </tableColumn>
    <tableColumn id="7" name="$ SALARY" totalsRowFunction="sum" dataDxfId="663" totalsRowDxfId="662" dataCellStyle="Normal"/>
    <tableColumn id="8" name="$ SALARY PT" totalsRowFunction="sum" dataDxfId="661" totalsRowDxfId="660" dataCellStyle="Normal"/>
    <tableColumn id="9" name="$ FREE PT" totalsRowFunction="sum" dataDxfId="659" totalsRowDxfId="658" dataCellStyle="Normal"/>
    <tableColumn id="10" name="$ PAID PT" totalsRowFunction="sum" dataDxfId="657" totalsRowDxfId="656" dataCellStyle="Normal"/>
    <tableColumn id="11" name="$ PT COMM" totalsRowFunction="sum" dataDxfId="655" totalsRowDxfId="654" dataCellStyle="Normal"/>
    <tableColumn id="12" name="$ EFT COMM" totalsRowFunction="sum" dataDxfId="653" totalsRowDxfId="652" dataCellStyle="Normal"/>
    <tableColumn id="13" name="$ CLASS PAY" totalsRowFunction="sum" dataDxfId="651" totalsRowDxfId="650" dataCellStyle="Normal"/>
    <tableColumn id="14" name="$ BONUS PAY" totalsRowFunction="sum" dataDxfId="649" totalsRowDxfId="648" dataCellStyle="Normal"/>
    <tableColumn id="15" name="TOTAL PAY" totalsRowFunction="sum" dataDxfId="647" totalsRowDxfId="646">
      <calculatedColumnFormula>IF(Aug_Period_1_Tbl[[#This Row],[$ Hourly WAGES]]="",SUM(Aug_Period_1_Tbl[[#This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PAY]]),SUM(Aug_Period_1_Tbl[[#This Row],[$ Hourly WAGES]]+Aug_Period_1_Tbl[[#This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PAY]]))</calculatedColumnFormula>
    </tableColumn>
    <tableColumn id="17" name="Column1" dataDxfId="645"/>
    <tableColumn id="18" name="# POINTS EARNED" totalsRowFunction="custom" dataDxfId="644" totalsRowDxfId="643">
      <totalsRowFormula>SUBTOTAL(109,Dec_Period_1_Tbl['# POINTS EARNED])</totalsRowFormula>
    </tableColumn>
    <tableColumn id="19" name="# POINTS USED" totalsRowFunction="custom" dataDxfId="642" totalsRowDxfId="641">
      <totalsRowFormula>SUBTOTAL(109,Dec_Period_1_Tbl['# POINTS USED])</totalsRowFormula>
    </tableColumn>
    <tableColumn id="20" name="# CLASSES LEAD" totalsRowFunction="custom" dataDxfId="640" totalsRowDxfId="639">
      <totalsRowFormula>SUBTOTAL(109,Dec_Period_1_Tbl['# CLASSES LEAD])</totalsRowFormula>
    </tableColumn>
    <tableColumn id="21" name="# CLASSES SHOW" totalsRowFunction="custom" dataDxfId="638" totalsRowDxfId="637">
      <totalsRowFormula>SUBTOTAL(109,Dec_Period_1_Tbl['# CLASSES SHOW])</totalsRowFormula>
    </tableColumn>
    <tableColumn id="22" name="Column12" dataDxfId="636" totalsRowDxfId="635"/>
    <tableColumn id="23" name="BR FITNESS, LLC" totalsRowLabel="TOTALS" dataDxfId="634" totalsRowDxfId="633">
      <calculatedColumnFormula>Aug_Period_1_Tbl[[#This Row],[STAFF:]]</calculatedColumnFormula>
    </tableColumn>
    <tableColumn id="24" name="$ REGULAR WAGES" totalsRowFunction="sum" dataDxfId="632" totalsRowDxfId="631">
      <calculatedColumnFormula>IF(Aug_Period_1_Tbl[[#This Row],[$ Hourly WAGES]]="",Aug_Period_1_Tbl[[#This Row],[$ SALARY]],Aug_Period_1_Tbl[[#This Row],[$ Hourly WAGES]]+Aug_Period_1_Tbl[[#This Row],[$ SALARY]])</calculatedColumnFormula>
    </tableColumn>
    <tableColumn id="25" name="$ PERSONAL TRAINING" totalsRowFunction="sum" dataDxfId="630" totalsRowDxfId="629">
      <calculatedColumnFormula>Aug_Period_1_Tbl[[#This Row],[$ FREE PT]]+Aug_Period_1_Tbl[[#This Row],[$ PAID PT]]</calculatedColumnFormula>
    </tableColumn>
    <tableColumn id="26" name="$ CLASSES" totalsRowFunction="sum" dataDxfId="628" totalsRowDxfId="627">
      <calculatedColumnFormula>Aug_Period_1_Tbl[[#This Row],[$ CLASS PAY]]</calculatedColumnFormula>
    </tableColumn>
    <tableColumn id="27" name="$ EFT COMMISSION" totalsRowFunction="sum" dataDxfId="626" totalsRowDxfId="625">
      <calculatedColumnFormula>Aug_Period_1_Tbl[[#This Row],[$ EFT COMM]]</calculatedColumnFormula>
    </tableColumn>
    <tableColumn id="28" name="$ PT COMMISSION" totalsRowFunction="sum" dataDxfId="624" totalsRowDxfId="623">
      <calculatedColumnFormula>Aug_Period_1_Tbl[[#This Row],[$ PT COMM]]</calculatedColumnFormula>
    </tableColumn>
    <tableColumn id="29" name="BONUS" totalsRowFunction="sum" dataDxfId="622" totalsRowDxfId="621">
      <calculatedColumnFormula>Aug_Period_1_Tbl[[#This Row],[$ BONUS PAY]]</calculatedColumnFormula>
    </tableColumn>
    <tableColumn id="30" name="TOTAL_x000a_PAY" totalsRowFunction="sum" dataDxfId="620" totalsRowDxfId="619">
      <calculatedColumnFormula>Aug_Period_1_Tbl[[#This Row],[TOTAL PAY]]</calculatedColumnFormula>
    </tableColumn>
  </tableColumns>
  <tableStyleInfo name="TableStyleLight16" showFirstColumn="0" showLastColumn="0" showRowStripes="1" showColumnStripes="0"/>
</table>
</file>

<file path=xl/tables/table16.xml><?xml version="1.0" encoding="utf-8"?>
<table xmlns="http://schemas.openxmlformats.org/spreadsheetml/2006/main" id="16" name="Aug_Period_2_Tbl" displayName="Aug_Period_2_Tbl" ref="A14:AD19" totalsRowCount="1" headerRowDxfId="618" tableBorderDxfId="617">
  <tableColumns count="30">
    <tableColumn id="1" name="STAFF:" totalsRowLabel="Totals:" dataDxfId="616" totalsRowDxfId="615" dataCellStyle="Normal"/>
    <tableColumn id="2" name="notes" dataDxfId="614" totalsRowDxfId="613" dataCellStyle="Normal"/>
    <tableColumn id="3" name="# PTO USED" totalsRowFunction="sum" dataDxfId="612" totalsRowDxfId="611" dataCellStyle="Normal"/>
    <tableColumn id="16" name="# PTO Holiday" totalsRowFunction="sum" dataDxfId="610" totalsRowDxfId="609"/>
    <tableColumn id="4" name="# HRS WORKED" totalsRowFunction="sum" dataDxfId="608" totalsRowDxfId="607" dataCellStyle="Normal"/>
    <tableColumn id="5" name="$ Hourly RATE" totalsRowFunction="sum" dataDxfId="606" totalsRowDxfId="605" dataCellStyle="Normal"/>
    <tableColumn id="6" name="$ Hourly WAGES" totalsRowFunction="sum" dataDxfId="604" totalsRowDxfId="603" dataCellStyle="Normal">
      <calculatedColumnFormula>IF(OR(ISBLANK(Aug_Period_2_Tbl[[#This Row],['# HRS WORKED]]),ISBLANK(Aug_Period_2_Tbl[[#This Row],[$ Hourly RATE]])),"",Aug_Period_2_Tbl[[#This Row],['# HRS WORKED]]*Aug_Period_2_Tbl[[#This Row],[$ Hourly RATE]])</calculatedColumnFormula>
    </tableColumn>
    <tableColumn id="7" name="$ SALARY" totalsRowFunction="sum" dataDxfId="602" totalsRowDxfId="601" dataCellStyle="Normal"/>
    <tableColumn id="8" name="$ SALARY PT" totalsRowFunction="sum" dataDxfId="600" totalsRowDxfId="599" dataCellStyle="Normal"/>
    <tableColumn id="9" name="$ FREE PT" totalsRowFunction="sum" dataDxfId="598" totalsRowDxfId="597" dataCellStyle="Normal"/>
    <tableColumn id="10" name="$ PAID PT" totalsRowFunction="sum" dataDxfId="596" totalsRowDxfId="595" dataCellStyle="Normal"/>
    <tableColumn id="11" name="$ PT COMM" totalsRowFunction="sum" dataDxfId="594" totalsRowDxfId="593" dataCellStyle="Normal"/>
    <tableColumn id="12" name="$ EFT COMM" totalsRowFunction="sum" dataDxfId="592" totalsRowDxfId="591" dataCellStyle="Normal"/>
    <tableColumn id="13" name="$ CLASS PAY" totalsRowFunction="sum" dataDxfId="590" totalsRowDxfId="589" dataCellStyle="Normal"/>
    <tableColumn id="14" name="$ BONUS PAY" totalsRowFunction="sum" dataDxfId="588" totalsRowDxfId="587" dataCellStyle="Normal"/>
    <tableColumn id="15" name="TOTAL PAY" totalsRowFunction="sum" dataDxfId="586" totalsRowDxfId="585">
      <calculatedColumnFormula>IF(Aug_Period_2_Tbl[[#This Row],[$ Hourly WAGES]]="",SUM(Aug_Period_2_Tbl[[#This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PAY]]),SUM(Aug_Period_2_Tbl[[#This Row],[$ Hourly WAGES]]+Aug_Period_2_Tbl[[#This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PAY]]))</calculatedColumnFormula>
    </tableColumn>
    <tableColumn id="17" name="Column1" dataDxfId="584" totalsRowDxfId="583"/>
    <tableColumn id="18" name="# POINTS EARNED" totalsRowFunction="custom" dataDxfId="582" totalsRowDxfId="581">
      <totalsRowFormula>SUBTOTAL(109,Dec_Period_1_Tbl['# POINTS EARNED])</totalsRowFormula>
    </tableColumn>
    <tableColumn id="19" name="# POINTS USED" totalsRowFunction="custom" dataDxfId="580" totalsRowDxfId="579">
      <totalsRowFormula>SUBTOTAL(109,Dec_Period_1_Tbl['# POINTS USED])</totalsRowFormula>
    </tableColumn>
    <tableColumn id="20" name="# CLASSES LEAD" totalsRowFunction="custom" dataDxfId="578" totalsRowDxfId="577">
      <totalsRowFormula>SUBTOTAL(109,Dec_Period_1_Tbl['# CLASSES LEAD])</totalsRowFormula>
    </tableColumn>
    <tableColumn id="21" name="# CLASSES SHOW" totalsRowFunction="custom" dataDxfId="576" totalsRowDxfId="575">
      <totalsRowFormula>SUBTOTAL(109,Dec_Period_1_Tbl['# CLASSES SHOW])</totalsRowFormula>
    </tableColumn>
    <tableColumn id="22" name="Column12" dataDxfId="574" totalsRowDxfId="573"/>
    <tableColumn id="23" name="BR FITNESS, LLC" totalsRowLabel="TOTALS" dataDxfId="572" totalsRowDxfId="571">
      <calculatedColumnFormula>Aug_Period_2_Tbl[[#This Row],[STAFF:]]</calculatedColumnFormula>
    </tableColumn>
    <tableColumn id="24" name="$ REGULAR WAGES" totalsRowFunction="sum" dataDxfId="570" totalsRowDxfId="569">
      <calculatedColumnFormula>IF(Aug_Period_2_Tbl[[#This Row],[$ Hourly WAGES]]="",Aug_Period_2_Tbl[[#This Row],[$ SALARY]],Aug_Period_2_Tbl[[#This Row],[$ Hourly WAGES]]+Aug_Period_2_Tbl[[#This Row],[$ SALARY]])</calculatedColumnFormula>
    </tableColumn>
    <tableColumn id="25" name="$ PERSONAL TRAINING" totalsRowFunction="sum" dataDxfId="568" totalsRowDxfId="567">
      <calculatedColumnFormula>Aug_Period_2_Tbl[[#This Row],[$ FREE PT]]+Aug_Period_2_Tbl[[#This Row],[$ PAID PT]]</calculatedColumnFormula>
    </tableColumn>
    <tableColumn id="26" name="$ CLASSES" totalsRowFunction="sum" dataDxfId="566" totalsRowDxfId="565">
      <calculatedColumnFormula>Aug_Period_2_Tbl[[#This Row],[$ CLASS PAY]]</calculatedColumnFormula>
    </tableColumn>
    <tableColumn id="27" name="$ EFT COMMISSION" totalsRowFunction="sum" dataDxfId="564" totalsRowDxfId="563">
      <calculatedColumnFormula>Aug_Period_2_Tbl[[#This Row],[$ EFT COMM]]</calculatedColumnFormula>
    </tableColumn>
    <tableColumn id="28" name="$ PT COMMISSION" totalsRowFunction="sum" dataDxfId="562" totalsRowDxfId="561">
      <calculatedColumnFormula>Aug_Period_2_Tbl[[#This Row],[$ PT COMM]]</calculatedColumnFormula>
    </tableColumn>
    <tableColumn id="29" name="BONUS" totalsRowFunction="sum" dataDxfId="560" totalsRowDxfId="559">
      <calculatedColumnFormula>Aug_Period_2_Tbl[[#This Row],[$ BONUS PAY]]</calculatedColumnFormula>
    </tableColumn>
    <tableColumn id="30" name="TOTAL_x000a_PAY" totalsRowFunction="sum" dataDxfId="558" totalsRowDxfId="557">
      <calculatedColumnFormula>Aug_Period_2_Tbl[[#This Row],[TOTAL PAY]]</calculatedColumnFormula>
    </tableColumn>
  </tableColumns>
  <tableStyleInfo name="TableStyleLight16" showFirstColumn="0" showLastColumn="0" showRowStripes="1" showColumnStripes="0"/>
</table>
</file>

<file path=xl/tables/table17.xml><?xml version="1.0" encoding="utf-8"?>
<table xmlns="http://schemas.openxmlformats.org/spreadsheetml/2006/main" id="17" name="Sep_Period_1_Tbl" displayName="Sep_Period_1_Tbl" ref="A5:AD10" totalsRowCount="1" headerRowDxfId="556" tableBorderDxfId="555">
  <tableColumns count="30">
    <tableColumn id="1" name="STAFF:" totalsRowLabel="Totals:" dataDxfId="554" totalsRowDxfId="553" dataCellStyle="Normal"/>
    <tableColumn id="2" name="notes" dataDxfId="552" totalsRowDxfId="551" dataCellStyle="Normal"/>
    <tableColumn id="3" name="# PTO USED" totalsRowFunction="sum" dataDxfId="550" totalsRowDxfId="549" dataCellStyle="Normal"/>
    <tableColumn id="16" name="# PTO Holiday" totalsRowFunction="sum" dataDxfId="548" totalsRowDxfId="547"/>
    <tableColumn id="4" name="# HRS WORKED" totalsRowFunction="sum" dataDxfId="546" totalsRowDxfId="545" dataCellStyle="Normal"/>
    <tableColumn id="5" name="$ Hourly RATE" totalsRowFunction="sum" dataDxfId="544" totalsRowDxfId="543" dataCellStyle="Normal"/>
    <tableColumn id="6" name="$ Hourly WAGES" totalsRowFunction="sum" dataDxfId="542" totalsRowDxfId="541" dataCellStyle="Normal">
      <calculatedColumnFormula>IF(OR(ISBLANK(Sep_Period_1_Tbl[[#This Row],['# HRS WORKED]]),ISBLANK(Sep_Period_1_Tbl[[#This Row],[$ Hourly RATE]])),"",Sep_Period_1_Tbl[[#This Row],['# HRS WORKED]]*Sep_Period_1_Tbl[[#This Row],[$ Hourly RATE]])</calculatedColumnFormula>
    </tableColumn>
    <tableColumn id="7" name="$ SALARY" totalsRowFunction="sum" dataDxfId="540" totalsRowDxfId="539" dataCellStyle="Normal"/>
    <tableColumn id="8" name="$ SALARY PT" totalsRowFunction="sum" dataDxfId="538" totalsRowDxfId="537" dataCellStyle="Normal"/>
    <tableColumn id="9" name="$ FREE PT" totalsRowFunction="sum" dataDxfId="536" totalsRowDxfId="535" dataCellStyle="Normal"/>
    <tableColumn id="10" name="$ PAID PT" totalsRowFunction="sum" dataDxfId="534" totalsRowDxfId="533" dataCellStyle="Normal"/>
    <tableColumn id="11" name="$ PT COMM" totalsRowFunction="sum" dataDxfId="532" totalsRowDxfId="531" dataCellStyle="Normal"/>
    <tableColumn id="12" name="$ EFT COMM" totalsRowFunction="sum" dataDxfId="530" totalsRowDxfId="529" dataCellStyle="Normal"/>
    <tableColumn id="13" name="$ CLASS PAY" totalsRowFunction="sum" dataDxfId="528" totalsRowDxfId="527" dataCellStyle="Normal"/>
    <tableColumn id="14" name="$ BONUS PAY" totalsRowFunction="sum" dataDxfId="526" totalsRowDxfId="525" dataCellStyle="Normal"/>
    <tableColumn id="15" name="TOTAL PAY" totalsRowFunction="sum" dataDxfId="524" totalsRowDxfId="523">
      <calculatedColumnFormula>IF(Sep_Period_1_Tbl[[#This Row],[$ Hourly WAGES]]="",SUM(Sep_Period_1_Tbl[[#This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PAY]]),SUM(Sep_Period_1_Tbl[[#This Row],[$ Hourly WAGES]]+Sep_Period_1_Tbl[[#This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PAY]]))</calculatedColumnFormula>
    </tableColumn>
    <tableColumn id="17" name="Column1" dataDxfId="522"/>
    <tableColumn id="18" name="# POINTS EARNED" totalsRowFunction="custom" dataDxfId="521" totalsRowDxfId="520">
      <totalsRowFormula>SUBTOTAL(109,Dec_Period_1_Tbl['# POINTS EARNED])</totalsRowFormula>
    </tableColumn>
    <tableColumn id="19" name="# POINTS USED" totalsRowFunction="custom" dataDxfId="519" totalsRowDxfId="518">
      <totalsRowFormula>SUBTOTAL(109,Dec_Period_1_Tbl['# POINTS USED])</totalsRowFormula>
    </tableColumn>
    <tableColumn id="20" name="# CLASSES LEAD" totalsRowFunction="custom" dataDxfId="517" totalsRowDxfId="516">
      <totalsRowFormula>SUBTOTAL(109,Dec_Period_1_Tbl['# CLASSES LEAD])</totalsRowFormula>
    </tableColumn>
    <tableColumn id="21" name="# CLASSES SHOW" totalsRowFunction="custom" dataDxfId="515" totalsRowDxfId="514">
      <totalsRowFormula>SUBTOTAL(109,Dec_Period_1_Tbl['# CLASSES SHOW])</totalsRowFormula>
    </tableColumn>
    <tableColumn id="22" name="Column12" dataDxfId="513" totalsRowDxfId="512"/>
    <tableColumn id="23" name="BR FITNESS, LLC" totalsRowLabel="TOTALS" dataDxfId="511" totalsRowDxfId="510">
      <calculatedColumnFormula>Sep_Period_1_Tbl[[#This Row],[STAFF:]]</calculatedColumnFormula>
    </tableColumn>
    <tableColumn id="24" name="$ REGULAR WAGES" totalsRowFunction="sum" dataDxfId="509" totalsRowDxfId="508">
      <calculatedColumnFormula>IF(Sep_Period_1_Tbl[[#This Row],[$ Hourly WAGES]]="",Sep_Period_1_Tbl[[#This Row],[$ SALARY]],Sep_Period_1_Tbl[[#This Row],[$ Hourly WAGES]]+Sep_Period_1_Tbl[[#This Row],[$ SALARY]])</calculatedColumnFormula>
    </tableColumn>
    <tableColumn id="25" name="$ PERSONAL TRAINING" totalsRowFunction="sum" dataDxfId="507" totalsRowDxfId="506">
      <calculatedColumnFormula>Sep_Period_1_Tbl[[#This Row],[$ FREE PT]]+Sep_Period_1_Tbl[[#This Row],[$ PAID PT]]</calculatedColumnFormula>
    </tableColumn>
    <tableColumn id="26" name="$ CLASSES" totalsRowFunction="sum" dataDxfId="505" totalsRowDxfId="504">
      <calculatedColumnFormula>Sep_Period_1_Tbl[[#This Row],[$ CLASS PAY]]</calculatedColumnFormula>
    </tableColumn>
    <tableColumn id="27" name="$ EFT COMMISSION" totalsRowFunction="sum" dataDxfId="503" totalsRowDxfId="502">
      <calculatedColumnFormula>Sep_Period_1_Tbl[[#This Row],[$ EFT COMM]]</calculatedColumnFormula>
    </tableColumn>
    <tableColumn id="28" name="$ PT COMMISSION" totalsRowFunction="sum" dataDxfId="501" totalsRowDxfId="500">
      <calculatedColumnFormula>Sep_Period_1_Tbl[[#This Row],[$ PT COMM]]</calculatedColumnFormula>
    </tableColumn>
    <tableColumn id="29" name="BONUS" totalsRowFunction="sum" dataDxfId="499" totalsRowDxfId="498">
      <calculatedColumnFormula>Sep_Period_1_Tbl[[#This Row],[$ BONUS PAY]]</calculatedColumnFormula>
    </tableColumn>
    <tableColumn id="30" name="TOTAL_x000a_PAY" totalsRowFunction="sum" dataDxfId="497" totalsRowDxfId="496">
      <calculatedColumnFormula>Sep_Period_1_Tbl[[#This Row],[TOTAL PAY]]</calculatedColumnFormula>
    </tableColumn>
  </tableColumns>
  <tableStyleInfo name="TableStyleLight16" showFirstColumn="0" showLastColumn="0" showRowStripes="1" showColumnStripes="0"/>
</table>
</file>

<file path=xl/tables/table18.xml><?xml version="1.0" encoding="utf-8"?>
<table xmlns="http://schemas.openxmlformats.org/spreadsheetml/2006/main" id="18" name="Sep_Period_2_Tbl" displayName="Sep_Period_2_Tbl" ref="A14:AD19" totalsRowCount="1" headerRowDxfId="495" tableBorderDxfId="494">
  <tableColumns count="30">
    <tableColumn id="1" name="STAFF:" totalsRowLabel="Totals:" dataDxfId="493" totalsRowDxfId="492" dataCellStyle="Normal"/>
    <tableColumn id="2" name="notes" dataDxfId="491" totalsRowDxfId="490" dataCellStyle="Normal"/>
    <tableColumn id="3" name="# PTO USED" totalsRowFunction="sum" dataDxfId="489" totalsRowDxfId="488" dataCellStyle="Normal"/>
    <tableColumn id="16" name="# PTO Holiday" totalsRowFunction="sum" dataDxfId="487" totalsRowDxfId="486"/>
    <tableColumn id="4" name="# HRS WORKED" totalsRowFunction="sum" dataDxfId="485" totalsRowDxfId="484" dataCellStyle="Normal"/>
    <tableColumn id="5" name="$ Hourly RATE" totalsRowFunction="sum" dataDxfId="483" totalsRowDxfId="482" dataCellStyle="Normal"/>
    <tableColumn id="6" name="$ Hourly WAGES" totalsRowFunction="sum" dataDxfId="481" totalsRowDxfId="480" dataCellStyle="Normal">
      <calculatedColumnFormula>IF(OR(ISBLANK(Sep_Period_2_Tbl[[#This Row],['# HRS WORKED]]),ISBLANK(Sep_Period_2_Tbl[[#This Row],[$ Hourly RATE]])),"",Sep_Period_2_Tbl[[#This Row],['# HRS WORKED]]*Sep_Period_2_Tbl[[#This Row],[$ Hourly RATE]])</calculatedColumnFormula>
    </tableColumn>
    <tableColumn id="7" name="$ SALARY" totalsRowFunction="sum" dataDxfId="479" totalsRowDxfId="478" dataCellStyle="Normal"/>
    <tableColumn id="8" name="$ SALARY PT" totalsRowFunction="sum" dataDxfId="477" totalsRowDxfId="476" dataCellStyle="Normal"/>
    <tableColumn id="9" name="$ FREE PT" totalsRowFunction="sum" dataDxfId="475" totalsRowDxfId="474" dataCellStyle="Normal"/>
    <tableColumn id="10" name="$ PAID PT" totalsRowFunction="sum" dataDxfId="473" totalsRowDxfId="472" dataCellStyle="Normal"/>
    <tableColumn id="11" name="$ PT COMM" totalsRowFunction="sum" dataDxfId="471" totalsRowDxfId="470" dataCellStyle="Normal"/>
    <tableColumn id="12" name="$ EFT COMM" totalsRowFunction="sum" dataDxfId="469" totalsRowDxfId="468" dataCellStyle="Normal"/>
    <tableColumn id="13" name="$ CLASS PAY" totalsRowFunction="sum" dataDxfId="467" totalsRowDxfId="466" dataCellStyle="Normal"/>
    <tableColumn id="14" name="$ BONUS PAY" totalsRowFunction="sum" dataDxfId="465" totalsRowDxfId="464" dataCellStyle="Normal"/>
    <tableColumn id="15" name="TOTAL PAY" totalsRowFunction="sum" dataDxfId="463" totalsRowDxfId="462">
      <calculatedColumnFormula>IF(Sep_Period_2_Tbl[[#This Row],[$ Hourly WAGES]]="",SUM(Sep_Period_2_Tbl[[#This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PAY]]),SUM(Sep_Period_2_Tbl[[#This Row],[$ Hourly WAGES]]+Sep_Period_2_Tbl[[#This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PAY]]))</calculatedColumnFormula>
    </tableColumn>
    <tableColumn id="17" name="Column1" dataDxfId="461" totalsRowDxfId="460"/>
    <tableColumn id="18" name="# POINTS EARNED" totalsRowFunction="custom" dataDxfId="459" totalsRowDxfId="458">
      <totalsRowFormula>SUBTOTAL(109,Dec_Period_1_Tbl['# POINTS EARNED])</totalsRowFormula>
    </tableColumn>
    <tableColumn id="19" name="# POINTS USED" totalsRowFunction="custom" dataDxfId="457" totalsRowDxfId="456">
      <totalsRowFormula>SUBTOTAL(109,Dec_Period_1_Tbl['# POINTS USED])</totalsRowFormula>
    </tableColumn>
    <tableColumn id="20" name="# CLASSES LEAD" totalsRowFunction="custom" dataDxfId="455" totalsRowDxfId="454">
      <totalsRowFormula>SUBTOTAL(109,Dec_Period_1_Tbl['# CLASSES LEAD])</totalsRowFormula>
    </tableColumn>
    <tableColumn id="21" name="# CLASSES SHOW" totalsRowFunction="custom" dataDxfId="453" totalsRowDxfId="452">
      <totalsRowFormula>SUBTOTAL(109,Dec_Period_1_Tbl['# CLASSES SHOW])</totalsRowFormula>
    </tableColumn>
    <tableColumn id="22" name="Column12" dataDxfId="451" totalsRowDxfId="450"/>
    <tableColumn id="23" name="BR FITNESS, LLC" totalsRowLabel="TOTALS" dataDxfId="449" totalsRowDxfId="448">
      <calculatedColumnFormula>Sep_Period_2_Tbl[[#This Row],[STAFF:]]</calculatedColumnFormula>
    </tableColumn>
    <tableColumn id="24" name="$ REGULAR WAGES" totalsRowFunction="sum" dataDxfId="447" totalsRowDxfId="446">
      <calculatedColumnFormula>IF(Sep_Period_2_Tbl[[#This Row],[$ Hourly WAGES]]="",Sep_Period_2_Tbl[[#This Row],[$ SALARY]],Sep_Period_2_Tbl[[#This Row],[$ Hourly WAGES]]+Sep_Period_2_Tbl[[#This Row],[$ SALARY]])</calculatedColumnFormula>
    </tableColumn>
    <tableColumn id="25" name="$ PERSONAL TRAINING" totalsRowFunction="sum" dataDxfId="445" totalsRowDxfId="444">
      <calculatedColumnFormula>Sep_Period_2_Tbl[[#This Row],[$ FREE PT]]+Sep_Period_2_Tbl[[#This Row],[$ PAID PT]]</calculatedColumnFormula>
    </tableColumn>
    <tableColumn id="26" name="$ CLASSES" totalsRowFunction="sum" dataDxfId="443" totalsRowDxfId="442">
      <calculatedColumnFormula>Sep_Period_2_Tbl[[#This Row],[$ CLASS PAY]]</calculatedColumnFormula>
    </tableColumn>
    <tableColumn id="27" name="$ EFT COMMISSION" totalsRowFunction="sum" dataDxfId="441" totalsRowDxfId="440">
      <calculatedColumnFormula>Sep_Period_2_Tbl[[#This Row],[$ EFT COMM]]</calculatedColumnFormula>
    </tableColumn>
    <tableColumn id="28" name="$ PT COMMISSION" totalsRowFunction="sum" dataDxfId="439" totalsRowDxfId="438">
      <calculatedColumnFormula>Sep_Period_2_Tbl[[#This Row],[$ PT COMM]]</calculatedColumnFormula>
    </tableColumn>
    <tableColumn id="29" name="BONUS" totalsRowFunction="sum" dataDxfId="437" totalsRowDxfId="436">
      <calculatedColumnFormula>Sep_Period_2_Tbl[[#This Row],[$ BONUS PAY]]</calculatedColumnFormula>
    </tableColumn>
    <tableColumn id="30" name="TOTAL_x000a_PAY" totalsRowFunction="sum" dataDxfId="435" totalsRowDxfId="434">
      <calculatedColumnFormula>Sep_Period_2_Tbl[[#This Row],[TOTAL PAY]]</calculatedColumnFormula>
    </tableColumn>
  </tableColumns>
  <tableStyleInfo name="TableStyleLight16" showFirstColumn="0" showLastColumn="0" showRowStripes="1" showColumnStripes="0"/>
</table>
</file>

<file path=xl/tables/table19.xml><?xml version="1.0" encoding="utf-8"?>
<table xmlns="http://schemas.openxmlformats.org/spreadsheetml/2006/main" id="19" name="Oct_Period_1_Tbl" displayName="Oct_Period_1_Tbl" ref="A5:AD10" totalsRowCount="1" headerRowDxfId="433" tableBorderDxfId="432">
  <tableColumns count="30">
    <tableColumn id="1" name="STAFF:" totalsRowLabel="Totals:" dataDxfId="431" totalsRowDxfId="430" dataCellStyle="Normal"/>
    <tableColumn id="2" name="notes" dataDxfId="429" totalsRowDxfId="428" dataCellStyle="Normal"/>
    <tableColumn id="3" name="# PTO USED" totalsRowFunction="sum" dataDxfId="427" totalsRowDxfId="426" dataCellStyle="Normal"/>
    <tableColumn id="16" name="# PTO Holiday" totalsRowFunction="sum" dataDxfId="425" totalsRowDxfId="424"/>
    <tableColumn id="4" name="# HRS WORKED" totalsRowFunction="sum" dataDxfId="423" totalsRowDxfId="422" dataCellStyle="Normal"/>
    <tableColumn id="5" name="$ Hourly RATE" totalsRowFunction="sum" dataDxfId="421" totalsRowDxfId="420" dataCellStyle="Normal"/>
    <tableColumn id="6" name="$ Hourly WAGES" totalsRowFunction="sum" dataDxfId="419" totalsRowDxfId="418" dataCellStyle="Normal">
      <calculatedColumnFormula>IF(OR(ISBLANK(Oct_Period_1_Tbl[[#This Row],['# HRS WORKED]]),ISBLANK(Oct_Period_1_Tbl[[#This Row],[$ Hourly RATE]])),"",Oct_Period_1_Tbl[[#This Row],['# HRS WORKED]]*Oct_Period_1_Tbl[[#This Row],[$ Hourly RATE]])</calculatedColumnFormula>
    </tableColumn>
    <tableColumn id="7" name="$ SALARY" totalsRowFunction="sum" dataDxfId="417" totalsRowDxfId="416" dataCellStyle="Normal"/>
    <tableColumn id="8" name="$ SALARY PT" totalsRowFunction="sum" dataDxfId="415" totalsRowDxfId="414" dataCellStyle="Normal"/>
    <tableColumn id="9" name="$ FREE PT" totalsRowFunction="sum" dataDxfId="413" totalsRowDxfId="412" dataCellStyle="Normal"/>
    <tableColumn id="10" name="$ PAID PT" totalsRowFunction="sum" dataDxfId="411" totalsRowDxfId="410" dataCellStyle="Normal"/>
    <tableColumn id="11" name="$ PT COMM" totalsRowFunction="sum" dataDxfId="409" totalsRowDxfId="408" dataCellStyle="Normal"/>
    <tableColumn id="12" name="$ EFT COMM" totalsRowFunction="sum" dataDxfId="407" totalsRowDxfId="406" dataCellStyle="Normal"/>
    <tableColumn id="13" name="$ CLASS PAY" totalsRowFunction="sum" dataDxfId="405" totalsRowDxfId="404" dataCellStyle="Normal"/>
    <tableColumn id="14" name="$ BONUS PAY" totalsRowFunction="sum" dataDxfId="403" totalsRowDxfId="402" dataCellStyle="Normal"/>
    <tableColumn id="15" name="TOTAL PAY" totalsRowFunction="sum" dataDxfId="401" totalsRowDxfId="400">
      <calculatedColumnFormula>IF(Oct_Period_1_Tbl[[#This Row],[$ Hourly WAGES]]="",SUM(Oct_Period_1_Tbl[[#This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PAY]]),SUM(Oct_Period_1_Tbl[[#This Row],[$ Hourly WAGES]]+Oct_Period_1_Tbl[[#This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PAY]]))</calculatedColumnFormula>
    </tableColumn>
    <tableColumn id="17" name="Column1" dataDxfId="399"/>
    <tableColumn id="18" name="# POINTS EARNED" totalsRowFunction="custom" dataDxfId="398" totalsRowDxfId="397">
      <totalsRowFormula>SUBTOTAL(109,Dec_Period_1_Tbl['# POINTS EARNED])</totalsRowFormula>
    </tableColumn>
    <tableColumn id="19" name="# POINTS USED" totalsRowFunction="custom" dataDxfId="396" totalsRowDxfId="395">
      <totalsRowFormula>SUBTOTAL(109,Dec_Period_1_Tbl['# POINTS USED])</totalsRowFormula>
    </tableColumn>
    <tableColumn id="20" name="# CLASSES LEAD" totalsRowFunction="custom" dataDxfId="394" totalsRowDxfId="393">
      <totalsRowFormula>SUBTOTAL(109,Dec_Period_1_Tbl['# CLASSES LEAD])</totalsRowFormula>
    </tableColumn>
    <tableColumn id="21" name="# CLASSES SHOW" totalsRowFunction="custom" dataDxfId="392" totalsRowDxfId="391">
      <totalsRowFormula>SUBTOTAL(109,Dec_Period_1_Tbl['# CLASSES SHOW])</totalsRowFormula>
    </tableColumn>
    <tableColumn id="22" name="Column12" dataDxfId="390" totalsRowDxfId="389"/>
    <tableColumn id="23" name="BR FITNESS, LLC" totalsRowLabel="TOTALS" dataDxfId="388" totalsRowDxfId="387">
      <calculatedColumnFormula>Oct_Period_1_Tbl[[#This Row],[STAFF:]]</calculatedColumnFormula>
    </tableColumn>
    <tableColumn id="24" name="$ REGULAR WAGES" totalsRowFunction="sum" dataDxfId="386" totalsRowDxfId="385">
      <calculatedColumnFormula>IF(Oct_Period_1_Tbl[[#This Row],[$ Hourly WAGES]]="",Oct_Period_1_Tbl[[#This Row],[$ SALARY]],Oct_Period_1_Tbl[[#This Row],[$ Hourly WAGES]]+Oct_Period_1_Tbl[[#This Row],[$ SALARY]])</calculatedColumnFormula>
    </tableColumn>
    <tableColumn id="25" name="$ PERSONAL TRAINING" totalsRowFunction="sum" dataDxfId="384" totalsRowDxfId="383">
      <calculatedColumnFormula>Oct_Period_1_Tbl[[#This Row],[$ FREE PT]]+Oct_Period_1_Tbl[[#This Row],[$ PAID PT]]</calculatedColumnFormula>
    </tableColumn>
    <tableColumn id="26" name="$ CLASSES" totalsRowFunction="sum" dataDxfId="382" totalsRowDxfId="381">
      <calculatedColumnFormula>Oct_Period_1_Tbl[[#This Row],[$ CLASS PAY]]</calculatedColumnFormula>
    </tableColumn>
    <tableColumn id="27" name="$ EFT COMMISSION" totalsRowFunction="sum" dataDxfId="380" totalsRowDxfId="379">
      <calculatedColumnFormula>Oct_Period_1_Tbl[[#This Row],[$ EFT COMM]]</calculatedColumnFormula>
    </tableColumn>
    <tableColumn id="28" name="$ PT COMMISSION" totalsRowFunction="sum" dataDxfId="378" totalsRowDxfId="377">
      <calculatedColumnFormula>Oct_Period_1_Tbl[[#This Row],[$ PT COMM]]</calculatedColumnFormula>
    </tableColumn>
    <tableColumn id="29" name="BONUS" totalsRowFunction="sum" dataDxfId="376" totalsRowDxfId="375">
      <calculatedColumnFormula>Oct_Period_1_Tbl[[#This Row],[$ BONUS PAY]]</calculatedColumnFormula>
    </tableColumn>
    <tableColumn id="30" name="TOTAL_x000a_PAY" totalsRowFunction="sum" dataDxfId="374" totalsRowDxfId="373">
      <calculatedColumnFormula>Oct_Period_1_Tbl[[#This Row],[TOTAL PAY]]</calculatedColumnFormula>
    </tableColumn>
  </tableColumns>
  <tableStyleInfo name="TableStyleLight16" showFirstColumn="0" showLastColumn="0" showRowStripes="1" showColumnStripes="0"/>
</table>
</file>

<file path=xl/tables/table20.xml><?xml version="1.0" encoding="utf-8"?>
<table xmlns="http://schemas.openxmlformats.org/spreadsheetml/2006/main" id="20" name="Oct_Period_2_Tbl" displayName="Oct_Period_2_Tbl" ref="A14:AD19" totalsRowCount="1" headerRowDxfId="372" tableBorderDxfId="371">
  <tableColumns count="30">
    <tableColumn id="1" name="STAFF:" totalsRowLabel="Totals:" dataDxfId="370" totalsRowDxfId="369" dataCellStyle="Normal"/>
    <tableColumn id="2" name="notes" dataDxfId="368" totalsRowDxfId="367" dataCellStyle="Normal"/>
    <tableColumn id="3" name="# PTO USED" totalsRowFunction="sum" dataDxfId="366" totalsRowDxfId="365" dataCellStyle="Normal"/>
    <tableColumn id="16" name="# PTO Holiday" totalsRowFunction="sum" dataDxfId="364" totalsRowDxfId="363"/>
    <tableColumn id="4" name="# HRS WORKED" totalsRowFunction="sum" dataDxfId="362" totalsRowDxfId="361" dataCellStyle="Normal"/>
    <tableColumn id="5" name="$ Hourly RATE" totalsRowFunction="sum" dataDxfId="360" totalsRowDxfId="359" dataCellStyle="Normal"/>
    <tableColumn id="6" name="$ Hourly WAGES" totalsRowFunction="sum" dataDxfId="358" totalsRowDxfId="357" dataCellStyle="Normal">
      <calculatedColumnFormula>IF(OR(ISBLANK(Oct_Period_2_Tbl[[#This Row],['# HRS WORKED]]),ISBLANK(Oct_Period_2_Tbl[[#This Row],[$ Hourly RATE]])),"",Oct_Period_2_Tbl[[#This Row],['# HRS WORKED]]*Oct_Period_2_Tbl[[#This Row],[$ Hourly RATE]])</calculatedColumnFormula>
    </tableColumn>
    <tableColumn id="7" name="$ SALARY" totalsRowFunction="sum" dataDxfId="356" totalsRowDxfId="355" dataCellStyle="Normal"/>
    <tableColumn id="8" name="$ SALARY PT" totalsRowFunction="sum" dataDxfId="354" totalsRowDxfId="353" dataCellStyle="Normal"/>
    <tableColumn id="9" name="$ FREE PT" totalsRowFunction="sum" dataDxfId="352" totalsRowDxfId="351" dataCellStyle="Normal"/>
    <tableColumn id="10" name="$ PAID PT" totalsRowFunction="sum" dataDxfId="350" totalsRowDxfId="349" dataCellStyle="Normal"/>
    <tableColumn id="11" name="$ PT COMM" totalsRowFunction="sum" dataDxfId="348" totalsRowDxfId="347" dataCellStyle="Normal"/>
    <tableColumn id="12" name="$ EFT COMM" totalsRowFunction="sum" dataDxfId="346" totalsRowDxfId="345" dataCellStyle="Normal"/>
    <tableColumn id="13" name="$ CLASS PAY" totalsRowFunction="sum" dataDxfId="344" totalsRowDxfId="343" dataCellStyle="Normal"/>
    <tableColumn id="14" name="$ BONUS PAY" totalsRowFunction="sum" dataDxfId="342" totalsRowDxfId="341" dataCellStyle="Normal"/>
    <tableColumn id="15" name="TOTAL PAY" totalsRowFunction="sum" dataDxfId="340" totalsRowDxfId="339">
      <calculatedColumnFormula>IF(Oct_Period_2_Tbl[[#This Row],[$ Hourly WAGES]]="",SUM(Oct_Period_2_Tbl[[#This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PAY]]),SUM(Oct_Period_2_Tbl[[#This Row],[$ Hourly WAGES]]+Oct_Period_2_Tbl[[#This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PAY]]))</calculatedColumnFormula>
    </tableColumn>
    <tableColumn id="17" name="Column1" dataDxfId="338" totalsRowDxfId="337"/>
    <tableColumn id="18" name="# POINTS EARNED" totalsRowFunction="custom" dataDxfId="336" totalsRowDxfId="335">
      <totalsRowFormula>SUBTOTAL(109,Dec_Period_1_Tbl['# POINTS EARNED])</totalsRowFormula>
    </tableColumn>
    <tableColumn id="19" name="# POINTS USED" totalsRowFunction="custom" dataDxfId="334" totalsRowDxfId="333">
      <totalsRowFormula>SUBTOTAL(109,Dec_Period_1_Tbl['# POINTS USED])</totalsRowFormula>
    </tableColumn>
    <tableColumn id="20" name="# CLASSES LEAD" totalsRowFunction="custom" dataDxfId="332" totalsRowDxfId="331">
      <totalsRowFormula>SUBTOTAL(109,Dec_Period_1_Tbl['# CLASSES LEAD])</totalsRowFormula>
    </tableColumn>
    <tableColumn id="21" name="# CLASSES SHOW" totalsRowFunction="custom" dataDxfId="330" totalsRowDxfId="329">
      <totalsRowFormula>SUBTOTAL(109,Dec_Period_1_Tbl['# CLASSES SHOW])</totalsRowFormula>
    </tableColumn>
    <tableColumn id="22" name="Column12" dataDxfId="328" totalsRowDxfId="327"/>
    <tableColumn id="23" name="BR FITNESS, LLC" totalsRowLabel="TOTALS" dataDxfId="326" totalsRowDxfId="325">
      <calculatedColumnFormula>Oct_Period_2_Tbl[[#This Row],[STAFF:]]</calculatedColumnFormula>
    </tableColumn>
    <tableColumn id="24" name="$ REGULAR WAGES" totalsRowFunction="sum" dataDxfId="324" totalsRowDxfId="323">
      <calculatedColumnFormula>IF(Oct_Period_2_Tbl[[#This Row],[$ Hourly WAGES]]="",Oct_Period_2_Tbl[[#This Row],[$ SALARY]],Oct_Period_2_Tbl[[#This Row],[$ Hourly WAGES]]+Oct_Period_2_Tbl[[#This Row],[$ SALARY]])</calculatedColumnFormula>
    </tableColumn>
    <tableColumn id="25" name="$ PERSONAL TRAINING" totalsRowFunction="sum" dataDxfId="322" totalsRowDxfId="321">
      <calculatedColumnFormula>Oct_Period_2_Tbl[[#This Row],[$ FREE PT]]+Oct_Period_2_Tbl[[#This Row],[$ PAID PT]]</calculatedColumnFormula>
    </tableColumn>
    <tableColumn id="26" name="$ CLASSES" totalsRowFunction="sum" dataDxfId="320" totalsRowDxfId="319">
      <calculatedColumnFormula>Oct_Period_2_Tbl[[#This Row],[$ CLASS PAY]]</calculatedColumnFormula>
    </tableColumn>
    <tableColumn id="27" name="$ EFT COMMISSION" totalsRowFunction="sum" dataDxfId="318" totalsRowDxfId="317">
      <calculatedColumnFormula>Oct_Period_2_Tbl[[#This Row],[$ EFT COMM]]</calculatedColumnFormula>
    </tableColumn>
    <tableColumn id="28" name="$ PT COMMISSION" totalsRowFunction="sum" dataDxfId="316" totalsRowDxfId="315">
      <calculatedColumnFormula>Oct_Period_2_Tbl[[#This Row],[$ PT COMM]]</calculatedColumnFormula>
    </tableColumn>
    <tableColumn id="29" name="BONUS" totalsRowFunction="sum" dataDxfId="314" totalsRowDxfId="313">
      <calculatedColumnFormula>Oct_Period_2_Tbl[[#This Row],[$ BONUS PAY]]</calculatedColumnFormula>
    </tableColumn>
    <tableColumn id="30" name="TOTAL_x000a_PAY" totalsRowFunction="sum" dataDxfId="312" totalsRowDxfId="311">
      <calculatedColumnFormula>Oct_Period_2_Tbl[[#This Row],[TOTAL PAY]]</calculatedColumnFormula>
    </tableColumn>
  </tableColumns>
  <tableStyleInfo name="TableStyleLight16" showFirstColumn="0" showLastColumn="0" showRowStripes="1" showColumnStripes="0"/>
</table>
</file>

<file path=xl/tables/table21.xml><?xml version="1.0" encoding="utf-8"?>
<table xmlns="http://schemas.openxmlformats.org/spreadsheetml/2006/main" id="21" name="Nov_Period_1_Tbl" displayName="Nov_Period_1_Tbl" ref="A5:AD10" totalsRowCount="1" headerRowDxfId="310" tableBorderDxfId="309">
  <tableColumns count="30">
    <tableColumn id="1" name="STAFF:" totalsRowLabel="Totals:" dataDxfId="308" totalsRowDxfId="307" dataCellStyle="Normal"/>
    <tableColumn id="2" name="notes" dataDxfId="306" totalsRowDxfId="305" dataCellStyle="Normal"/>
    <tableColumn id="3" name="# PTO USED" totalsRowFunction="sum" dataDxfId="304" totalsRowDxfId="303" dataCellStyle="Normal"/>
    <tableColumn id="16" name="# PTO Holiday" totalsRowFunction="sum" dataDxfId="302" totalsRowDxfId="301"/>
    <tableColumn id="4" name="# HRS WORKED" totalsRowFunction="sum" dataDxfId="300" totalsRowDxfId="299" dataCellStyle="Normal"/>
    <tableColumn id="5" name="$ Hourly RATE" totalsRowFunction="sum" dataDxfId="298" totalsRowDxfId="297" dataCellStyle="Normal"/>
    <tableColumn id="6" name="$ Hourly WAGES" totalsRowFunction="sum" dataDxfId="296" totalsRowDxfId="295" dataCellStyle="Normal">
      <calculatedColumnFormula>IF(OR(ISBLANK(Nov_Period_1_Tbl[[#This Row],['# HRS WORKED]]),ISBLANK(Nov_Period_1_Tbl[[#This Row],[$ Hourly RATE]])),"",Nov_Period_1_Tbl[[#This Row],['# HRS WORKED]]*Nov_Period_1_Tbl[[#This Row],[$ Hourly RATE]])</calculatedColumnFormula>
    </tableColumn>
    <tableColumn id="7" name="$ SALARY" totalsRowFunction="sum" dataDxfId="294" totalsRowDxfId="293" dataCellStyle="Normal"/>
    <tableColumn id="8" name="$ SALARY PT" totalsRowFunction="sum" dataDxfId="292" totalsRowDxfId="291" dataCellStyle="Normal"/>
    <tableColumn id="9" name="$ FREE PT" totalsRowFunction="sum" dataDxfId="290" totalsRowDxfId="289" dataCellStyle="Normal"/>
    <tableColumn id="10" name="$ PAID PT" totalsRowFunction="sum" dataDxfId="288" totalsRowDxfId="287" dataCellStyle="Normal"/>
    <tableColumn id="11" name="$ PT COMM" totalsRowFunction="sum" dataDxfId="286" totalsRowDxfId="285" dataCellStyle="Normal"/>
    <tableColumn id="12" name="$ EFT COMM" totalsRowFunction="sum" dataDxfId="284" totalsRowDxfId="283" dataCellStyle="Normal"/>
    <tableColumn id="13" name="$ CLASS PAY" totalsRowFunction="sum" dataDxfId="282" totalsRowDxfId="281" dataCellStyle="Normal"/>
    <tableColumn id="14" name="$ BONUS PAY" totalsRowFunction="sum" dataDxfId="280" totalsRowDxfId="279" dataCellStyle="Normal"/>
    <tableColumn id="15" name="TOTAL PAY" totalsRowFunction="sum" dataDxfId="278" totalsRowDxfId="277">
      <calculatedColumnFormula>IF(Nov_Period_1_Tbl[[#This Row],[$ Hourly WAGES]]="",SUM(Nov_Period_1_Tbl[[#This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PAY]]),SUM(Nov_Period_1_Tbl[[#This Row],[$ Hourly WAGES]]+Nov_Period_1_Tbl[[#This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PAY]]))</calculatedColumnFormula>
    </tableColumn>
    <tableColumn id="17" name="Column1" dataDxfId="276" totalsRowDxfId="275"/>
    <tableColumn id="18" name="# POINTS EARNED" totalsRowFunction="custom" dataDxfId="274" totalsRowDxfId="273">
      <totalsRowFormula>SUBTOTAL(109,Dec_Period_1_Tbl['# POINTS EARNED])</totalsRowFormula>
    </tableColumn>
    <tableColumn id="19" name="# POINTS USED" totalsRowFunction="custom" dataDxfId="272" totalsRowDxfId="271">
      <totalsRowFormula>SUBTOTAL(109,Dec_Period_1_Tbl['# POINTS USED])</totalsRowFormula>
    </tableColumn>
    <tableColumn id="20" name="# CLASSES LEAD" totalsRowFunction="custom" dataDxfId="270" totalsRowDxfId="269">
      <totalsRowFormula>SUBTOTAL(109,Dec_Period_1_Tbl['# CLASSES LEAD])</totalsRowFormula>
    </tableColumn>
    <tableColumn id="21" name="# CLASSES SHOW" totalsRowFunction="custom" dataDxfId="268" totalsRowDxfId="267">
      <totalsRowFormula>SUBTOTAL(109,Dec_Period_1_Tbl['# CLASSES SHOW])</totalsRowFormula>
    </tableColumn>
    <tableColumn id="22" name="Column12" dataDxfId="266" totalsRowDxfId="265"/>
    <tableColumn id="23" name="BR FITNESS, LLC" totalsRowLabel="TOTALS" dataDxfId="264" totalsRowDxfId="263">
      <calculatedColumnFormula>Nov_Period_1_Tbl[[#This Row],[STAFF:]]</calculatedColumnFormula>
    </tableColumn>
    <tableColumn id="24" name="$ REGULAR WAGES" totalsRowFunction="sum" dataDxfId="262" totalsRowDxfId="261">
      <calculatedColumnFormula>IF(Nov_Period_1_Tbl[[#This Row],[$ Hourly WAGES]]="",Nov_Period_1_Tbl[[#This Row],[$ SALARY]],Nov_Period_1_Tbl[[#This Row],[$ Hourly WAGES]]+Nov_Period_1_Tbl[[#This Row],[$ SALARY]])</calculatedColumnFormula>
    </tableColumn>
    <tableColumn id="25" name="$ PERSONAL TRAINING" totalsRowFunction="sum" dataDxfId="260" totalsRowDxfId="259">
      <calculatedColumnFormula>Nov_Period_1_Tbl[[#This Row],[$ FREE PT]]+Nov_Period_1_Tbl[[#This Row],[$ PAID PT]]</calculatedColumnFormula>
    </tableColumn>
    <tableColumn id="26" name="$ CLASSES" totalsRowFunction="sum" dataDxfId="258" totalsRowDxfId="257">
      <calculatedColumnFormula>Nov_Period_1_Tbl[[#This Row],[$ CLASS PAY]]</calculatedColumnFormula>
    </tableColumn>
    <tableColumn id="27" name="$ EFT COMMISSION" totalsRowFunction="sum" dataDxfId="256" totalsRowDxfId="255">
      <calculatedColumnFormula>Nov_Period_1_Tbl[[#This Row],[$ EFT COMM]]</calculatedColumnFormula>
    </tableColumn>
    <tableColumn id="28" name="$ PT COMMISSION" totalsRowFunction="sum" dataDxfId="254" totalsRowDxfId="253">
      <calculatedColumnFormula>Nov_Period_1_Tbl[[#This Row],[$ PT COMM]]</calculatedColumnFormula>
    </tableColumn>
    <tableColumn id="29" name="BONUS" totalsRowFunction="sum" dataDxfId="252" totalsRowDxfId="251">
      <calculatedColumnFormula>Nov_Period_1_Tbl[[#This Row],[$ BONUS PAY]]</calculatedColumnFormula>
    </tableColumn>
    <tableColumn id="30" name="TOTAL_x000a_PAY" totalsRowFunction="sum" dataDxfId="250" totalsRowDxfId="249">
      <calculatedColumnFormula>Nov_Period_1_Tbl[[#This Row],[TOTAL PAY]]</calculatedColumnFormula>
    </tableColumn>
  </tableColumns>
  <tableStyleInfo name="TableStyleLight16" showFirstColumn="0" showLastColumn="0" showRowStripes="1" showColumnStripes="0"/>
</table>
</file>

<file path=xl/tables/table22.xml><?xml version="1.0" encoding="utf-8"?>
<table xmlns="http://schemas.openxmlformats.org/spreadsheetml/2006/main" id="22" name="Nov_Period_2_Tbl" displayName="Nov_Period_2_Tbl" ref="A14:AD19" totalsRowCount="1" headerRowDxfId="248" tableBorderDxfId="247">
  <tableColumns count="30">
    <tableColumn id="1" name="STAFF:" totalsRowLabel="Totals:" dataDxfId="246" totalsRowDxfId="245" dataCellStyle="Normal"/>
    <tableColumn id="2" name="notes" dataDxfId="244" totalsRowDxfId="243" dataCellStyle="Normal"/>
    <tableColumn id="3" name="# PTO USED" totalsRowFunction="sum" dataDxfId="242" totalsRowDxfId="241" dataCellStyle="Normal"/>
    <tableColumn id="16" name="# PTO Holiday" totalsRowFunction="sum" dataDxfId="240" totalsRowDxfId="239"/>
    <tableColumn id="4" name="# HRS WORKED" totalsRowFunction="sum" dataDxfId="238" totalsRowDxfId="237" dataCellStyle="Normal"/>
    <tableColumn id="5" name="$ Hourly RATE" totalsRowFunction="sum" dataDxfId="236" totalsRowDxfId="235" dataCellStyle="Normal"/>
    <tableColumn id="6" name="$ Hourly WAGES" totalsRowFunction="sum" dataDxfId="234" totalsRowDxfId="233" dataCellStyle="Normal">
      <calculatedColumnFormula>IF(OR(ISBLANK(Nov_Period_2_Tbl[[#This Row],['# HRS WORKED]]),ISBLANK(Nov_Period_2_Tbl[[#This Row],[$ Hourly RATE]])),"",Nov_Period_2_Tbl[[#This Row],['# HRS WORKED]]*Nov_Period_2_Tbl[[#This Row],[$ Hourly RATE]])</calculatedColumnFormula>
    </tableColumn>
    <tableColumn id="7" name="$ SALARY" totalsRowFunction="sum" dataDxfId="232" totalsRowDxfId="231" dataCellStyle="Normal"/>
    <tableColumn id="8" name="$ SALARY PT" totalsRowFunction="sum" dataDxfId="230" totalsRowDxfId="229" dataCellStyle="Normal"/>
    <tableColumn id="9" name="$ FREE PT" totalsRowFunction="sum" dataDxfId="228" totalsRowDxfId="227" dataCellStyle="Normal"/>
    <tableColumn id="10" name="$ PAID PT" totalsRowFunction="sum" dataDxfId="226" totalsRowDxfId="225" dataCellStyle="Normal"/>
    <tableColumn id="11" name="$ PT COMM" totalsRowFunction="sum" dataDxfId="224" totalsRowDxfId="223" dataCellStyle="Normal"/>
    <tableColumn id="12" name="$ EFT COMM" totalsRowFunction="sum" dataDxfId="222" totalsRowDxfId="221" dataCellStyle="Normal"/>
    <tableColumn id="13" name="$ CLASS PAY" totalsRowFunction="sum" dataDxfId="220" totalsRowDxfId="219" dataCellStyle="Normal"/>
    <tableColumn id="14" name="$ BONUS PAY" totalsRowFunction="sum" dataDxfId="218" totalsRowDxfId="217" dataCellStyle="Normal"/>
    <tableColumn id="15" name="TOTAL PAY" totalsRowFunction="sum" dataDxfId="216" totalsRowDxfId="215">
      <calculatedColumnFormula>IF(Nov_Period_2_Tbl[[#This Row],[$ Hourly WAGES]]="",SUM(Nov_Period_2_Tbl[[#This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PAY]]),SUM(Nov_Period_2_Tbl[[#This Row],[$ Hourly WAGES]]+Nov_Period_2_Tbl[[#This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PAY]]))</calculatedColumnFormula>
    </tableColumn>
    <tableColumn id="17" name="Column1" dataDxfId="214" totalsRowDxfId="213"/>
    <tableColumn id="18" name="# POINTS EARNED" totalsRowFunction="custom" dataDxfId="212" totalsRowDxfId="211">
      <totalsRowFormula>SUBTOTAL(109,Dec_Period_1_Tbl['# POINTS EARNED])</totalsRowFormula>
    </tableColumn>
    <tableColumn id="19" name="# POINTS USED" totalsRowFunction="custom" dataDxfId="210" totalsRowDxfId="209">
      <totalsRowFormula>SUBTOTAL(109,Dec_Period_1_Tbl['# POINTS USED])</totalsRowFormula>
    </tableColumn>
    <tableColumn id="20" name="# CLASSES LEAD" totalsRowFunction="custom" dataDxfId="208" totalsRowDxfId="207">
      <totalsRowFormula>SUBTOTAL(109,Dec_Period_1_Tbl['# CLASSES LEAD])</totalsRowFormula>
    </tableColumn>
    <tableColumn id="21" name="# CLASSES SHOW" totalsRowFunction="custom" dataDxfId="206" totalsRowDxfId="205">
      <totalsRowFormula>SUBTOTAL(109,Dec_Period_1_Tbl['# CLASSES SHOW])</totalsRowFormula>
    </tableColumn>
    <tableColumn id="22" name="Column12" dataDxfId="204" totalsRowDxfId="203"/>
    <tableColumn id="23" name="BR FITNESS, LLC" totalsRowLabel="TOTALS" dataDxfId="202" totalsRowDxfId="201">
      <calculatedColumnFormula>Nov_Period_2_Tbl[[#This Row],[STAFF:]]</calculatedColumnFormula>
    </tableColumn>
    <tableColumn id="24" name="$ REGULAR WAGES" totalsRowFunction="sum" dataDxfId="200" totalsRowDxfId="199">
      <calculatedColumnFormula>IF(Nov_Period_2_Tbl[[#This Row],[$ Hourly WAGES]]="",Nov_Period_2_Tbl[[#This Row],[$ SALARY]],Nov_Period_2_Tbl[[#This Row],[$ Hourly WAGES]]+Nov_Period_2_Tbl[[#This Row],[$ SALARY]])</calculatedColumnFormula>
    </tableColumn>
    <tableColumn id="25" name="$ PERSONAL TRAINING" totalsRowFunction="sum" dataDxfId="198" totalsRowDxfId="197">
      <calculatedColumnFormula>Nov_Period_2_Tbl[[#This Row],[$ FREE PT]]+Nov_Period_2_Tbl[[#This Row],[$ PAID PT]]</calculatedColumnFormula>
    </tableColumn>
    <tableColumn id="26" name="$ CLASSES" totalsRowFunction="sum" dataDxfId="196" totalsRowDxfId="195">
      <calculatedColumnFormula>Nov_Period_2_Tbl[[#This Row],[$ CLASS PAY]]</calculatedColumnFormula>
    </tableColumn>
    <tableColumn id="27" name="$ EFT COMMISSION" totalsRowFunction="sum" dataDxfId="194" totalsRowDxfId="193">
      <calculatedColumnFormula>Nov_Period_2_Tbl[[#This Row],[$ EFT COMM]]</calculatedColumnFormula>
    </tableColumn>
    <tableColumn id="28" name="$ PT COMMISSION" totalsRowFunction="sum" dataDxfId="192" totalsRowDxfId="191">
      <calculatedColumnFormula>Nov_Period_2_Tbl[[#This Row],[$ PT COMM]]</calculatedColumnFormula>
    </tableColumn>
    <tableColumn id="29" name="BONUS" totalsRowFunction="sum" dataDxfId="190" totalsRowDxfId="189">
      <calculatedColumnFormula>Nov_Period_2_Tbl[[#This Row],[$ BONUS PAY]]</calculatedColumnFormula>
    </tableColumn>
    <tableColumn id="30" name="TOTAL_x000a_PAY" totalsRowFunction="sum" dataDxfId="188" totalsRowDxfId="187">
      <calculatedColumnFormula>Nov_Period_2_Tbl[[#This Row],[TOTAL PAY]]</calculatedColumnFormula>
    </tableColumn>
  </tableColumns>
  <tableStyleInfo name="TableStyleLight16" showFirstColumn="0" showLastColumn="0" showRowStripes="1" showColumnStripes="0"/>
</table>
</file>

<file path=xl/tables/table23.xml><?xml version="1.0" encoding="utf-8"?>
<table xmlns="http://schemas.openxmlformats.org/spreadsheetml/2006/main" id="23" name="Dec_Period_1_Tbl" displayName="Dec_Period_1_Tbl" ref="A5:AD10" totalsRowCount="1" headerRowDxfId="186" dataDxfId="185" totalsRowDxfId="183" tableBorderDxfId="184">
  <tableColumns count="30">
    <tableColumn id="1" name="STAFF:" totalsRowLabel="Totals:" dataDxfId="182" totalsRowDxfId="181" dataCellStyle="Normal"/>
    <tableColumn id="2" name="notes" dataDxfId="180" totalsRowDxfId="179" dataCellStyle="Normal"/>
    <tableColumn id="3" name="# PTO USED" totalsRowFunction="sum" dataDxfId="178" totalsRowDxfId="177" dataCellStyle="Normal"/>
    <tableColumn id="16" name="# PTO Holiday" totalsRowFunction="sum" dataDxfId="176" totalsRowDxfId="175"/>
    <tableColumn id="4" name="# HRS WORKED" totalsRowFunction="sum" dataDxfId="174" totalsRowDxfId="173" dataCellStyle="Normal"/>
    <tableColumn id="5" name="$ Hourly RATE" totalsRowFunction="sum" dataDxfId="172" totalsRowDxfId="171" dataCellStyle="Normal"/>
    <tableColumn id="6" name="$ Hourly WAGES" totalsRowFunction="sum" dataDxfId="170" totalsRowDxfId="169" dataCellStyle="Normal">
      <calculatedColumnFormula>IF(OR(ISBLANK(Dec_Period_1_Tbl[[#This Row],['# HRS WORKED]]),ISBLANK(Dec_Period_1_Tbl[[#This Row],[$ Hourly RATE]])),"",Dec_Period_1_Tbl[[#This Row],['# HRS WORKED]]*Dec_Period_1_Tbl[[#This Row],[$ Hourly RATE]])</calculatedColumnFormula>
    </tableColumn>
    <tableColumn id="7" name="$ SALARY" totalsRowFunction="sum" dataDxfId="168" totalsRowDxfId="167" dataCellStyle="Normal"/>
    <tableColumn id="8" name="$ SALARY PT" totalsRowFunction="sum" dataDxfId="166" totalsRowDxfId="165" dataCellStyle="Normal"/>
    <tableColumn id="9" name="$ FREE PT" totalsRowFunction="sum" dataDxfId="164" totalsRowDxfId="163" dataCellStyle="Normal"/>
    <tableColumn id="10" name="$ PAID PT" totalsRowFunction="sum" dataDxfId="162" totalsRowDxfId="161" dataCellStyle="Normal"/>
    <tableColumn id="11" name="$ PT COMM" totalsRowFunction="sum" dataDxfId="160" totalsRowDxfId="159" dataCellStyle="Normal"/>
    <tableColumn id="12" name="$ EFT COMM" totalsRowFunction="sum" dataDxfId="158" totalsRowDxfId="157" dataCellStyle="Normal"/>
    <tableColumn id="13" name="$ CLASS PAY" totalsRowFunction="sum" dataDxfId="156" totalsRowDxfId="155" dataCellStyle="Normal"/>
    <tableColumn id="14" name="$ BONUS PAY" totalsRowFunction="sum" dataDxfId="154" totalsRowDxfId="153" dataCellStyle="Normal"/>
    <tableColumn id="15" name="TOTAL PAY" totalsRowFunction="sum" dataDxfId="152" totalsRowDxfId="151">
      <calculatedColumnFormula>IF(Dec_Period_1_Tbl[[#This Row],[$ Hourly WAGES]]="",SUM(Dec_Period_1_Tbl[[#This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PAY]]),SUM(Dec_Period_1_Tbl[[#This Row],[$ Hourly WAGES]]+Dec_Period_1_Tbl[[#This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PAY]]))</calculatedColumnFormula>
    </tableColumn>
    <tableColumn id="21" name="Column1" dataDxfId="150" totalsRowDxfId="149"/>
    <tableColumn id="17" name="# POINTS EARNED" totalsRowFunction="sum" dataDxfId="148" totalsRowDxfId="147"/>
    <tableColumn id="18" name="# POINTS USED" totalsRowFunction="sum" dataDxfId="146" totalsRowDxfId="145"/>
    <tableColumn id="19" name="# CLASSES LEAD" totalsRowFunction="sum" dataDxfId="144" totalsRowDxfId="143"/>
    <tableColumn id="20" name="# CLASSES SHOW" totalsRowFunction="sum" dataDxfId="142" totalsRowDxfId="141"/>
    <tableColumn id="22" name="Column12" dataDxfId="140" totalsRowDxfId="139"/>
    <tableColumn id="23" name="BR FITNESS, LLC" totalsRowLabel="TOTALS" dataDxfId="138" totalsRowDxfId="137">
      <calculatedColumnFormula>Dec_Period_1_Tbl[[#This Row],[STAFF:]]</calculatedColumnFormula>
    </tableColumn>
    <tableColumn id="24" name="$ REGULAR WAGES" totalsRowFunction="sum" dataDxfId="136" totalsRowDxfId="135">
      <calculatedColumnFormula>IF(Dec_Period_1_Tbl[[#This Row],[$ Hourly WAGES]]="",Dec_Period_1_Tbl[[#This Row],[$ SALARY]],Dec_Period_1_Tbl[[#This Row],[$ Hourly WAGES]]+Dec_Period_1_Tbl[[#This Row],[$ SALARY]])</calculatedColumnFormula>
    </tableColumn>
    <tableColumn id="25" name="$ PERSONAL TRAINING" totalsRowFunction="sum" dataDxfId="134" totalsRowDxfId="133">
      <calculatedColumnFormula>Dec_Period_1_Tbl[[#This Row],[$ FREE PT]]+Dec_Period_1_Tbl[[#This Row],[$ PAID PT]]</calculatedColumnFormula>
    </tableColumn>
    <tableColumn id="26" name="$ CLASSES" totalsRowFunction="sum" dataDxfId="132" totalsRowDxfId="131">
      <calculatedColumnFormula>Dec_Period_1_Tbl[[#This Row],[$ CLASS PAY]]</calculatedColumnFormula>
    </tableColumn>
    <tableColumn id="27" name="$ EFT COMMISSION" totalsRowFunction="sum" dataDxfId="130" totalsRowDxfId="129">
      <calculatedColumnFormula>Dec_Period_1_Tbl[[#This Row],[$ EFT COMM]]</calculatedColumnFormula>
    </tableColumn>
    <tableColumn id="28" name="$ PT COMMISSION" totalsRowFunction="sum" dataDxfId="128" totalsRowDxfId="127">
      <calculatedColumnFormula>Dec_Period_1_Tbl[[#This Row],[$ PT COMM]]</calculatedColumnFormula>
    </tableColumn>
    <tableColumn id="29" name="BONUS" totalsRowFunction="sum" dataDxfId="126" totalsRowDxfId="125">
      <calculatedColumnFormula>Dec_Period_1_Tbl[[#This Row],[$ BONUS PAY]]</calculatedColumnFormula>
    </tableColumn>
    <tableColumn id="30" name="TOTAL_x000a_PAY" totalsRowFunction="sum" dataDxfId="124" totalsRowDxfId="123">
      <calculatedColumnFormula>Dec_Period_1_Tbl[[#This Row],[TOTAL PAY]]</calculatedColumnFormula>
    </tableColumn>
  </tableColumns>
  <tableStyleInfo name="TableStyleLight16" showFirstColumn="0" showLastColumn="0" showRowStripes="1" showColumnStripes="0"/>
</table>
</file>

<file path=xl/tables/table24.xml><?xml version="1.0" encoding="utf-8"?>
<table xmlns="http://schemas.openxmlformats.org/spreadsheetml/2006/main" id="24" name="Dec_Period_2_Tbl" displayName="Dec_Period_2_Tbl" ref="A14:AD19" totalsRowCount="1" headerRowDxfId="122" dataDxfId="121" totalsRowDxfId="119" tableBorderDxfId="120">
  <tableColumns count="30">
    <tableColumn id="1" name="STAFF:" totalsRowLabel="Totals:" dataDxfId="118" totalsRowDxfId="117" dataCellStyle="Normal"/>
    <tableColumn id="2" name="notes" dataDxfId="116" totalsRowDxfId="115" dataCellStyle="Normal"/>
    <tableColumn id="3" name="# PTO USED" totalsRowFunction="sum" dataDxfId="114" totalsRowDxfId="113" dataCellStyle="Normal"/>
    <tableColumn id="16" name="# PTO Holiday" totalsRowFunction="sum" dataDxfId="112" totalsRowDxfId="111"/>
    <tableColumn id="4" name="# HRS WORKED" totalsRowFunction="sum" dataDxfId="110" totalsRowDxfId="109" dataCellStyle="Normal"/>
    <tableColumn id="5" name="$ Hourly RATE" totalsRowFunction="sum" dataDxfId="108" totalsRowDxfId="107" dataCellStyle="Normal"/>
    <tableColumn id="6" name="$ Hourly WAGES" totalsRowFunction="sum" dataDxfId="106" totalsRowDxfId="105" dataCellStyle="Normal">
      <calculatedColumnFormula>IF(OR(ISBLANK(Dec_Period_2_Tbl[[#This Row],['# HRS WORKED]]),ISBLANK(Dec_Period_2_Tbl[[#This Row],[$ Hourly RATE]])),"",Dec_Period_2_Tbl[[#This Row],['# HRS WORKED]]*Dec_Period_2_Tbl[[#This Row],[$ Hourly RATE]])</calculatedColumnFormula>
    </tableColumn>
    <tableColumn id="7" name="$ SALARY" totalsRowFunction="sum" dataDxfId="104" totalsRowDxfId="103" dataCellStyle="Normal"/>
    <tableColumn id="8" name="$ SALARY PT" totalsRowFunction="sum" dataDxfId="102" totalsRowDxfId="101" dataCellStyle="Normal"/>
    <tableColumn id="9" name="$ FREE PT" totalsRowFunction="sum" dataDxfId="100" totalsRowDxfId="99" dataCellStyle="Normal"/>
    <tableColumn id="10" name="$ PAID PT" totalsRowFunction="sum" dataDxfId="98" totalsRowDxfId="97" dataCellStyle="Normal"/>
    <tableColumn id="11" name="$ PT COMM" totalsRowFunction="sum" dataDxfId="96" totalsRowDxfId="95" dataCellStyle="Normal"/>
    <tableColumn id="12" name="$ EFT COMM" totalsRowFunction="sum" dataDxfId="94" totalsRowDxfId="93" dataCellStyle="Normal"/>
    <tableColumn id="13" name="$ CLASS PAY" totalsRowFunction="sum" dataDxfId="92" totalsRowDxfId="91" dataCellStyle="Normal"/>
    <tableColumn id="14" name="$ BONUS PAY" totalsRowFunction="sum" dataDxfId="90" totalsRowDxfId="89" dataCellStyle="Normal"/>
    <tableColumn id="15" name="TOTAL PAY" totalsRowFunction="sum" dataDxfId="88" totalsRowDxfId="87">
      <calculatedColumnFormula>IF(Dec_Period_2_Tbl[[#This Row],[$ Hourly WAGES]]="",SUM(Dec_Period_2_Tbl[[#This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PAY]]),SUM(Dec_Period_2_Tbl[[#This Row],[$ Hourly WAGES]]+Dec_Period_2_Tbl[[#This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PAY]]))</calculatedColumnFormula>
    </tableColumn>
    <tableColumn id="17" name="Column1" dataDxfId="86" totalsRowDxfId="85"/>
    <tableColumn id="18" name="# POINTS EARNED" totalsRowFunction="sum" dataDxfId="84" totalsRowDxfId="83"/>
    <tableColumn id="19" name="# POINTS USED" totalsRowFunction="sum" dataDxfId="82" totalsRowDxfId="81"/>
    <tableColumn id="20" name="# CLASSES LEAD" totalsRowFunction="sum" dataDxfId="80" totalsRowDxfId="79"/>
    <tableColumn id="21" name="# CLASSES SHOW" totalsRowFunction="sum" dataDxfId="78" totalsRowDxfId="77"/>
    <tableColumn id="22" name="Column12" dataDxfId="76" totalsRowDxfId="75"/>
    <tableColumn id="23" name="BR FITNESS, LLC" totalsRowLabel="TOTALS" dataDxfId="74" totalsRowDxfId="73">
      <calculatedColumnFormula>Dec_Period_2_Tbl[[#This Row],[STAFF:]]</calculatedColumnFormula>
    </tableColumn>
    <tableColumn id="24" name="$ REGULAR WAGES" totalsRowFunction="sum" dataDxfId="72" totalsRowDxfId="71">
      <calculatedColumnFormula>IF(Dec_Period_2_Tbl[[#This Row],[$ Hourly WAGES]]="",Dec_Period_2_Tbl[[#This Row],[$ SALARY]],Dec_Period_2_Tbl[[#This Row],[$ Hourly WAGES]]+Dec_Period_2_Tbl[[#This Row],[$ SALARY]])</calculatedColumnFormula>
    </tableColumn>
    <tableColumn id="25" name="$ PERSONAL TRAINING" totalsRowFunction="sum" dataDxfId="70" totalsRowDxfId="69">
      <calculatedColumnFormula>Dec_Period_2_Tbl[[#This Row],[$ FREE PT]]+Dec_Period_2_Tbl[[#This Row],[$ PAID PT]]</calculatedColumnFormula>
    </tableColumn>
    <tableColumn id="26" name="$ CLASSES" totalsRowFunction="sum" dataDxfId="68" totalsRowDxfId="67">
      <calculatedColumnFormula>Dec_Period_2_Tbl[[#This Row],[$ CLASS PAY]]</calculatedColumnFormula>
    </tableColumn>
    <tableColumn id="27" name="$ EFT COMMISSION" totalsRowFunction="sum" dataDxfId="66" totalsRowDxfId="65">
      <calculatedColumnFormula>Dec_Period_2_Tbl[[#This Row],[$ EFT COMM]]</calculatedColumnFormula>
    </tableColumn>
    <tableColumn id="28" name="$ PT COMMISSION" totalsRowFunction="sum" dataDxfId="64" totalsRowDxfId="63">
      <calculatedColumnFormula>Dec_Period_2_Tbl[[#This Row],[$ PT COMM]]</calculatedColumnFormula>
    </tableColumn>
    <tableColumn id="29" name="BONUS" totalsRowFunction="sum" dataDxfId="62" totalsRowDxfId="61">
      <calculatedColumnFormula>Dec_Period_2_Tbl[[#This Row],[$ BONUS PAY]]</calculatedColumnFormula>
    </tableColumn>
    <tableColumn id="30" name="TOTAL_x000a_PAY" totalsRowFunction="sum" dataDxfId="60" totalsRowDxfId="59">
      <calculatedColumnFormula>Dec_Period_2_Tbl[[#This Row],[TOTAL PAY]]</calculatedColumnFormula>
    </tableColumn>
  </tableColumns>
  <tableStyleInfo name="TableStyleLight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comments" Target="../comments3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5" Type="http://schemas.openxmlformats.org/officeDocument/2006/relationships/comments" Target="../comments4.xml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omments" Target="../comments5.xml"/><Relationship Id="rId4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omments" Target="../comments6.xml"/><Relationship Id="rId4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8.xml"/><Relationship Id="rId5" Type="http://schemas.openxmlformats.org/officeDocument/2006/relationships/comments" Target="../comments7.xml"/><Relationship Id="rId4" Type="http://schemas.openxmlformats.org/officeDocument/2006/relationships/table" Target="../tables/table1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Relationship Id="rId5" Type="http://schemas.openxmlformats.org/officeDocument/2006/relationships/comments" Target="../comments8.xml"/><Relationship Id="rId4" Type="http://schemas.openxmlformats.org/officeDocument/2006/relationships/table" Target="../tables/table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Relationship Id="rId5" Type="http://schemas.openxmlformats.org/officeDocument/2006/relationships/comments" Target="../comments9.xml"/><Relationship Id="rId4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5" Type="http://schemas.openxmlformats.org/officeDocument/2006/relationships/comments" Target="../comments10.xml"/><Relationship Id="rId4" Type="http://schemas.openxmlformats.org/officeDocument/2006/relationships/table" Target="../tables/table18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5" Type="http://schemas.openxmlformats.org/officeDocument/2006/relationships/comments" Target="../comments11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3.xml"/><Relationship Id="rId5" Type="http://schemas.openxmlformats.org/officeDocument/2006/relationships/comments" Target="../comments12.xml"/><Relationship Id="rId4" Type="http://schemas.openxmlformats.org/officeDocument/2006/relationships/table" Target="../tables/table2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13.xml"/><Relationship Id="rId5" Type="http://schemas.openxmlformats.org/officeDocument/2006/relationships/table" Target="../tables/table24.xml"/><Relationship Id="rId4" Type="http://schemas.openxmlformats.org/officeDocument/2006/relationships/table" Target="../tables/table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_Master_Sheet"/>
  <dimension ref="A1:E2"/>
  <sheetViews>
    <sheetView workbookViewId="0"/>
  </sheetViews>
  <sheetFormatPr defaultRowHeight="15" x14ac:dyDescent="0.25"/>
  <cols>
    <col min="1" max="1" width="22.85546875" bestFit="1" customWidth="1"/>
    <col min="3" max="3" width="14.5703125" bestFit="1" customWidth="1"/>
    <col min="5" max="5" width="20" bestFit="1" customWidth="1"/>
  </cols>
  <sheetData>
    <row r="1" spans="1:5" x14ac:dyDescent="0.25">
      <c r="A1" s="19" t="s">
        <v>56</v>
      </c>
      <c r="C1" s="19" t="s">
        <v>55</v>
      </c>
      <c r="E1" s="19" t="s">
        <v>56</v>
      </c>
    </row>
    <row r="2" spans="1:5" x14ac:dyDescent="0.25">
      <c r="A2" s="18" t="s">
        <v>154</v>
      </c>
      <c r="C2" s="18" t="s">
        <v>57</v>
      </c>
      <c r="E2" s="18" t="s">
        <v>61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_List"/>
  <dimension ref="A1:M31"/>
  <sheetViews>
    <sheetView showGridLines="0" workbookViewId="0"/>
  </sheetViews>
  <sheetFormatPr defaultRowHeight="15" x14ac:dyDescent="0.25"/>
  <cols>
    <col min="1" max="1" width="14.42578125" bestFit="1" customWidth="1"/>
    <col min="2" max="2" width="13.42578125" bestFit="1" customWidth="1"/>
    <col min="4" max="4" width="19" bestFit="1" customWidth="1"/>
    <col min="5" max="5" width="5.5703125" bestFit="1" customWidth="1"/>
    <col min="7" max="7" width="14" bestFit="1" customWidth="1"/>
    <col min="8" max="8" width="20.5703125" bestFit="1" customWidth="1"/>
    <col min="12" max="12" width="18.7109375" bestFit="1" customWidth="1"/>
    <col min="13" max="13" width="255.7109375" style="81" bestFit="1" customWidth="1"/>
  </cols>
  <sheetData>
    <row r="1" spans="1:13" x14ac:dyDescent="0.25">
      <c r="A1" s="54" t="s">
        <v>60</v>
      </c>
      <c r="B1" s="54" t="s">
        <v>67</v>
      </c>
      <c r="D1" t="s">
        <v>68</v>
      </c>
      <c r="G1" t="s">
        <v>113</v>
      </c>
      <c r="H1" t="s">
        <v>114</v>
      </c>
      <c r="L1" t="s">
        <v>71</v>
      </c>
      <c r="M1" s="81" t="s">
        <v>70</v>
      </c>
    </row>
    <row r="2" spans="1:13" x14ac:dyDescent="0.25">
      <c r="A2" s="6">
        <v>42736</v>
      </c>
      <c r="B2" s="54">
        <v>0</v>
      </c>
      <c r="E2" s="74">
        <f>IFERROR(MATCH(Edit_Employee_Name,Jan_Period_1_Tbl[STAFF:],0),0)</f>
        <v>0</v>
      </c>
      <c r="G2" t="s">
        <v>115</v>
      </c>
      <c r="H2" t="s">
        <v>157</v>
      </c>
      <c r="L2" t="s">
        <v>72</v>
      </c>
      <c r="M2" s="171" t="s">
        <v>140</v>
      </c>
    </row>
    <row r="3" spans="1:13" x14ac:dyDescent="0.25">
      <c r="A3" s="6">
        <v>42750</v>
      </c>
      <c r="B3" s="54">
        <f>+B2+1</f>
        <v>1</v>
      </c>
      <c r="E3">
        <f>IFERROR(MATCH(Edit_Employee_Name,Jan_Period_2_Tbl[STAFF:],0),0)</f>
        <v>0</v>
      </c>
      <c r="G3" t="s">
        <v>116</v>
      </c>
      <c r="H3" t="s">
        <v>157</v>
      </c>
      <c r="L3" t="s">
        <v>73</v>
      </c>
      <c r="M3" s="171" t="s">
        <v>141</v>
      </c>
    </row>
    <row r="4" spans="1:13" x14ac:dyDescent="0.25">
      <c r="A4" s="6">
        <v>42767</v>
      </c>
      <c r="B4" s="54">
        <f t="shared" ref="B4:B25" si="0">+B3+1</f>
        <v>2</v>
      </c>
      <c r="E4" s="74">
        <f>IFERROR(MATCH(Edit_Employee_Name,Feb_Period_1_Tbl[STAFF:],0),0)</f>
        <v>0</v>
      </c>
      <c r="G4" t="s">
        <v>117</v>
      </c>
      <c r="H4" t="s">
        <v>138</v>
      </c>
      <c r="L4" t="s">
        <v>74</v>
      </c>
      <c r="M4" s="170" t="s">
        <v>149</v>
      </c>
    </row>
    <row r="5" spans="1:13" x14ac:dyDescent="0.25">
      <c r="A5" s="6">
        <v>42781</v>
      </c>
      <c r="B5" s="54">
        <f t="shared" si="0"/>
        <v>3</v>
      </c>
      <c r="E5">
        <f>IFERROR(MATCH(Edit_Employee_Name,Feb_Period_2_Tbl[STAFF:],0),0)</f>
        <v>0</v>
      </c>
      <c r="G5" t="s">
        <v>118</v>
      </c>
      <c r="H5" t="s">
        <v>157</v>
      </c>
      <c r="L5" t="s">
        <v>75</v>
      </c>
      <c r="M5" s="171" t="s">
        <v>150</v>
      </c>
    </row>
    <row r="6" spans="1:13" x14ac:dyDescent="0.25">
      <c r="A6" s="6">
        <v>42795</v>
      </c>
      <c r="B6" s="54">
        <f t="shared" si="0"/>
        <v>4</v>
      </c>
      <c r="E6" s="74">
        <f>IFERROR(MATCH(Edit_Employee_Name,Mar_Period_1_Tbl[STAFF:],0),0)</f>
        <v>0</v>
      </c>
      <c r="G6" t="s">
        <v>119</v>
      </c>
      <c r="H6" t="s">
        <v>157</v>
      </c>
      <c r="L6" t="s">
        <v>76</v>
      </c>
      <c r="M6" s="171" t="s">
        <v>142</v>
      </c>
    </row>
    <row r="7" spans="1:13" x14ac:dyDescent="0.25">
      <c r="A7" s="6">
        <v>42809</v>
      </c>
      <c r="B7" s="54">
        <f t="shared" si="0"/>
        <v>5</v>
      </c>
      <c r="E7">
        <f>IFERROR(MATCH(Edit_Employee_Name,Mar_Period_2_Tbl[STAFF:],0),0)</f>
        <v>0</v>
      </c>
      <c r="G7" t="s">
        <v>120</v>
      </c>
      <c r="H7" t="s">
        <v>157</v>
      </c>
      <c r="L7" t="s">
        <v>77</v>
      </c>
      <c r="M7" s="171" t="s">
        <v>143</v>
      </c>
    </row>
    <row r="8" spans="1:13" x14ac:dyDescent="0.25">
      <c r="A8" s="6">
        <v>42826</v>
      </c>
      <c r="B8" s="54">
        <f t="shared" si="0"/>
        <v>6</v>
      </c>
      <c r="E8" s="74">
        <f>IFERROR(MATCH(Edit_Employee_Name,Apr_Period_1_Tbl[STAFF:],0),0)</f>
        <v>0</v>
      </c>
      <c r="G8" t="s">
        <v>121</v>
      </c>
      <c r="H8" t="s">
        <v>157</v>
      </c>
      <c r="L8" t="s">
        <v>78</v>
      </c>
      <c r="M8" s="171" t="s">
        <v>144</v>
      </c>
    </row>
    <row r="9" spans="1:13" x14ac:dyDescent="0.25">
      <c r="A9" s="6">
        <v>42840</v>
      </c>
      <c r="B9" s="54">
        <f t="shared" si="0"/>
        <v>7</v>
      </c>
      <c r="E9">
        <f>IFERROR(MATCH(Edit_Employee_Name,Apr_Period_2_Tbl[STAFF:],0),0)</f>
        <v>0</v>
      </c>
      <c r="G9" t="s">
        <v>122</v>
      </c>
      <c r="H9" t="s">
        <v>157</v>
      </c>
      <c r="L9" t="s">
        <v>79</v>
      </c>
      <c r="M9" s="171" t="s">
        <v>145</v>
      </c>
    </row>
    <row r="10" spans="1:13" x14ac:dyDescent="0.25">
      <c r="A10" s="6">
        <v>42856</v>
      </c>
      <c r="B10" s="54">
        <f t="shared" si="0"/>
        <v>8</v>
      </c>
      <c r="E10" s="74">
        <f>IFERROR(MATCH(Edit_Employee_Name,May_Period_1_Tbl[STAFF:],0),0)</f>
        <v>0</v>
      </c>
      <c r="G10" t="s">
        <v>123</v>
      </c>
      <c r="H10" t="s">
        <v>157</v>
      </c>
      <c r="L10" t="s">
        <v>80</v>
      </c>
      <c r="M10" s="171" t="s">
        <v>146</v>
      </c>
    </row>
    <row r="11" spans="1:13" x14ac:dyDescent="0.25">
      <c r="A11" s="6">
        <v>42870</v>
      </c>
      <c r="B11" s="54">
        <f t="shared" si="0"/>
        <v>9</v>
      </c>
      <c r="E11">
        <f>IFERROR(MATCH(Edit_Employee_Name,May_Period_2_Tbl[STAFF:],0),0)</f>
        <v>0</v>
      </c>
      <c r="G11" t="s">
        <v>124</v>
      </c>
      <c r="H11" t="s">
        <v>157</v>
      </c>
      <c r="L11" t="s">
        <v>81</v>
      </c>
      <c r="M11" s="171" t="s">
        <v>147</v>
      </c>
    </row>
    <row r="12" spans="1:13" x14ac:dyDescent="0.25">
      <c r="A12" s="6">
        <v>42887</v>
      </c>
      <c r="B12" s="54">
        <f t="shared" si="0"/>
        <v>10</v>
      </c>
      <c r="E12" s="74">
        <f>IFERROR(MATCH(Edit_Employee_Name,Jun_Period_1_Tbl[STAFF:],0),0)</f>
        <v>0</v>
      </c>
      <c r="G12" t="s">
        <v>125</v>
      </c>
      <c r="H12" t="s">
        <v>157</v>
      </c>
      <c r="L12" t="s">
        <v>82</v>
      </c>
      <c r="M12" s="171" t="s">
        <v>148</v>
      </c>
    </row>
    <row r="13" spans="1:13" x14ac:dyDescent="0.25">
      <c r="A13" s="6">
        <v>42901</v>
      </c>
      <c r="B13" s="54">
        <f t="shared" si="0"/>
        <v>11</v>
      </c>
      <c r="E13">
        <f>IFERROR(MATCH(Edit_Employee_Name,Jun_Period_2_Tbl[STAFF:],0),0)</f>
        <v>0</v>
      </c>
      <c r="G13" t="s">
        <v>126</v>
      </c>
      <c r="H13" t="s">
        <v>157</v>
      </c>
      <c r="L13" t="s">
        <v>127</v>
      </c>
      <c r="M13" s="171"/>
    </row>
    <row r="14" spans="1:13" x14ac:dyDescent="0.25">
      <c r="A14" s="6">
        <v>42917</v>
      </c>
      <c r="B14" s="54">
        <f t="shared" si="0"/>
        <v>12</v>
      </c>
      <c r="E14" s="74">
        <f>IFERROR(MATCH(Edit_Employee_Name,Jul_Period_1_Tbl[STAFF:],0),0)</f>
        <v>0</v>
      </c>
      <c r="L14" t="s">
        <v>128</v>
      </c>
      <c r="M14" s="171"/>
    </row>
    <row r="15" spans="1:13" x14ac:dyDescent="0.25">
      <c r="A15" s="6">
        <v>42931</v>
      </c>
      <c r="B15" s="54">
        <f t="shared" si="0"/>
        <v>13</v>
      </c>
      <c r="E15">
        <f>IFERROR(MATCH(Edit_Employee_Name,Jul_Period_2_Tbl[STAFF:],0),0)</f>
        <v>0</v>
      </c>
      <c r="L15" t="s">
        <v>129</v>
      </c>
      <c r="M15" s="171" t="s">
        <v>130</v>
      </c>
    </row>
    <row r="16" spans="1:13" x14ac:dyDescent="0.25">
      <c r="A16" s="6">
        <v>42948</v>
      </c>
      <c r="B16" s="54">
        <f t="shared" si="0"/>
        <v>14</v>
      </c>
      <c r="E16" s="74">
        <f>IFERROR(MATCH(Edit_Employee_Name,Aug_Period_1_Tbl[STAFF:],0),0)</f>
        <v>0</v>
      </c>
      <c r="L16" t="s">
        <v>132</v>
      </c>
      <c r="M16" s="171" t="s">
        <v>131</v>
      </c>
    </row>
    <row r="17" spans="1:13" x14ac:dyDescent="0.25">
      <c r="A17" s="6">
        <v>42962</v>
      </c>
      <c r="B17" s="54">
        <f t="shared" si="0"/>
        <v>15</v>
      </c>
      <c r="E17">
        <f>IFERROR(MATCH(Edit_Employee_Name,Aug_Period_2_Tbl[STAFF:],0),0)</f>
        <v>0</v>
      </c>
      <c r="L17" t="s">
        <v>134</v>
      </c>
      <c r="M17" s="171" t="s">
        <v>133</v>
      </c>
    </row>
    <row r="18" spans="1:13" x14ac:dyDescent="0.25">
      <c r="A18" s="6">
        <v>42979</v>
      </c>
      <c r="B18" s="54">
        <f t="shared" si="0"/>
        <v>16</v>
      </c>
      <c r="E18" s="74">
        <f>IFERROR(MATCH(Edit_Employee_Name,Sep_Period_1_Tbl[STAFF:],0),0)</f>
        <v>0</v>
      </c>
      <c r="L18" t="s">
        <v>135</v>
      </c>
      <c r="M18" s="171" t="s">
        <v>136</v>
      </c>
    </row>
    <row r="19" spans="1:13" x14ac:dyDescent="0.25">
      <c r="A19" s="6">
        <v>42993</v>
      </c>
      <c r="B19" s="54">
        <f t="shared" si="0"/>
        <v>17</v>
      </c>
      <c r="E19">
        <f>IFERROR(MATCH(Edit_Employee_Name,Sep_Period_2_Tbl[STAFF:],0),0)</f>
        <v>0</v>
      </c>
    </row>
    <row r="20" spans="1:13" x14ac:dyDescent="0.25">
      <c r="A20" s="6">
        <v>43009</v>
      </c>
      <c r="B20" s="54">
        <f t="shared" si="0"/>
        <v>18</v>
      </c>
      <c r="E20" s="74">
        <f>IFERROR(MATCH(Edit_Employee_Name,Oct_Period_1_Tbl[STAFF:],0),0)</f>
        <v>0</v>
      </c>
    </row>
    <row r="21" spans="1:13" x14ac:dyDescent="0.25">
      <c r="A21" s="6">
        <v>43023</v>
      </c>
      <c r="B21" s="54">
        <f t="shared" si="0"/>
        <v>19</v>
      </c>
      <c r="E21">
        <f>IFERROR(MATCH(Edit_Employee_Name,Oct_Period_2_Tbl[STAFF:],0),0)</f>
        <v>0</v>
      </c>
    </row>
    <row r="22" spans="1:13" x14ac:dyDescent="0.25">
      <c r="A22" s="6">
        <v>43040</v>
      </c>
      <c r="B22" s="54">
        <f t="shared" si="0"/>
        <v>20</v>
      </c>
      <c r="E22" s="74">
        <f>IFERROR(MATCH(Edit_Employee_Name,Nov_Period_1_Tbl[STAFF:],0),0)</f>
        <v>0</v>
      </c>
    </row>
    <row r="23" spans="1:13" x14ac:dyDescent="0.25">
      <c r="A23" s="6">
        <v>43054</v>
      </c>
      <c r="B23" s="54">
        <f t="shared" si="0"/>
        <v>21</v>
      </c>
      <c r="E23">
        <f>IFERROR(MATCH(Edit_Employee_Name,Nov_Period_2_Tbl[STAFF:],0),0)</f>
        <v>0</v>
      </c>
    </row>
    <row r="24" spans="1:13" x14ac:dyDescent="0.25">
      <c r="A24" s="6">
        <v>43070</v>
      </c>
      <c r="B24" s="54">
        <f t="shared" si="0"/>
        <v>22</v>
      </c>
      <c r="E24" s="74">
        <f>IFERROR(MATCH(Edit_Employee_Name,Dec_Period_1_Tbl[STAFF:],0),0)</f>
        <v>0</v>
      </c>
    </row>
    <row r="25" spans="1:13" x14ac:dyDescent="0.25">
      <c r="A25" s="6">
        <v>43084</v>
      </c>
      <c r="B25" s="54">
        <f t="shared" si="0"/>
        <v>23</v>
      </c>
      <c r="E25">
        <f>IFERROR(MATCH(Edit_Employee_Name,Dec_Period_2_Tbl[STAFF:],0),0)</f>
        <v>0</v>
      </c>
    </row>
    <row r="30" spans="1:13" x14ac:dyDescent="0.25">
      <c r="A30" s="167" t="s">
        <v>139</v>
      </c>
    </row>
    <row r="31" spans="1:13" x14ac:dyDescent="0.25">
      <c r="A31" s="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_Login"/>
  <dimension ref="A1:R27"/>
  <sheetViews>
    <sheetView workbookViewId="0">
      <selection sqref="A1:R2"/>
    </sheetView>
  </sheetViews>
  <sheetFormatPr defaultColWidth="0" defaultRowHeight="15" zeroHeight="1" x14ac:dyDescent="0.25"/>
  <cols>
    <col min="1" max="1" width="11.42578125" bestFit="1" customWidth="1"/>
    <col min="2" max="18" width="9.140625" customWidth="1"/>
    <col min="19" max="16384" width="9.140625" hidden="1"/>
  </cols>
  <sheetData>
    <row r="1" spans="1:18" ht="15.75" customHeight="1" x14ac:dyDescent="0.25">
      <c r="A1" s="219" t="s">
        <v>62</v>
      </c>
      <c r="B1" s="219"/>
      <c r="C1" s="219"/>
      <c r="D1" s="219"/>
      <c r="E1" s="219"/>
      <c r="F1" s="219"/>
      <c r="G1" s="219"/>
      <c r="H1" s="219"/>
      <c r="I1" s="219"/>
      <c r="J1" s="219"/>
      <c r="K1" s="219"/>
      <c r="L1" s="219"/>
      <c r="M1" s="219"/>
      <c r="N1" s="219"/>
      <c r="O1" s="219"/>
      <c r="P1" s="219"/>
      <c r="Q1" s="219"/>
      <c r="R1" s="219"/>
    </row>
    <row r="2" spans="1:18" ht="15.75" customHeight="1" x14ac:dyDescent="0.25">
      <c r="A2" s="219"/>
      <c r="B2" s="219"/>
      <c r="C2" s="219"/>
      <c r="D2" s="219"/>
      <c r="E2" s="219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</row>
    <row r="3" spans="1:18" s="48" customFormat="1" ht="18.75" x14ac:dyDescent="0.3">
      <c r="A3" s="205" t="s">
        <v>64</v>
      </c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</row>
    <row r="4" spans="1:18" s="48" customFormat="1" ht="15.75" x14ac:dyDescent="0.25">
      <c r="A4" s="204" t="s">
        <v>65</v>
      </c>
      <c r="B4" s="52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</row>
    <row r="5" spans="1:18" s="48" customFormat="1" ht="15.75" x14ac:dyDescent="0.25">
      <c r="A5" s="204" t="s">
        <v>66</v>
      </c>
      <c r="B5" s="51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s="48" customFormat="1" ht="15.75" x14ac:dyDescent="0.25">
      <c r="A6" s="204"/>
      <c r="B6" s="51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s="48" customFormat="1" ht="15.75" x14ac:dyDescent="0.25">
      <c r="A7" s="204"/>
      <c r="B7" s="51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s="48" customFormat="1" ht="15.75" x14ac:dyDescent="0.25">
      <c r="A8" s="204"/>
      <c r="B8" s="51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s="48" customFormat="1" ht="15.75" x14ac:dyDescent="0.25">
      <c r="A9" s="204"/>
      <c r="B9" s="51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s="48" customFormat="1" ht="15.75" x14ac:dyDescent="0.25">
      <c r="A10" s="204"/>
      <c r="B10" s="51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s="48" customFormat="1" ht="18.75" x14ac:dyDescent="0.3">
      <c r="A11" s="204"/>
      <c r="B11" s="51"/>
      <c r="C11" s="205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s="48" customFormat="1" ht="18.75" x14ac:dyDescent="0.3">
      <c r="A12" s="204"/>
      <c r="B12" s="51"/>
      <c r="C12" s="205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s="48" customFormat="1" ht="18.75" x14ac:dyDescent="0.3">
      <c r="A13" s="204"/>
      <c r="B13" s="51"/>
      <c r="C13" s="205" t="s">
        <v>155</v>
      </c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s="48" customFormat="1" x14ac:dyDescent="0.25">
      <c r="A14" s="53"/>
      <c r="B14" s="51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s="48" customFormat="1" x14ac:dyDescent="0.25">
      <c r="A15" s="53"/>
      <c r="B15" s="51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s="48" customFormat="1" x14ac:dyDescent="0.25">
      <c r="A16" s="53"/>
      <c r="B16" s="51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s="48" customFormat="1" x14ac:dyDescent="0.25">
      <c r="A17" s="53"/>
      <c r="B17" s="51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s="48" customFormat="1" x14ac:dyDescent="0.25">
      <c r="A18" s="53"/>
      <c r="B18" s="51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s="48" customFormat="1" x14ac:dyDescent="0.25">
      <c r="A19" s="53"/>
      <c r="B19" s="51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8.75" x14ac:dyDescent="0.25">
      <c r="A20" s="207" t="s">
        <v>63</v>
      </c>
      <c r="B20" s="220">
        <f ca="1">TODAY()</f>
        <v>42779</v>
      </c>
      <c r="C20" s="220"/>
      <c r="D20" s="220"/>
      <c r="E20" s="220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</row>
    <row r="21" spans="1:18" ht="18.75" x14ac:dyDescent="0.25">
      <c r="A21" s="206"/>
      <c r="B21" s="206"/>
      <c r="C21" s="206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</row>
    <row r="22" spans="1:18" hidden="1" x14ac:dyDescent="0.25"/>
    <row r="23" spans="1:18" hidden="1" x14ac:dyDescent="0.25"/>
    <row r="24" spans="1:18" hidden="1" x14ac:dyDescent="0.25"/>
    <row r="25" spans="1:18" hidden="1" x14ac:dyDescent="0.25"/>
    <row r="26" spans="1:18" hidden="1" x14ac:dyDescent="0.25"/>
    <row r="27" spans="1:18" x14ac:dyDescent="0.25"/>
  </sheetData>
  <mergeCells count="2">
    <mergeCell ref="A1:R2"/>
    <mergeCell ref="B20:E20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_Summary"/>
  <dimension ref="A1:AN92"/>
  <sheetViews>
    <sheetView showGridLines="0" zoomScale="90" zoomScaleNormal="90" workbookViewId="0">
      <selection sqref="A1:P1"/>
    </sheetView>
  </sheetViews>
  <sheetFormatPr defaultRowHeight="15" x14ac:dyDescent="0.25"/>
  <cols>
    <col min="1" max="1" width="28.5703125" customWidth="1"/>
    <col min="2" max="2" width="12.28515625" bestFit="1" customWidth="1"/>
    <col min="3" max="3" width="12.140625" bestFit="1" customWidth="1"/>
    <col min="4" max="4" width="11.5703125" style="2" bestFit="1" customWidth="1"/>
    <col min="5" max="5" width="7" style="2" customWidth="1"/>
    <col min="6" max="6" width="8.42578125" style="2" customWidth="1"/>
    <col min="7" max="7" width="8.5703125" style="2" customWidth="1"/>
    <col min="8" max="8" width="9.7109375" style="2" customWidth="1"/>
    <col min="9" max="9" width="8.5703125" style="2" customWidth="1"/>
    <col min="10" max="10" width="8.85546875" style="2" bestFit="1" customWidth="1"/>
    <col min="11" max="11" width="9.28515625" style="2" customWidth="1"/>
    <col min="12" max="12" width="7.5703125" style="2" bestFit="1" customWidth="1"/>
    <col min="13" max="13" width="8.140625" style="2" customWidth="1"/>
    <col min="14" max="14" width="7.5703125" style="2" customWidth="1"/>
    <col min="15" max="15" width="8.140625" style="2" customWidth="1"/>
    <col min="16" max="16" width="10" style="2" customWidth="1"/>
    <col min="17" max="17" width="0.85546875" style="147" customWidth="1"/>
    <col min="18" max="18" width="8.42578125" style="147" customWidth="1"/>
    <col min="19" max="19" width="8.5703125" style="147" customWidth="1"/>
    <col min="20" max="20" width="9" style="147" customWidth="1"/>
    <col min="21" max="21" width="8.85546875" style="147" customWidth="1"/>
    <col min="22" max="23" width="0.85546875" style="147" customWidth="1"/>
    <col min="24" max="24" width="10.42578125" style="147" customWidth="1"/>
    <col min="25" max="25" width="10.7109375" style="147" customWidth="1"/>
    <col min="26" max="26" width="8.85546875" style="147" customWidth="1"/>
    <col min="27" max="28" width="11.7109375" style="147" customWidth="1"/>
    <col min="29" max="29" width="8.42578125" style="147" customWidth="1"/>
    <col min="30" max="30" width="8.5703125" style="147" customWidth="1"/>
    <col min="31" max="33" width="0.140625" style="147" customWidth="1"/>
    <col min="34" max="34" width="0.85546875" style="147" customWidth="1"/>
    <col min="35" max="35" width="7.85546875" style="26" customWidth="1"/>
    <col min="36" max="36" width="0.85546875" style="44" customWidth="1"/>
    <col min="37" max="37" width="7.85546875" customWidth="1"/>
    <col min="38" max="39" width="0.140625" style="168" customWidth="1"/>
    <col min="40" max="40" width="5.7109375" customWidth="1"/>
  </cols>
  <sheetData>
    <row r="1" spans="1:40" ht="18.75" customHeight="1" x14ac:dyDescent="0.25">
      <c r="A1" s="232" t="s">
        <v>151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3"/>
      <c r="P1" s="233"/>
      <c r="Q1" s="146"/>
      <c r="R1" s="146"/>
      <c r="S1" s="146"/>
      <c r="T1" s="146"/>
      <c r="U1" s="146"/>
      <c r="V1" s="146"/>
      <c r="W1" s="146"/>
      <c r="X1" s="146"/>
      <c r="Y1" s="146"/>
      <c r="Z1" s="146"/>
      <c r="AA1" s="146"/>
      <c r="AB1" s="146"/>
      <c r="AC1" s="146"/>
      <c r="AD1" s="146"/>
      <c r="AE1" s="146"/>
      <c r="AF1" s="146"/>
      <c r="AG1" s="146"/>
      <c r="AH1" s="146"/>
    </row>
    <row r="2" spans="1:40" ht="21.95" customHeight="1" x14ac:dyDescent="0.25">
      <c r="A2" s="193"/>
      <c r="B2" s="193"/>
      <c r="C2" s="194"/>
      <c r="D2" s="194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R2" s="30" t="s">
        <v>95</v>
      </c>
      <c r="V2" s="157"/>
      <c r="W2" s="157"/>
      <c r="X2" s="30" t="s">
        <v>96</v>
      </c>
    </row>
    <row r="3" spans="1:40" ht="24" customHeight="1" x14ac:dyDescent="0.25">
      <c r="A3" s="192" t="s">
        <v>85</v>
      </c>
      <c r="B3" s="141" t="s">
        <v>32</v>
      </c>
      <c r="C3" s="141" t="s">
        <v>33</v>
      </c>
      <c r="D3" s="141" t="s">
        <v>34</v>
      </c>
      <c r="E3" s="142" t="s">
        <v>18</v>
      </c>
      <c r="F3" s="143" t="s">
        <v>12</v>
      </c>
      <c r="G3" s="143" t="s">
        <v>11</v>
      </c>
      <c r="H3" s="143" t="s">
        <v>10</v>
      </c>
      <c r="I3" s="144" t="s">
        <v>9</v>
      </c>
      <c r="J3" s="144" t="s">
        <v>7</v>
      </c>
      <c r="K3" s="144" t="s">
        <v>8</v>
      </c>
      <c r="L3" s="144" t="s">
        <v>14</v>
      </c>
      <c r="M3" s="142" t="s">
        <v>15</v>
      </c>
      <c r="N3" s="142" t="s">
        <v>13</v>
      </c>
      <c r="O3" s="142" t="s">
        <v>112</v>
      </c>
      <c r="P3" s="178" t="s">
        <v>17</v>
      </c>
      <c r="Q3" s="148"/>
      <c r="R3" s="158" t="s">
        <v>94</v>
      </c>
      <c r="S3" s="158" t="s">
        <v>93</v>
      </c>
      <c r="T3" s="158" t="s">
        <v>91</v>
      </c>
      <c r="U3" s="158" t="s">
        <v>92</v>
      </c>
      <c r="V3" s="156"/>
      <c r="W3" s="156"/>
      <c r="X3" s="158" t="s">
        <v>99</v>
      </c>
      <c r="Y3" s="158" t="s">
        <v>100</v>
      </c>
      <c r="Z3" s="158" t="s">
        <v>101</v>
      </c>
      <c r="AA3" s="158" t="s">
        <v>102</v>
      </c>
      <c r="AB3" s="158" t="s">
        <v>103</v>
      </c>
      <c r="AC3" s="158" t="s">
        <v>112</v>
      </c>
      <c r="AD3" s="158" t="s">
        <v>107</v>
      </c>
      <c r="AE3" s="148"/>
      <c r="AF3" s="148"/>
      <c r="AG3" s="148"/>
      <c r="AH3" s="148"/>
      <c r="AJ3" s="44" t="s">
        <v>59</v>
      </c>
    </row>
    <row r="4" spans="1:40" x14ac:dyDescent="0.25">
      <c r="A4" s="20" t="s">
        <v>3</v>
      </c>
      <c r="B4" s="186">
        <v>42736</v>
      </c>
      <c r="C4" s="186"/>
      <c r="D4" s="187">
        <v>0</v>
      </c>
      <c r="E4" s="188">
        <f>(SUMIF(Jan_Period_1_Tbl[[#All],[STAFF:]],$A4,Jan_Period_1_Tbl[[#All],['# PTO USED]])+
SUMIF(Feb_Period_1_Tbl[[#All],[STAFF:]],$A4,Feb_Period_1_Tbl[[#All],['# PTO USED]])+SUMIF(Mar_Period_1_Tbl[[#All],[STAFF:]],$A4,Mar_Period_1_Tbl[[#All],['# PTO USED]])+SUMIF(Apr_Period_1_Tbl[[#All],[STAFF:]],$A4,Apr_Period_1_Tbl[[#All],['# PTO USED]])+   SUMIF(May_Period_1_Tbl[[#All],[STAFF:]],$A4,May_Period_1_Tbl[[#All],['# PTO USED]])+   SUMIF(Jun_Period_1_Tbl[[#All],[STAFF:]],$A4,Jun_Period_1_Tbl[[#All],['# PTO USED]])+  SUMIF(Jul_Period_1_Tbl[[#All],[STAFF:]],$A4,Jul_Period_1_Tbl[[#All],['# PTO USED]])+  SUMIF(Aug_Period_1_Tbl[[#All],[STAFF:]],$A4,Aug_Period_1_Tbl[[#All],['# PTO USED]])+  SUMIF(Sep_Period_1_Tbl[[#All],[STAFF:]],$A4,Sep_Period_1_Tbl[[#All],['# PTO USED]])+  SUMIF(Oct_Period_1_Tbl[[#All],[STAFF:]],$A4,Oct_Period_1_Tbl[[#All],['# PTO USED]])+     SUMIF(Nov_Period_1_Tbl[[#All],[STAFF:]],$A4,Nov_Period_1_Tbl[[#All],['# PTO USED]])+  SUMIF(Dec_Period_1_Tbl[[#All],[STAFF:]],$A4,Dec_Period_1_Tbl[[#All],['# PTO USED]]))+   (SUMIF(Jan_Period_2_Tbl[[#All],[STAFF:]],$A4,Jan_Period_2_Tbl[[#All],['# PTO USED]])+
SUMIF(Feb_Period_2_Tbl[[#All],[STAFF:]],$A4,Feb_Period_2_Tbl[[#All],['# PTO USED]])+SUMIF(Mar_Period_2_Tbl[[#All],[STAFF:]],$A4,Mar_Period_2_Tbl[[#All],['# PTO USED]])+SUMIF(Apr_Period_2_Tbl[[#All],[STAFF:]],$A4,Apr_Period_2_Tbl[[#All],['# PTO USED]])+   SUMIF(May_Period_2_Tbl[[#All],[STAFF:]],$A4,May_Period_2_Tbl[[#All],['# PTO USED]])+   SUMIF(Jun_Period_2_Tbl[[#All],[STAFF:]],$A4,Jun_Period_2_Tbl[[#All],['# PTO USED]])+  SUMIF(Jul_Period_2_Tbl[[#All],[STAFF:]],$A4,Jul_Period_2_Tbl[[#All],['# PTO USED]])+  SUMIF(Aug_Period_2_Tbl[[#All],[STAFF:]],$A4,Aug_Period_2_Tbl[[#All],['# PTO USED]])+  SUMIF(Sep_Period_2_Tbl[[#All],[STAFF:]],$A4,Sep_Period_2_Tbl[[#All],['# PTO USED]])+  SUMIF(Oct_Period_2_Tbl[[#All],[STAFF:]],$A4,Oct_Period_2_Tbl[[#All],['# PTO USED]])+     SUMIF(Nov_Period_2_Tbl[[#All],[STAFF:]],$A4,Nov_Period_2_Tbl[[#All],['# PTO USED]])+  SUMIF(Dec_Period_2_Tbl[[#All],[STAFF:]],$A4,Dec_Period_2_Tbl[[#All],['# PTO USED]]))</f>
        <v>0</v>
      </c>
      <c r="F4" s="189">
        <f>(SUMIF(Jan_Period_1_Tbl[[#All],[STAFF:]],$A4,Jan_Period_1_Tbl[[#All],['# HRS WORKED]])+
SUMIF(Feb_Period_1_Tbl[[#All],[STAFF:]],$A4,Feb_Period_1_Tbl[[#All],['# HRS WORKED]])+SUMIF(Mar_Period_1_Tbl[[#All],[STAFF:]],$A4,Mar_Period_1_Tbl[[#All],['# HRS WORKED]])+SUMIF(Apr_Period_1_Tbl[[#All],[STAFF:]],$A4,Apr_Period_1_Tbl[[#All],['# HRS WORKED]])+   SUMIF(May_Period_1_Tbl[[#All],[STAFF:]],$A4,May_Period_1_Tbl[[#All],['# HRS WORKED]])+   SUMIF(Jun_Period_1_Tbl[[#All],[STAFF:]],$A4,Jun_Period_1_Tbl[[#All],['# HRS WORKED]])+  SUMIF(Jul_Period_1_Tbl[[#All],[STAFF:]],$A4,Jul_Period_1_Tbl[[#All],['# HRS WORKED]])+  SUMIF(Aug_Period_1_Tbl[[#All],[STAFF:]],$A4,Aug_Period_1_Tbl[[#All],['# HRS WORKED]])+  SUMIF(Sep_Period_1_Tbl[[#All],[STAFF:]],$A4,Sep_Period_1_Tbl[[#All],['# HRS WORKED]])+  SUMIF(Oct_Period_1_Tbl[[#All],[STAFF:]],$A4,Oct_Period_1_Tbl[[#All],['# HRS WORKED]])+     SUMIF(Nov_Period_1_Tbl[[#All],[STAFF:]],$A4,Nov_Period_1_Tbl[[#All],['# HRS WORKED]])+  SUMIF(Dec_Period_1_Tbl[[#All],[STAFF:]],$A4,Dec_Period_1_Tbl[[#All],['# HRS WORKED]]))+   (SUMIF(Jan_Period_2_Tbl[[#All],[STAFF:]],$A4,Jan_Period_2_Tbl[[#All],['# HRS WORKED]])+
SUMIF(Feb_Period_2_Tbl[[#All],[STAFF:]],$A4,Feb_Period_2_Tbl[[#All],['# HRS WORKED]])+SUMIF(Mar_Period_2_Tbl[[#All],[STAFF:]],$A4,Mar_Period_2_Tbl[[#All],['# HRS WORKED]])+SUMIF(Apr_Period_2_Tbl[[#All],[STAFF:]],$A4,Apr_Period_2_Tbl[[#All],['# HRS WORKED]])+   SUMIF(May_Period_2_Tbl[[#All],[STAFF:]],$A4,May_Period_2_Tbl[[#All],['# HRS WORKED]])+   SUMIF(Jun_Period_2_Tbl[[#All],[STAFF:]],$A4,Jun_Period_2_Tbl[[#All],['# HRS WORKED]])+  SUMIF(Jul_Period_2_Tbl[[#All],[STAFF:]],$A4,Jul_Period_2_Tbl[[#All],['# HRS WORKED]])+  SUMIF(Aug_Period_2_Tbl[[#All],[STAFF:]],$A4,Aug_Period_2_Tbl[[#All],['# HRS WORKED]])+  SUMIF(Sep_Period_2_Tbl[[#All],[STAFF:]],$A4,Sep_Period_2_Tbl[[#All],['# HRS WORKED]])+  SUMIF(Oct_Period_2_Tbl[[#All],[STAFF:]],$A4,Oct_Period_2_Tbl[[#All],['# HRS WORKED]])+     SUMIF(Nov_Period_2_Tbl[[#All],[STAFF:]],$A4,Nov_Period_2_Tbl[[#All],['# HRS WORKED]])+  SUMIF(Dec_Period_2_Tbl[[#All],[STAFF:]],$A4,Dec_Period_2_Tbl[[#All],['# HRS WORKED]]))</f>
        <v>0</v>
      </c>
      <c r="G4" s="213">
        <f>(SUMIF(Jan_Period_1_Tbl[[#All],[STAFF:]],$A4,Jan_Period_1_Tbl[[#All],[$ Hourly WAGES]])+
SUMIF(Feb_Period_1_Tbl[[#All],[STAFF:]],$A4,Feb_Period_1_Tbl[[#All],[$ Hourly WAGES]])+SUMIF(Mar_Period_1_Tbl[[#All],[STAFF:]],$A4,Mar_Period_1_Tbl[[#All],[$ Hourly WAGES]])+SUMIF(Apr_Period_1_Tbl[[#All],[STAFF:]],$A4,Apr_Period_1_Tbl[[#All],[$ Hourly WAGES]])+   SUMIF(May_Period_1_Tbl[[#All],[STAFF:]],$A4,May_Period_1_Tbl[[#All],[$ Hourly WAGES]])+   SUMIF(Jun_Period_1_Tbl[[#All],[STAFF:]],$A4,Jun_Period_1_Tbl[[#All],[$ Hourly WAGES]])+  SUMIF(Jul_Period_1_Tbl[[#All],[STAFF:]],$A4,Jul_Period_1_Tbl[[#All],[$ Hourly WAGES]])+  SUMIF(Aug_Period_1_Tbl[[#All],[STAFF:]],$A4,Aug_Period_1_Tbl[[#All],[$ Hourly WAGES]])+  SUMIF(Sep_Period_1_Tbl[[#All],[STAFF:]],$A4,Sep_Period_1_Tbl[[#All],[$ Hourly WAGES]])+  SUMIF(Oct_Period_1_Tbl[[#All],[STAFF:]],$A4,Oct_Period_1_Tbl[[#All],[$ Hourly WAGES]])+     SUMIF(Nov_Period_1_Tbl[[#All],[STAFF:]],$A4,Nov_Period_1_Tbl[[#All],[$ Hourly WAGES]])+  SUMIF(Dec_Period_1_Tbl[[#All],[STAFF:]],$A4,Dec_Period_1_Tbl[[#All],[$ Hourly WAGES]]))+   (SUMIF(Jan_Period_2_Tbl[[#All],[STAFF:]],$A4,Jan_Period_2_Tbl[[#All],[$ Hourly WAGES]])+
SUMIF(Feb_Period_2_Tbl[[#All],[STAFF:]],$A4,Feb_Period_2_Tbl[[#All],[$ Hourly WAGES]])+SUMIF(Mar_Period_2_Tbl[[#All],[STAFF:]],$A4,Mar_Period_2_Tbl[[#All],[$ Hourly WAGES]])+SUMIF(Apr_Period_2_Tbl[[#All],[STAFF:]],$A4,Apr_Period_2_Tbl[[#All],[$ Hourly WAGES]])+   SUMIF(May_Period_2_Tbl[[#All],[STAFF:]],$A4,May_Period_2_Tbl[[#All],[$ Hourly WAGES]])+   SUMIF(Jun_Period_2_Tbl[[#All],[STAFF:]],$A4,Jun_Period_2_Tbl[[#All],[$ Hourly WAGES]])+  SUMIF(Jul_Period_2_Tbl[[#All],[STAFF:]],$A4,Jul_Period_2_Tbl[[#All],[$ Hourly WAGES]])+  SUMIF(Aug_Period_2_Tbl[[#All],[STAFF:]],$A4,Aug_Period_2_Tbl[[#All],[$ Hourly WAGES]])+  SUMIF(Sep_Period_2_Tbl[[#All],[STAFF:]],$A4,Sep_Period_2_Tbl[[#All],[$ Hourly WAGES]])+  SUMIF(Oct_Period_2_Tbl[[#All],[STAFF:]],$A4,Oct_Period_2_Tbl[[#All],[$ Hourly WAGES]])+     SUMIF(Nov_Period_2_Tbl[[#All],[STAFF:]],$A4,Nov_Period_2_Tbl[[#All],[$ Hourly WAGES]])+  SUMIF(Dec_Period_2_Tbl[[#All],[STAFF:]],$A4,Dec_Period_2_Tbl[[#All],[$ Hourly WAGES]]))</f>
        <v>0</v>
      </c>
      <c r="H4" s="213">
        <f>(SUMIF(Jan_Period_1_Tbl[[#All],[STAFF:]],$A4,Jan_Period_1_Tbl[[#All],[$ SALARY]])+
SUMIF(Feb_Period_1_Tbl[[#All],[STAFF:]],$A4,Feb_Period_1_Tbl[[#All],[$ SALARY]])+SUMIF(Mar_Period_1_Tbl[[#All],[STAFF:]],$A4,Mar_Period_1_Tbl[[#All],[$ SALARY]])+SUMIF(Apr_Period_1_Tbl[[#All],[STAFF:]],$A4,Apr_Period_1_Tbl[[#All],[$ SALARY]])+   SUMIF(May_Period_1_Tbl[[#All],[STAFF:]],$A4,May_Period_1_Tbl[[#All],[$ SALARY]])+   SUMIF(Jun_Period_1_Tbl[[#All],[STAFF:]],$A4,Jun_Period_1_Tbl[[#All],[$ SALARY]])+  SUMIF(Jul_Period_1_Tbl[[#All],[STAFF:]],$A4,Jul_Period_1_Tbl[[#All],[$ SALARY]])+  SUMIF(Aug_Period_1_Tbl[[#All],[STAFF:]],$A4,Aug_Period_1_Tbl[[#All],[$ SALARY]])+  SUMIF(Sep_Period_1_Tbl[[#All],[STAFF:]],$A4,Sep_Period_1_Tbl[[#All],[$ SALARY]])+  SUMIF(Oct_Period_1_Tbl[[#All],[STAFF:]],$A4,Oct_Period_1_Tbl[[#All],[$ SALARY]])+     SUMIF(Nov_Period_1_Tbl[[#All],[STAFF:]],$A4,Nov_Period_1_Tbl[[#All],[$ SALARY]])+  SUMIF(Dec_Period_1_Tbl[[#All],[STAFF:]],$A4,Dec_Period_1_Tbl[[#All],[$ SALARY]]))+   (SUMIF(Jan_Period_2_Tbl[[#All],[STAFF:]],$A4,Jan_Period_2_Tbl[[#All],[$ SALARY]])+
SUMIF(Feb_Period_2_Tbl[[#All],[STAFF:]],$A4,Feb_Period_2_Tbl[[#All],[$ SALARY]])+SUMIF(Mar_Period_2_Tbl[[#All],[STAFF:]],$A4,Mar_Period_2_Tbl[[#All],[$ SALARY]])+SUMIF(Apr_Period_2_Tbl[[#All],[STAFF:]],$A4,Apr_Period_2_Tbl[[#All],[$ SALARY]])+   SUMIF(May_Period_2_Tbl[[#All],[STAFF:]],$A4,May_Period_2_Tbl[[#All],[$ SALARY]])+   SUMIF(Jun_Period_2_Tbl[[#All],[STAFF:]],$A4,Jun_Period_2_Tbl[[#All],[$ SALARY]])+  SUMIF(Jul_Period_2_Tbl[[#All],[STAFF:]],$A4,Jul_Period_2_Tbl[[#All],[$ SALARY]])+  SUMIF(Aug_Period_2_Tbl[[#All],[STAFF:]],$A4,Aug_Period_2_Tbl[[#All],[$ SALARY]])+  SUMIF(Sep_Period_2_Tbl[[#All],[STAFF:]],$A4,Sep_Period_2_Tbl[[#All],[$ SALARY]])+  SUMIF(Oct_Period_2_Tbl[[#All],[STAFF:]],$A4,Oct_Period_2_Tbl[[#All],[$ SALARY]])+     SUMIF(Nov_Period_2_Tbl[[#All],[STAFF:]],$A4,Nov_Period_2_Tbl[[#All],[$ SALARY]])+  SUMIF(Dec_Period_2_Tbl[[#All],[STAFF:]],$A4,Dec_Period_2_Tbl[[#All],[$ SALARY]]))</f>
        <v>0</v>
      </c>
      <c r="I4" s="213">
        <f>(SUMIF(Jan_Period_1_Tbl[[#All],[STAFF:]],$A4,Jan_Period_1_Tbl[[#All],[$ SALARY PT]])+
SUMIF(Feb_Period_1_Tbl[[#All],[STAFF:]],$A4,Feb_Period_1_Tbl[[#All],[$ SALARY PT]])+SUMIF(Mar_Period_1_Tbl[[#All],[STAFF:]],$A4,Mar_Period_1_Tbl[[#All],[$ SALARY PT]])+SUMIF(Apr_Period_1_Tbl[[#All],[STAFF:]],$A4,Apr_Period_1_Tbl[[#All],[$ SALARY PT]])+   SUMIF(May_Period_1_Tbl[[#All],[STAFF:]],$A4,May_Period_1_Tbl[[#All],[$ SALARY PT]])+   SUMIF(Jun_Period_1_Tbl[[#All],[STAFF:]],$A4,Jun_Period_1_Tbl[[#All],[$ SALARY PT]])+  SUMIF(Jul_Period_1_Tbl[[#All],[STAFF:]],$A4,Jul_Period_1_Tbl[[#All],[$ SALARY PT]])+  SUMIF(Aug_Period_1_Tbl[[#All],[STAFF:]],$A4,Aug_Period_1_Tbl[[#All],[$ SALARY PT]])+  SUMIF(Sep_Period_1_Tbl[[#All],[STAFF:]],$A4,Sep_Period_1_Tbl[[#All],[$ SALARY PT]])+  SUMIF(Oct_Period_1_Tbl[[#All],[STAFF:]],$A4,Oct_Period_1_Tbl[[#All],[$ SALARY PT]])+     SUMIF(Nov_Period_1_Tbl[[#All],[STAFF:]],$A4,Nov_Period_1_Tbl[[#All],[$ SALARY PT]])+  SUMIF(Dec_Period_1_Tbl[[#All],[STAFF:]],$A4,Dec_Period_1_Tbl[[#All],[$ SALARY PT]]))+   (SUMIF(Jan_Period_2_Tbl[[#All],[STAFF:]],$A4,Jan_Period_2_Tbl[[#All],[$ SALARY PT]])+
SUMIF(Feb_Period_2_Tbl[[#All],[STAFF:]],$A4,Feb_Period_2_Tbl[[#All],[$ SALARY PT]])+SUMIF(Mar_Period_2_Tbl[[#All],[STAFF:]],$A4,Mar_Period_2_Tbl[[#All],[$ SALARY PT]])+SUMIF(Apr_Period_2_Tbl[[#All],[STAFF:]],$A4,Apr_Period_2_Tbl[[#All],[$ SALARY PT]])+   SUMIF(May_Period_2_Tbl[[#All],[STAFF:]],$A4,May_Period_2_Tbl[[#All],[$ SALARY PT]])+   SUMIF(Jun_Period_2_Tbl[[#All],[STAFF:]],$A4,Jun_Period_2_Tbl[[#All],[$ SALARY PT]])+  SUMIF(Jul_Period_2_Tbl[[#All],[STAFF:]],$A4,Jul_Period_2_Tbl[[#All],[$ SALARY PT]])+  SUMIF(Aug_Period_2_Tbl[[#All],[STAFF:]],$A4,Aug_Period_2_Tbl[[#All],[$ SALARY PT]])+  SUMIF(Sep_Period_2_Tbl[[#All],[STAFF:]],$A4,Sep_Period_2_Tbl[[#All],[$ SALARY PT]])+  SUMIF(Oct_Period_2_Tbl[[#All],[STAFF:]],$A4,Oct_Period_2_Tbl[[#All],[$ SALARY PT]])+     SUMIF(Nov_Period_2_Tbl[[#All],[STAFF:]],$A4,Nov_Period_2_Tbl[[#All],[$ SALARY PT]])+  SUMIF(Dec_Period_2_Tbl[[#All],[STAFF:]],$A4,Dec_Period_2_Tbl[[#All],[$ SALARY PT]]))</f>
        <v>0</v>
      </c>
      <c r="J4" s="213">
        <f>(SUMIF(Jan_Period_1_Tbl[[#All],[STAFF:]],$A4,Jan_Period_1_Tbl[[#All],[$ FREE PT]])+
SUMIF(Feb_Period_1_Tbl[[#All],[STAFF:]],$A4,Feb_Period_1_Tbl[[#All],[$ FREE PT]])+SUMIF(Mar_Period_1_Tbl[[#All],[STAFF:]],$A4,Mar_Period_1_Tbl[[#All],[$ FREE PT]])+SUMIF(Apr_Period_1_Tbl[[#All],[STAFF:]],$A4,Apr_Period_1_Tbl[[#All],[$ FREE PT]])+   SUMIF(May_Period_1_Tbl[[#All],[STAFF:]],$A4,May_Period_1_Tbl[[#All],[$ FREE PT]])+   SUMIF(Jun_Period_1_Tbl[[#All],[STAFF:]],$A4,Jun_Period_1_Tbl[[#All],[$ FREE PT]])+  SUMIF(Jul_Period_1_Tbl[[#All],[STAFF:]],$A4,Jul_Period_1_Tbl[[#All],[$ FREE PT]])+  SUMIF(Aug_Period_1_Tbl[[#All],[STAFF:]],$A4,Aug_Period_1_Tbl[[#All],[$ FREE PT]])+  SUMIF(Sep_Period_1_Tbl[[#All],[STAFF:]],$A4,Sep_Period_1_Tbl[[#All],[$ FREE PT]])+  SUMIF(Oct_Period_1_Tbl[[#All],[STAFF:]],$A4,Oct_Period_1_Tbl[[#All],[$ FREE PT]])+     SUMIF(Nov_Period_1_Tbl[[#All],[STAFF:]],$A4,Nov_Period_1_Tbl[[#All],[$ FREE PT]])+  SUMIF(Dec_Period_1_Tbl[[#All],[STAFF:]],$A4,Dec_Period_1_Tbl[[#All],[$ FREE PT]]))+   (SUMIF(Jan_Period_2_Tbl[[#All],[STAFF:]],$A4,Jan_Period_2_Tbl[[#All],[$ FREE PT]])+
SUMIF(Feb_Period_2_Tbl[[#All],[STAFF:]],$A4,Feb_Period_2_Tbl[[#All],[$ FREE PT]])+SUMIF(Mar_Period_2_Tbl[[#All],[STAFF:]],$A4,Mar_Period_2_Tbl[[#All],[$ FREE PT]])+SUMIF(Apr_Period_2_Tbl[[#All],[STAFF:]],$A4,Apr_Period_2_Tbl[[#All],[$ FREE PT]])+   SUMIF(May_Period_2_Tbl[[#All],[STAFF:]],$A4,May_Period_2_Tbl[[#All],[$ FREE PT]])+   SUMIF(Jun_Period_2_Tbl[[#All],[STAFF:]],$A4,Jun_Period_2_Tbl[[#All],[$ FREE PT]])+  SUMIF(Jul_Period_2_Tbl[[#All],[STAFF:]],$A4,Jul_Period_2_Tbl[[#All],[$ FREE PT]])+  SUMIF(Aug_Period_2_Tbl[[#All],[STAFF:]],$A4,Aug_Period_2_Tbl[[#All],[$ FREE PT]])+  SUMIF(Sep_Period_2_Tbl[[#All],[STAFF:]],$A4,Sep_Period_2_Tbl[[#All],[$ FREE PT]])+  SUMIF(Oct_Period_2_Tbl[[#All],[STAFF:]],$A4,Oct_Period_2_Tbl[[#All],[$ FREE PT]])+     SUMIF(Nov_Period_2_Tbl[[#All],[STAFF:]],$A4,Nov_Period_2_Tbl[[#All],[$ FREE PT]])+  SUMIF(Dec_Period_2_Tbl[[#All],[STAFF:]],$A4,Dec_Period_2_Tbl[[#All],[$ FREE PT]]))</f>
        <v>32</v>
      </c>
      <c r="K4" s="213">
        <f>(SUMIF(Jan_Period_1_Tbl[[#All],[STAFF:]],$A4,Jan_Period_1_Tbl[[#All],[$ PAID PT]])+
SUMIF(Feb_Period_1_Tbl[[#All],[STAFF:]],$A4,Feb_Period_1_Tbl[[#All],[$ PAID PT]])+SUMIF(Mar_Period_1_Tbl[[#All],[STAFF:]],$A4,Mar_Period_1_Tbl[[#All],[$ PAID PT]])+SUMIF(Apr_Period_1_Tbl[[#All],[STAFF:]],$A4,Apr_Period_1_Tbl[[#All],[$ PAID PT]])+   SUMIF(May_Period_1_Tbl[[#All],[STAFF:]],$A4,May_Period_1_Tbl[[#All],[$ PAID PT]])+   SUMIF(Jun_Period_1_Tbl[[#All],[STAFF:]],$A4,Jun_Period_1_Tbl[[#All],[$ PAID PT]])+  SUMIF(Jul_Period_1_Tbl[[#All],[STAFF:]],$A4,Jul_Period_1_Tbl[[#All],[$ PAID PT]])+  SUMIF(Aug_Period_1_Tbl[[#All],[STAFF:]],$A4,Aug_Period_1_Tbl[[#All],[$ PAID PT]])+  SUMIF(Sep_Period_1_Tbl[[#All],[STAFF:]],$A4,Sep_Period_1_Tbl[[#All],[$ PAID PT]])+  SUMIF(Oct_Period_1_Tbl[[#All],[STAFF:]],$A4,Oct_Period_1_Tbl[[#All],[$ PAID PT]])+     SUMIF(Nov_Period_1_Tbl[[#All],[STAFF:]],$A4,Nov_Period_1_Tbl[[#All],[$ PAID PT]])+  SUMIF(Dec_Period_1_Tbl[[#All],[STAFF:]],$A4,Dec_Period_1_Tbl[[#All],[$ PAID PT]]))+   (SUMIF(Jan_Period_2_Tbl[[#All],[STAFF:]],$A4,Jan_Period_2_Tbl[[#All],[$ PAID PT]])+
SUMIF(Feb_Period_2_Tbl[[#All],[STAFF:]],$A4,Feb_Period_2_Tbl[[#All],[$ PAID PT]])+SUMIF(Mar_Period_2_Tbl[[#All],[STAFF:]],$A4,Mar_Period_2_Tbl[[#All],[$ PAID PT]])+SUMIF(Apr_Period_2_Tbl[[#All],[STAFF:]],$A4,Apr_Period_2_Tbl[[#All],[$ PAID PT]])+   SUMIF(May_Period_2_Tbl[[#All],[STAFF:]],$A4,May_Period_2_Tbl[[#All],[$ PAID PT]])+   SUMIF(Jun_Period_2_Tbl[[#All],[STAFF:]],$A4,Jun_Period_2_Tbl[[#All],[$ PAID PT]])+  SUMIF(Jul_Period_2_Tbl[[#All],[STAFF:]],$A4,Jul_Period_2_Tbl[[#All],[$ PAID PT]])+  SUMIF(Aug_Period_2_Tbl[[#All],[STAFF:]],$A4,Aug_Period_2_Tbl[[#All],[$ PAID PT]])+  SUMIF(Sep_Period_2_Tbl[[#All],[STAFF:]],$A4,Sep_Period_2_Tbl[[#All],[$ PAID PT]])+  SUMIF(Oct_Period_2_Tbl[[#All],[STAFF:]],$A4,Oct_Period_2_Tbl[[#All],[$ PAID PT]])+     SUMIF(Nov_Period_2_Tbl[[#All],[STAFF:]],$A4,Nov_Period_2_Tbl[[#All],[$ PAID PT]])+  SUMIF(Dec_Period_2_Tbl[[#All],[STAFF:]],$A4,Dec_Period_2_Tbl[[#All],[$ PAID PT]]))</f>
        <v>3209.66</v>
      </c>
      <c r="L4" s="213">
        <f>(SUMIF(Jan_Period_1_Tbl[[#All],[STAFF:]],$A4,Jan_Period_1_Tbl[[#All],[$ PT COMM]])+
SUMIF(Feb_Period_1_Tbl[[#All],[STAFF:]],$A4,Feb_Period_1_Tbl[[#All],[$ PT COMM]])+SUMIF(Mar_Period_1_Tbl[[#All],[STAFF:]],$A4,Mar_Period_1_Tbl[[#All],[$ PT COMM]])+SUMIF(Apr_Period_1_Tbl[[#All],[STAFF:]],$A4,Apr_Period_1_Tbl[[#All],[$ PT COMM]])+   SUMIF(May_Period_1_Tbl[[#All],[STAFF:]],$A4,May_Period_1_Tbl[[#All],[$ PT COMM]])+   SUMIF(Jun_Period_1_Tbl[[#All],[STAFF:]],$A4,Jun_Period_1_Tbl[[#All],[$ PT COMM]])+  SUMIF(Jul_Period_1_Tbl[[#All],[STAFF:]],$A4,Jul_Period_1_Tbl[[#All],[$ PT COMM]])+  SUMIF(Aug_Period_1_Tbl[[#All],[STAFF:]],$A4,Aug_Period_1_Tbl[[#All],[$ PT COMM]])+  SUMIF(Sep_Period_1_Tbl[[#All],[STAFF:]],$A4,Sep_Period_1_Tbl[[#All],[$ PT COMM]])+  SUMIF(Oct_Period_1_Tbl[[#All],[STAFF:]],$A4,Oct_Period_1_Tbl[[#All],[$ PT COMM]])+     SUMIF(Nov_Period_1_Tbl[[#All],[STAFF:]],$A4,Nov_Period_1_Tbl[[#All],[$ PT COMM]])+  SUMIF(Dec_Period_1_Tbl[[#All],[STAFF:]],$A4,Dec_Period_1_Tbl[[#All],[$ PT COMM]]))+   (SUMIF(Jan_Period_2_Tbl[[#All],[STAFF:]],$A4,Jan_Period_2_Tbl[[#All],[$ PT COMM]])+
SUMIF(Feb_Period_2_Tbl[[#All],[STAFF:]],$A4,Feb_Period_2_Tbl[[#All],[$ PT COMM]])+SUMIF(Mar_Period_2_Tbl[[#All],[STAFF:]],$A4,Mar_Period_2_Tbl[[#All],[$ PT COMM]])+SUMIF(Apr_Period_2_Tbl[[#All],[STAFF:]],$A4,Apr_Period_2_Tbl[[#All],[$ PT COMM]])+   SUMIF(May_Period_2_Tbl[[#All],[STAFF:]],$A4,May_Period_2_Tbl[[#All],[$ PT COMM]])+   SUMIF(Jun_Period_2_Tbl[[#All],[STAFF:]],$A4,Jun_Period_2_Tbl[[#All],[$ PT COMM]])+  SUMIF(Jul_Period_2_Tbl[[#All],[STAFF:]],$A4,Jul_Period_2_Tbl[[#All],[$ PT COMM]])+  SUMIF(Aug_Period_2_Tbl[[#All],[STAFF:]],$A4,Aug_Period_2_Tbl[[#All],[$ PT COMM]])+  SUMIF(Sep_Period_2_Tbl[[#All],[STAFF:]],$A4,Sep_Period_2_Tbl[[#All],[$ PT COMM]])+  SUMIF(Oct_Period_2_Tbl[[#All],[STAFF:]],$A4,Oct_Period_2_Tbl[[#All],[$ PT COMM]])+     SUMIF(Nov_Period_2_Tbl[[#All],[STAFF:]],$A4,Nov_Period_2_Tbl[[#All],[$ PT COMM]])+  SUMIF(Dec_Period_2_Tbl[[#All],[STAFF:]],$A4,Dec_Period_2_Tbl[[#All],[$ PT COMM]]))</f>
        <v>11.99</v>
      </c>
      <c r="M4" s="213">
        <f>(SUMIF(Jan_Period_1_Tbl[[#All],[STAFF:]],$A4,Jan_Period_1_Tbl[[#All],[$ EFT COMM]])+
SUMIF(Feb_Period_1_Tbl[[#All],[STAFF:]],$A4,Feb_Period_1_Tbl[[#All],[$ EFT COMM]])+SUMIF(Mar_Period_1_Tbl[[#All],[STAFF:]],$A4,Mar_Period_1_Tbl[[#All],[$ EFT COMM]])+SUMIF(Apr_Period_1_Tbl[[#All],[STAFF:]],$A4,Apr_Period_1_Tbl[[#All],[$ EFT COMM]])+   SUMIF(May_Period_1_Tbl[[#All],[STAFF:]],$A4,May_Period_1_Tbl[[#All],[$ EFT COMM]])+   SUMIF(Jun_Period_1_Tbl[[#All],[STAFF:]],$A4,Jun_Period_1_Tbl[[#All],[$ EFT COMM]])+  SUMIF(Jul_Period_1_Tbl[[#All],[STAFF:]],$A4,Jul_Period_1_Tbl[[#All],[$ EFT COMM]])+  SUMIF(Aug_Period_1_Tbl[[#All],[STAFF:]],$A4,Aug_Period_1_Tbl[[#All],[$ EFT COMM]])+  SUMIF(Sep_Period_1_Tbl[[#All],[STAFF:]],$A4,Sep_Period_1_Tbl[[#All],[$ EFT COMM]])+  SUMIF(Oct_Period_1_Tbl[[#All],[STAFF:]],$A4,Oct_Period_1_Tbl[[#All],[$ EFT COMM]])+     SUMIF(Nov_Period_1_Tbl[[#All],[STAFF:]],$A4,Nov_Period_1_Tbl[[#All],[$ EFT COMM]])+  SUMIF(Dec_Period_1_Tbl[[#All],[STAFF:]],$A4,Dec_Period_1_Tbl[[#All],[$ EFT COMM]]))+   (SUMIF(Jan_Period_2_Tbl[[#All],[STAFF:]],$A4,Jan_Period_2_Tbl[[#All],[$ EFT COMM]])+
SUMIF(Feb_Period_2_Tbl[[#All],[STAFF:]],$A4,Feb_Period_2_Tbl[[#All],[$ EFT COMM]])+SUMIF(Mar_Period_2_Tbl[[#All],[STAFF:]],$A4,Mar_Period_2_Tbl[[#All],[$ EFT COMM]])+SUMIF(Apr_Period_2_Tbl[[#All],[STAFF:]],$A4,Apr_Period_2_Tbl[[#All],[$ EFT COMM]])+   SUMIF(May_Period_2_Tbl[[#All],[STAFF:]],$A4,May_Period_2_Tbl[[#All],[$ EFT COMM]])+   SUMIF(Jun_Period_2_Tbl[[#All],[STAFF:]],$A4,Jun_Period_2_Tbl[[#All],[$ EFT COMM]])+  SUMIF(Jul_Period_2_Tbl[[#All],[STAFF:]],$A4,Jul_Period_2_Tbl[[#All],[$ EFT COMM]])+  SUMIF(Aug_Period_2_Tbl[[#All],[STAFF:]],$A4,Aug_Period_2_Tbl[[#All],[$ EFT COMM]])+  SUMIF(Sep_Period_2_Tbl[[#All],[STAFF:]],$A4,Sep_Period_2_Tbl[[#All],[$ EFT COMM]])+  SUMIF(Oct_Period_2_Tbl[[#All],[STAFF:]],$A4,Oct_Period_2_Tbl[[#All],[$ EFT COMM]])+     SUMIF(Nov_Period_2_Tbl[[#All],[STAFF:]],$A4,Nov_Period_2_Tbl[[#All],[$ EFT COMM]])+  SUMIF(Dec_Period_2_Tbl[[#All],[STAFF:]],$A4,Dec_Period_2_Tbl[[#All],[$ EFT COMM]]))</f>
        <v>0</v>
      </c>
      <c r="N4" s="213">
        <f>(SUMIF(Jan_Period_1_Tbl[[#All],[STAFF:]],$A4,Jan_Period_1_Tbl[[#All],[$ CLASS PAY]])+
SUMIF(Feb_Period_1_Tbl[[#All],[STAFF:]],$A4,Feb_Period_1_Tbl[[#All],[$ CLASS PAY]])+SUMIF(Mar_Period_1_Tbl[[#All],[STAFF:]],$A4,Mar_Period_1_Tbl[[#All],[$ CLASS PAY]])+SUMIF(Apr_Period_1_Tbl[[#All],[STAFF:]],$A4,Apr_Period_1_Tbl[[#All],[$ CLASS PAY]])+   SUMIF(May_Period_1_Tbl[[#All],[STAFF:]],$A4,May_Period_1_Tbl[[#All],[$ CLASS PAY]])+   SUMIF(Jun_Period_1_Tbl[[#All],[STAFF:]],$A4,Jun_Period_1_Tbl[[#All],[$ CLASS PAY]])+  SUMIF(Jul_Period_1_Tbl[[#All],[STAFF:]],$A4,Jul_Period_1_Tbl[[#All],[$ CLASS PAY]])+  SUMIF(Aug_Period_1_Tbl[[#All],[STAFF:]],$A4,Aug_Period_1_Tbl[[#All],[$ CLASS PAY]])+  SUMIF(Sep_Period_1_Tbl[[#All],[STAFF:]],$A4,Sep_Period_1_Tbl[[#All],[$ CLASS PAY]])+  SUMIF(Oct_Period_1_Tbl[[#All],[STAFF:]],$A4,Oct_Period_1_Tbl[[#All],[$ CLASS PAY]])+     SUMIF(Nov_Period_1_Tbl[[#All],[STAFF:]],$A4,Nov_Period_1_Tbl[[#All],[$ CLASS PAY]])+  SUMIF(Dec_Period_1_Tbl[[#All],[STAFF:]],$A4,Dec_Period_1_Tbl[[#All],[$ CLASS PAY]]))+   (SUMIF(Jan_Period_2_Tbl[[#All],[STAFF:]],$A4,Jan_Period_2_Tbl[[#All],[$ CLASS PAY]])+
SUMIF(Feb_Period_2_Tbl[[#All],[STAFF:]],$A4,Feb_Period_2_Tbl[[#All],[$ CLASS PAY]])+SUMIF(Mar_Period_2_Tbl[[#All],[STAFF:]],$A4,Mar_Period_2_Tbl[[#All],[$ CLASS PAY]])+SUMIF(Apr_Period_2_Tbl[[#All],[STAFF:]],$A4,Apr_Period_2_Tbl[[#All],[$ CLASS PAY]])+   SUMIF(May_Period_2_Tbl[[#All],[STAFF:]],$A4,May_Period_2_Tbl[[#All],[$ CLASS PAY]])+   SUMIF(Jun_Period_2_Tbl[[#All],[STAFF:]],$A4,Jun_Period_2_Tbl[[#All],[$ CLASS PAY]])+  SUMIF(Jul_Period_2_Tbl[[#All],[STAFF:]],$A4,Jul_Period_2_Tbl[[#All],[$ CLASS PAY]])+  SUMIF(Aug_Period_2_Tbl[[#All],[STAFF:]],$A4,Aug_Period_2_Tbl[[#All],[$ CLASS PAY]])+  SUMIF(Sep_Period_2_Tbl[[#All],[STAFF:]],$A4,Sep_Period_2_Tbl[[#All],[$ CLASS PAY]])+  SUMIF(Oct_Period_2_Tbl[[#All],[STAFF:]],$A4,Oct_Period_2_Tbl[[#All],[$ CLASS PAY]])+     SUMIF(Nov_Period_2_Tbl[[#All],[STAFF:]],$A4,Nov_Period_2_Tbl[[#All],[$ CLASS PAY]])+  SUMIF(Dec_Period_2_Tbl[[#All],[STAFF:]],$A4,Dec_Period_2_Tbl[[#All],[$ CLASS PAY]]))</f>
        <v>0</v>
      </c>
      <c r="O4" s="214">
        <f>(SUMIF(Jan_Period_1_Tbl[[#All],[STAFF:]],$A4,Jan_Period_1_Tbl[[#All],[$ BONUS PAY]])+
SUMIF(Feb_Period_1_Tbl[[#All],[STAFF:]],$A4,Feb_Period_1_Tbl[[#All],[$ BONUS PAY]])+SUMIF(Mar_Period_1_Tbl[[#All],[STAFF:]],$A4,Mar_Period_1_Tbl[[#All],[$ BONUS PAY]])+SUMIF(Apr_Period_1_Tbl[[#All],[STAFF:]],$A4,Apr_Period_1_Tbl[[#All],[$ BONUS PAY]])+   SUMIF(May_Period_1_Tbl[[#All],[STAFF:]],$A4,May_Period_1_Tbl[[#All],[$ BONUS PAY]])+   SUMIF(Jun_Period_1_Tbl[[#All],[STAFF:]],$A4,Jun_Period_1_Tbl[[#All],[$ BONUS PAY]])+  SUMIF(Jul_Period_1_Tbl[[#All],[STAFF:]],$A4,Jul_Period_1_Tbl[[#All],[$ BONUS PAY]])+  SUMIF(Aug_Period_1_Tbl[[#All],[STAFF:]],$A4,Aug_Period_1_Tbl[[#All],[$ BONUS PAY]])+  SUMIF(Sep_Period_1_Tbl[[#All],[STAFF:]],$A4,Sep_Period_1_Tbl[[#All],[$ BONUS PAY]])+  SUMIF(Oct_Period_1_Tbl[[#All],[STAFF:]],$A4,Oct_Period_1_Tbl[[#All],[$ BONUS PAY]])+     SUMIF(Nov_Period_1_Tbl[[#All],[STAFF:]],$A4,Nov_Period_1_Tbl[[#All],[$ BONUS PAY]])+  SUMIF(Dec_Period_1_Tbl[[#All],[STAFF:]],$A4,Dec_Period_1_Tbl[[#All],[$ BONUS PAY]]))+   (SUMIF(Jan_Period_2_Tbl[[#All],[STAFF:]],$A4,Jan_Period_2_Tbl[[#All],[$ BONUS PAY]])+
SUMIF(Feb_Period_2_Tbl[[#All],[STAFF:]],$A4,Feb_Period_2_Tbl[[#All],[$ BONUS PAY]])+SUMIF(Mar_Period_2_Tbl[[#All],[STAFF:]],$A4,Mar_Period_2_Tbl[[#All],[$ BONUS PAY]])+SUMIF(Apr_Period_2_Tbl[[#All],[STAFF:]],$A4,Apr_Period_2_Tbl[[#All],[$ BONUS PAY]])+   SUMIF(May_Period_2_Tbl[[#All],[STAFF:]],$A4,May_Period_2_Tbl[[#All],[$ BONUS PAY]])+   SUMIF(Jun_Period_2_Tbl[[#All],[STAFF:]],$A4,Jun_Period_2_Tbl[[#All],[$ BONUS PAY]])+  SUMIF(Jul_Period_2_Tbl[[#All],[STAFF:]],$A4,Jul_Period_2_Tbl[[#All],[$ BONUS PAY]])+  SUMIF(Aug_Period_2_Tbl[[#All],[STAFF:]],$A4,Aug_Period_2_Tbl[[#All],[$ BONUS PAY]])+  SUMIF(Sep_Period_2_Tbl[[#All],[STAFF:]],$A4,Sep_Period_2_Tbl[[#All],[$ BONUS PAY]])+  SUMIF(Oct_Period_2_Tbl[[#All],[STAFF:]],$A4,Oct_Period_2_Tbl[[#All],[$ BONUS PAY]])+     SUMIF(Nov_Period_2_Tbl[[#All],[STAFF:]],$A4,Nov_Period_2_Tbl[[#All],[$ BONUS PAY]])+  SUMIF(Dec_Period_2_Tbl[[#All],[STAFF:]],$A4,Dec_Period_2_Tbl[[#All],[$ BONUS PAY]]))</f>
        <v>0</v>
      </c>
      <c r="P4" s="215">
        <f t="shared" ref="P4:P35" si="0">SUM(G4+H4+J4+K4+L4+M4+N4+O4)</f>
        <v>3253.6499999999996</v>
      </c>
      <c r="Q4" s="149"/>
      <c r="R4" s="174">
        <f>(SUMIF(Jan_Period_1_Tbl[[#All],[STAFF:]],$A4,Jan_Period_1_Tbl[[#All],['# POINTS EARNED]])+
SUMIF(Feb_Period_1_Tbl[[#All],[STAFF:]],$A4,Feb_Period_1_Tbl[[#All],['# POINTS EARNED]])+SUMIF(Mar_Period_1_Tbl[[#All],[STAFF:]],$A4,Mar_Period_1_Tbl[[#All],['# POINTS EARNED]])+SUMIF(Apr_Period_1_Tbl[[#All],[STAFF:]],$A4,Apr_Period_1_Tbl[[#All],['# POINTS EARNED]])+   SUMIF(May_Period_1_Tbl[[#All],[STAFF:]],$A4,May_Period_1_Tbl[[#All],['# POINTS EARNED]])+   SUMIF(Jun_Period_1_Tbl[[#All],[STAFF:]],$A4,Jun_Period_1_Tbl[[#All],['# POINTS EARNED]])+  SUMIF(Jul_Period_1_Tbl[[#All],[STAFF:]],$A4,Jul_Period_1_Tbl[[#All],['# POINTS EARNED]])+  SUMIF(Aug_Period_1_Tbl[[#All],[STAFF:]],$A4,Aug_Period_1_Tbl[[#All],['# POINTS EARNED]])+  SUMIF(Sep_Period_1_Tbl[[#All],[STAFF:]],$A4,Sep_Period_1_Tbl[[#All],['# POINTS EARNED]])+  SUMIF(Oct_Period_1_Tbl[[#All],[STAFF:]],$A4,Oct_Period_1_Tbl[[#All],['# POINTS EARNED]])+     SUMIF(Nov_Period_1_Tbl[[#All],[STAFF:]],$A4,Nov_Period_1_Tbl[[#All],['# POINTS EARNED]])+  SUMIF(Dec_Period_1_Tbl[[#All],[STAFF:]],$A4,Dec_Period_1_Tbl[[#All],['# POINTS EARNED]]))+   (SUMIF(Jan_Period_2_Tbl[[#All],[STAFF:]],$A4,Jan_Period_2_Tbl[[#All],['# POINTS EARNED]])+
SUMIF(Feb_Period_2_Tbl[[#All],[STAFF:]],$A4,Feb_Period_2_Tbl[[#All],['# POINTS EARNED]])+SUMIF(Mar_Period_2_Tbl[[#All],[STAFF:]],$A4,Mar_Period_2_Tbl[[#All],['# POINTS EARNED]])+SUMIF(Apr_Period_2_Tbl[[#All],[STAFF:]],$A4,Apr_Period_2_Tbl[[#All],['# POINTS EARNED]])+   SUMIF(May_Period_2_Tbl[[#All],[STAFF:]],$A4,May_Period_2_Tbl[[#All],['# POINTS EARNED]])+   SUMIF(Jun_Period_2_Tbl[[#All],[STAFF:]],$A4,Jun_Period_2_Tbl[[#All],['# POINTS EARNED]])+  SUMIF(Jul_Period_2_Tbl[[#All],[STAFF:]],$A4,Jul_Period_2_Tbl[[#All],['# POINTS EARNED]])+  SUMIF(Aug_Period_2_Tbl[[#All],[STAFF:]],$A4,Aug_Period_2_Tbl[[#All],['# POINTS EARNED]])+  SUMIF(Sep_Period_2_Tbl[[#All],[STAFF:]],$A4,Sep_Period_2_Tbl[[#All],['# POINTS EARNED]])+  SUMIF(Oct_Period_2_Tbl[[#All],[STAFF:]],$A4,Oct_Period_2_Tbl[[#All],['# POINTS EARNED]])+     SUMIF(Nov_Period_2_Tbl[[#All],[STAFF:]],$A4,Nov_Period_2_Tbl[[#All],['# POINTS EARNED]])+  SUMIF(Dec_Period_2_Tbl[[#All],[STAFF:]],$A4,Dec_Period_2_Tbl[[#All],['# POINTS EARNED]]))</f>
        <v>0</v>
      </c>
      <c r="S4" s="174">
        <f>(SUMIF(Jan_Period_1_Tbl[[#All],[STAFF:]],$A4,Jan_Period_1_Tbl[[#All],['# POINTS USED]])+
SUMIF(Feb_Period_1_Tbl[[#All],[STAFF:]],$A4,Feb_Period_1_Tbl[[#All],['# POINTS USED]])+SUMIF(Mar_Period_1_Tbl[[#All],[STAFF:]],$A4,Mar_Period_1_Tbl[[#All],['# POINTS USED]])+SUMIF(Apr_Period_1_Tbl[[#All],[STAFF:]],$A4,Apr_Period_1_Tbl[[#All],['# POINTS USED]])+   SUMIF(May_Period_1_Tbl[[#All],[STAFF:]],$A4,May_Period_1_Tbl[[#All],['# POINTS USED]])+   SUMIF(Jun_Period_1_Tbl[[#All],[STAFF:]],$A4,Jun_Period_1_Tbl[[#All],['# POINTS USED]])+  SUMIF(Jul_Period_1_Tbl[[#All],[STAFF:]],$A4,Jul_Period_1_Tbl[[#All],['# POINTS USED]])+  SUMIF(Aug_Period_1_Tbl[[#All],[STAFF:]],$A4,Aug_Period_1_Tbl[[#All],['# POINTS USED]])+  SUMIF(Sep_Period_1_Tbl[[#All],[STAFF:]],$A4,Sep_Period_1_Tbl[[#All],['# POINTS USED]])+  SUMIF(Oct_Period_1_Tbl[[#All],[STAFF:]],$A4,Oct_Period_1_Tbl[[#All],['# POINTS USED]])+     SUMIF(Nov_Period_1_Tbl[[#All],[STAFF:]],$A4,Nov_Period_1_Tbl[[#All],['# POINTS USED]])+  SUMIF(Dec_Period_1_Tbl[[#All],[STAFF:]],$A4,Dec_Period_1_Tbl[[#All],['# POINTS USED]]))+   (SUMIF(Jan_Period_2_Tbl[[#All],[STAFF:]],$A4,Jan_Period_2_Tbl[[#All],['# POINTS USED]])+
SUMIF(Feb_Period_2_Tbl[[#All],[STAFF:]],$A4,Feb_Period_2_Tbl[[#All],['# POINTS USED]])+SUMIF(Mar_Period_2_Tbl[[#All],[STAFF:]],$A4,Mar_Period_2_Tbl[[#All],['# POINTS USED]])+SUMIF(Apr_Period_2_Tbl[[#All],[STAFF:]],$A4,Apr_Period_2_Tbl[[#All],['# POINTS USED]])+   SUMIF(May_Period_2_Tbl[[#All],[STAFF:]],$A4,May_Period_2_Tbl[[#All],['# POINTS USED]])+   SUMIF(Jun_Period_2_Tbl[[#All],[STAFF:]],$A4,Jun_Period_2_Tbl[[#All],['# POINTS USED]])+  SUMIF(Jul_Period_2_Tbl[[#All],[STAFF:]],$A4,Jul_Period_2_Tbl[[#All],['# POINTS USED]])+  SUMIF(Aug_Period_2_Tbl[[#All],[STAFF:]],$A4,Aug_Period_2_Tbl[[#All],['# POINTS USED]])+  SUMIF(Sep_Period_2_Tbl[[#All],[STAFF:]],$A4,Sep_Period_2_Tbl[[#All],['# POINTS USED]])+  SUMIF(Oct_Period_2_Tbl[[#All],[STAFF:]],$A4,Oct_Period_2_Tbl[[#All],['# POINTS USED]])+     SUMIF(Nov_Period_2_Tbl[[#All],[STAFF:]],$A4,Nov_Period_2_Tbl[[#All],['# POINTS USED]])+  SUMIF(Dec_Period_2_Tbl[[#All],[STAFF:]],$A4,Dec_Period_2_Tbl[[#All],['# POINTS USED]]))</f>
        <v>0</v>
      </c>
      <c r="T4" s="174">
        <f>(SUMIF(Jan_Period_1_Tbl[[#All],[STAFF:]],$A4,Jan_Period_1_Tbl[[#All],['# CLASSES LEAD]])+
SUMIF(Feb_Period_1_Tbl[[#All],[STAFF:]],$A4,Feb_Period_1_Tbl[[#All],['# CLASSES LEAD]])+SUMIF(Mar_Period_1_Tbl[[#All],[STAFF:]],$A4,Mar_Period_1_Tbl[[#All],['# CLASSES LEAD]])+SUMIF(Apr_Period_1_Tbl[[#All],[STAFF:]],$A4,Apr_Period_1_Tbl[[#All],['# CLASSES LEAD]])+   SUMIF(May_Period_1_Tbl[[#All],[STAFF:]],$A4,May_Period_1_Tbl[[#All],['# CLASSES LEAD]])+   SUMIF(Jun_Period_1_Tbl[[#All],[STAFF:]],$A4,Jun_Period_1_Tbl[[#All],['# CLASSES LEAD]])+  SUMIF(Jul_Period_1_Tbl[[#All],[STAFF:]],$A4,Jul_Period_1_Tbl[[#All],['# CLASSES LEAD]])+  SUMIF(Aug_Period_1_Tbl[[#All],[STAFF:]],$A4,Aug_Period_1_Tbl[[#All],['# CLASSES LEAD]])+  SUMIF(Sep_Period_1_Tbl[[#All],[STAFF:]],$A4,Sep_Period_1_Tbl[[#All],['# CLASSES LEAD]])+  SUMIF(Oct_Period_1_Tbl[[#All],[STAFF:]],$A4,Oct_Period_1_Tbl[[#All],['# CLASSES LEAD]])+     SUMIF(Nov_Period_1_Tbl[[#All],[STAFF:]],$A4,Nov_Period_1_Tbl[[#All],['# CLASSES LEAD]])+  SUMIF(Dec_Period_1_Tbl[[#All],[STAFF:]],$A4,Dec_Period_1_Tbl[[#All],['# CLASSES LEAD]]))+   (SUMIF(Jan_Period_2_Tbl[[#All],[STAFF:]],$A4,Jan_Period_2_Tbl[[#All],['# CLASSES LEAD]])+
SUMIF(Feb_Period_2_Tbl[[#All],[STAFF:]],$A4,Feb_Period_2_Tbl[[#All],['# CLASSES LEAD]])+SUMIF(Mar_Period_2_Tbl[[#All],[STAFF:]],$A4,Mar_Period_2_Tbl[[#All],['# CLASSES LEAD]])+SUMIF(Apr_Period_2_Tbl[[#All],[STAFF:]],$A4,Apr_Period_2_Tbl[[#All],['# CLASSES LEAD]])+   SUMIF(May_Period_2_Tbl[[#All],[STAFF:]],$A4,May_Period_2_Tbl[[#All],['# CLASSES LEAD]])+   SUMIF(Jun_Period_2_Tbl[[#All],[STAFF:]],$A4,Jun_Period_2_Tbl[[#All],['# CLASSES LEAD]])+  SUMIF(Jul_Period_2_Tbl[[#All],[STAFF:]],$A4,Jul_Period_2_Tbl[[#All],['# CLASSES LEAD]])+  SUMIF(Aug_Period_2_Tbl[[#All],[STAFF:]],$A4,Aug_Period_2_Tbl[[#All],['# CLASSES LEAD]])+  SUMIF(Sep_Period_2_Tbl[[#All],[STAFF:]],$A4,Sep_Period_2_Tbl[[#All],['# CLASSES LEAD]])+  SUMIF(Oct_Period_2_Tbl[[#All],[STAFF:]],$A4,Oct_Period_2_Tbl[[#All],['# CLASSES LEAD]])+     SUMIF(Nov_Period_2_Tbl[[#All],[STAFF:]],$A4,Nov_Period_2_Tbl[[#All],['# CLASSES LEAD]])+  SUMIF(Dec_Period_2_Tbl[[#All],[STAFF:]],$A4,Dec_Period_2_Tbl[[#All],['# CLASSES LEAD]]))</f>
        <v>0</v>
      </c>
      <c r="U4" s="174">
        <f>(SUMIF(Jan_Period_1_Tbl[[#All],[STAFF:]],$A4,Jan_Period_1_Tbl[[#All],['# CLASSES SHOW]])+
SUMIF(Feb_Period_1_Tbl[[#All],[STAFF:]],$A4,Feb_Period_1_Tbl[[#All],['# CLASSES SHOW]])+SUMIF(Mar_Period_1_Tbl[[#All],[STAFF:]],$A4,Mar_Period_1_Tbl[[#All],['# CLASSES SHOW]])+SUMIF(Apr_Period_1_Tbl[[#All],[STAFF:]],$A4,Apr_Period_1_Tbl[[#All],['# CLASSES SHOW]])+   SUMIF(May_Period_1_Tbl[[#All],[STAFF:]],$A4,May_Period_1_Tbl[[#All],['# CLASSES SHOW]])+   SUMIF(Jun_Period_1_Tbl[[#All],[STAFF:]],$A4,Jun_Period_1_Tbl[[#All],['# CLASSES SHOW]])+  SUMIF(Jul_Period_1_Tbl[[#All],[STAFF:]],$A4,Jul_Period_1_Tbl[[#All],['# CLASSES SHOW]])+  SUMIF(Aug_Period_1_Tbl[[#All],[STAFF:]],$A4,Aug_Period_1_Tbl[[#All],['# CLASSES SHOW]])+  SUMIF(Sep_Period_1_Tbl[[#All],[STAFF:]],$A4,Sep_Period_1_Tbl[[#All],['# CLASSES SHOW]])+  SUMIF(Oct_Period_1_Tbl[[#All],[STAFF:]],$A4,Oct_Period_1_Tbl[[#All],['# CLASSES SHOW]])+     SUMIF(Nov_Period_1_Tbl[[#All],[STAFF:]],$A4,Nov_Period_1_Tbl[[#All],['# CLASSES SHOW]])+  SUMIF(Dec_Period_1_Tbl[[#All],[STAFF:]],$A4,Dec_Period_1_Tbl[[#All],['# CLASSES SHOW]]))+   (SUMIF(Jan_Period_2_Tbl[[#All],[STAFF:]],$A4,Jan_Period_2_Tbl[[#All],['# CLASSES SHOW]])+
SUMIF(Feb_Period_2_Tbl[[#All],[STAFF:]],$A4,Feb_Period_2_Tbl[[#All],['# CLASSES SHOW]])+SUMIF(Mar_Period_2_Tbl[[#All],[STAFF:]],$A4,Mar_Period_2_Tbl[[#All],['# CLASSES SHOW]])+SUMIF(Apr_Period_2_Tbl[[#All],[STAFF:]],$A4,Apr_Period_2_Tbl[[#All],['# CLASSES SHOW]])+   SUMIF(May_Period_2_Tbl[[#All],[STAFF:]],$A4,May_Period_2_Tbl[[#All],['# CLASSES SHOW]])+   SUMIF(Jun_Period_2_Tbl[[#All],[STAFF:]],$A4,Jun_Period_2_Tbl[[#All],['# CLASSES SHOW]])+  SUMIF(Jul_Period_2_Tbl[[#All],[STAFF:]],$A4,Jul_Period_2_Tbl[[#All],['# CLASSES SHOW]])+  SUMIF(Aug_Period_2_Tbl[[#All],[STAFF:]],$A4,Aug_Period_2_Tbl[[#All],['# CLASSES SHOW]])+  SUMIF(Sep_Period_2_Tbl[[#All],[STAFF:]],$A4,Sep_Period_2_Tbl[[#All],['# CLASSES SHOW]])+  SUMIF(Oct_Period_2_Tbl[[#All],[STAFF:]],$A4,Oct_Period_2_Tbl[[#All],['# CLASSES SHOW]])+     SUMIF(Nov_Period_2_Tbl[[#All],[STAFF:]],$A4,Nov_Period_2_Tbl[[#All],['# CLASSES SHOW]])+  SUMIF(Dec_Period_2_Tbl[[#All],[STAFF:]],$A4,Dec_Period_2_Tbl[[#All],['# CLASSES SHOW]]))</f>
        <v>0</v>
      </c>
      <c r="V4" s="156"/>
      <c r="W4" s="156"/>
      <c r="X4" s="216">
        <f t="shared" ref="X4:X35" si="1">IF(OR(G4="",G4=0),H4,G4+H4)</f>
        <v>0</v>
      </c>
      <c r="Y4" s="216">
        <f t="shared" ref="Y4:Y35" si="2">J4+K4</f>
        <v>3241.66</v>
      </c>
      <c r="Z4" s="216">
        <f t="shared" ref="Z4:Z35" si="3">N4</f>
        <v>0</v>
      </c>
      <c r="AA4" s="216">
        <f t="shared" ref="AA4:AA35" si="4">M4</f>
        <v>0</v>
      </c>
      <c r="AB4" s="216">
        <f t="shared" ref="AB4:AB35" si="5">L4</f>
        <v>11.99</v>
      </c>
      <c r="AC4" s="216">
        <f t="shared" ref="AC4:AC35" si="6">O4</f>
        <v>0</v>
      </c>
      <c r="AD4" s="216">
        <f t="shared" ref="AD4:AD35" si="7">P4</f>
        <v>3253.6499999999996</v>
      </c>
      <c r="AE4" s="149"/>
      <c r="AF4" s="149"/>
      <c r="AG4" s="149"/>
      <c r="AH4" s="149"/>
      <c r="AJ4" s="75" t="str">
        <f t="shared" ref="AJ4:AJ35" si="8">IF(AND(ISBLANK(C4),NOT(ISBLANK(A4))),"Active",IF(ISBLANK(C4),"zBlank","bDeactivate"))</f>
        <v>Active</v>
      </c>
      <c r="AK4" s="210"/>
      <c r="AL4" s="168">
        <f>IFERROR(VLOOKUP(B4,List!$A:$B,2,FALSE),-1)</f>
        <v>0</v>
      </c>
      <c r="AM4" s="168">
        <f>IFERROR(VLOOKUP(C4,List!$A:$B,2,FALSE),-1)</f>
        <v>-1</v>
      </c>
      <c r="AN4" s="203" t="s">
        <v>153</v>
      </c>
    </row>
    <row r="5" spans="1:40" x14ac:dyDescent="0.25">
      <c r="A5" s="20" t="s">
        <v>2</v>
      </c>
      <c r="B5" s="186">
        <v>42736</v>
      </c>
      <c r="C5" s="186"/>
      <c r="D5" s="187">
        <v>0</v>
      </c>
      <c r="E5" s="188">
        <f>(SUMIF(Jan_Period_1_Tbl[[#All],[STAFF:]],$A5,Jan_Period_1_Tbl[[#All],['# PTO USED]])+
SUMIF(Feb_Period_1_Tbl[[#All],[STAFF:]],$A5,Feb_Period_1_Tbl[[#All],['# PTO USED]])+SUMIF(Mar_Period_1_Tbl[[#All],[STAFF:]],$A5,Mar_Period_1_Tbl[[#All],['# PTO USED]])+SUMIF(Apr_Period_1_Tbl[[#All],[STAFF:]],$A5,Apr_Period_1_Tbl[[#All],['# PTO USED]])+   SUMIF(May_Period_1_Tbl[[#All],[STAFF:]],$A5,May_Period_1_Tbl[[#All],['# PTO USED]])+   SUMIF(Jun_Period_1_Tbl[[#All],[STAFF:]],$A5,Jun_Period_1_Tbl[[#All],['# PTO USED]])+  SUMIF(Jul_Period_1_Tbl[[#All],[STAFF:]],$A5,Jul_Period_1_Tbl[[#All],['# PTO USED]])+  SUMIF(Aug_Period_1_Tbl[[#All],[STAFF:]],$A5,Aug_Period_1_Tbl[[#All],['# PTO USED]])+  SUMIF(Sep_Period_1_Tbl[[#All],[STAFF:]],$A5,Sep_Period_1_Tbl[[#All],['# PTO USED]])+  SUMIF(Oct_Period_1_Tbl[[#All],[STAFF:]],$A5,Oct_Period_1_Tbl[[#All],['# PTO USED]])+     SUMIF(Nov_Period_1_Tbl[[#All],[STAFF:]],$A5,Nov_Period_1_Tbl[[#All],['# PTO USED]])+  SUMIF(Dec_Period_1_Tbl[[#All],[STAFF:]],$A5,Dec_Period_1_Tbl[[#All],['# PTO USED]]))+   (SUMIF(Jan_Period_2_Tbl[[#All],[STAFF:]],$A5,Jan_Period_2_Tbl[[#All],['# PTO USED]])+
SUMIF(Feb_Period_2_Tbl[[#All],[STAFF:]],$A5,Feb_Period_2_Tbl[[#All],['# PTO USED]])+SUMIF(Mar_Period_2_Tbl[[#All],[STAFF:]],$A5,Mar_Period_2_Tbl[[#All],['# PTO USED]])+SUMIF(Apr_Period_2_Tbl[[#All],[STAFF:]],$A5,Apr_Period_2_Tbl[[#All],['# PTO USED]])+   SUMIF(May_Period_2_Tbl[[#All],[STAFF:]],$A5,May_Period_2_Tbl[[#All],['# PTO USED]])+   SUMIF(Jun_Period_2_Tbl[[#All],[STAFF:]],$A5,Jun_Period_2_Tbl[[#All],['# PTO USED]])+  SUMIF(Jul_Period_2_Tbl[[#All],[STAFF:]],$A5,Jul_Period_2_Tbl[[#All],['# PTO USED]])+  SUMIF(Aug_Period_2_Tbl[[#All],[STAFF:]],$A5,Aug_Period_2_Tbl[[#All],['# PTO USED]])+  SUMIF(Sep_Period_2_Tbl[[#All],[STAFF:]],$A5,Sep_Period_2_Tbl[[#All],['# PTO USED]])+  SUMIF(Oct_Period_2_Tbl[[#All],[STAFF:]],$A5,Oct_Period_2_Tbl[[#All],['# PTO USED]])+     SUMIF(Nov_Period_2_Tbl[[#All],[STAFF:]],$A5,Nov_Period_2_Tbl[[#All],['# PTO USED]])+  SUMIF(Dec_Period_2_Tbl[[#All],[STAFF:]],$A5,Dec_Period_2_Tbl[[#All],['# PTO USED]]))</f>
        <v>0</v>
      </c>
      <c r="F5" s="189">
        <f>(SUMIF(Jan_Period_1_Tbl[[#All],[STAFF:]],$A5,Jan_Period_1_Tbl[[#All],['# HRS WORKED]])+
SUMIF(Feb_Period_1_Tbl[[#All],[STAFF:]],$A5,Feb_Period_1_Tbl[[#All],['# HRS WORKED]])+SUMIF(Mar_Period_1_Tbl[[#All],[STAFF:]],$A5,Mar_Period_1_Tbl[[#All],['# HRS WORKED]])+SUMIF(Apr_Period_1_Tbl[[#All],[STAFF:]],$A5,Apr_Period_1_Tbl[[#All],['# HRS WORKED]])+   SUMIF(May_Period_1_Tbl[[#All],[STAFF:]],$A5,May_Period_1_Tbl[[#All],['# HRS WORKED]])+   SUMIF(Jun_Period_1_Tbl[[#All],[STAFF:]],$A5,Jun_Period_1_Tbl[[#All],['# HRS WORKED]])+  SUMIF(Jul_Period_1_Tbl[[#All],[STAFF:]],$A5,Jul_Period_1_Tbl[[#All],['# HRS WORKED]])+  SUMIF(Aug_Period_1_Tbl[[#All],[STAFF:]],$A5,Aug_Period_1_Tbl[[#All],['# HRS WORKED]])+  SUMIF(Sep_Period_1_Tbl[[#All],[STAFF:]],$A5,Sep_Period_1_Tbl[[#All],['# HRS WORKED]])+  SUMIF(Oct_Period_1_Tbl[[#All],[STAFF:]],$A5,Oct_Period_1_Tbl[[#All],['# HRS WORKED]])+     SUMIF(Nov_Period_1_Tbl[[#All],[STAFF:]],$A5,Nov_Period_1_Tbl[[#All],['# HRS WORKED]])+  SUMIF(Dec_Period_1_Tbl[[#All],[STAFF:]],$A5,Dec_Period_1_Tbl[[#All],['# HRS WORKED]]))+   (SUMIF(Jan_Period_2_Tbl[[#All],[STAFF:]],$A5,Jan_Period_2_Tbl[[#All],['# HRS WORKED]])+
SUMIF(Feb_Period_2_Tbl[[#All],[STAFF:]],$A5,Feb_Period_2_Tbl[[#All],['# HRS WORKED]])+SUMIF(Mar_Period_2_Tbl[[#All],[STAFF:]],$A5,Mar_Period_2_Tbl[[#All],['# HRS WORKED]])+SUMIF(Apr_Period_2_Tbl[[#All],[STAFF:]],$A5,Apr_Period_2_Tbl[[#All],['# HRS WORKED]])+   SUMIF(May_Period_2_Tbl[[#All],[STAFF:]],$A5,May_Period_2_Tbl[[#All],['# HRS WORKED]])+   SUMIF(Jun_Period_2_Tbl[[#All],[STAFF:]],$A5,Jun_Period_2_Tbl[[#All],['# HRS WORKED]])+  SUMIF(Jul_Period_2_Tbl[[#All],[STAFF:]],$A5,Jul_Period_2_Tbl[[#All],['# HRS WORKED]])+  SUMIF(Aug_Period_2_Tbl[[#All],[STAFF:]],$A5,Aug_Period_2_Tbl[[#All],['# HRS WORKED]])+  SUMIF(Sep_Period_2_Tbl[[#All],[STAFF:]],$A5,Sep_Period_2_Tbl[[#All],['# HRS WORKED]])+  SUMIF(Oct_Period_2_Tbl[[#All],[STAFF:]],$A5,Oct_Period_2_Tbl[[#All],['# HRS WORKED]])+     SUMIF(Nov_Period_2_Tbl[[#All],[STAFF:]],$A5,Nov_Period_2_Tbl[[#All],['# HRS WORKED]])+  SUMIF(Dec_Period_2_Tbl[[#All],[STAFF:]],$A5,Dec_Period_2_Tbl[[#All],['# HRS WORKED]]))</f>
        <v>32</v>
      </c>
      <c r="G5" s="213">
        <f>(SUMIF(Jan_Period_1_Tbl[[#All],[STAFF:]],$A5,Jan_Period_1_Tbl[[#All],[$ Hourly WAGES]])+
SUMIF(Feb_Period_1_Tbl[[#All],[STAFF:]],$A5,Feb_Period_1_Tbl[[#All],[$ Hourly WAGES]])+SUMIF(Mar_Period_1_Tbl[[#All],[STAFF:]],$A5,Mar_Period_1_Tbl[[#All],[$ Hourly WAGES]])+SUMIF(Apr_Period_1_Tbl[[#All],[STAFF:]],$A5,Apr_Period_1_Tbl[[#All],[$ Hourly WAGES]])+   SUMIF(May_Period_1_Tbl[[#All],[STAFF:]],$A5,May_Period_1_Tbl[[#All],[$ Hourly WAGES]])+   SUMIF(Jun_Period_1_Tbl[[#All],[STAFF:]],$A5,Jun_Period_1_Tbl[[#All],[$ Hourly WAGES]])+  SUMIF(Jul_Period_1_Tbl[[#All],[STAFF:]],$A5,Jul_Period_1_Tbl[[#All],[$ Hourly WAGES]])+  SUMIF(Aug_Period_1_Tbl[[#All],[STAFF:]],$A5,Aug_Period_1_Tbl[[#All],[$ Hourly WAGES]])+  SUMIF(Sep_Period_1_Tbl[[#All],[STAFF:]],$A5,Sep_Period_1_Tbl[[#All],[$ Hourly WAGES]])+  SUMIF(Oct_Period_1_Tbl[[#All],[STAFF:]],$A5,Oct_Period_1_Tbl[[#All],[$ Hourly WAGES]])+     SUMIF(Nov_Period_1_Tbl[[#All],[STAFF:]],$A5,Nov_Period_1_Tbl[[#All],[$ Hourly WAGES]])+  SUMIF(Dec_Period_1_Tbl[[#All],[STAFF:]],$A5,Dec_Period_1_Tbl[[#All],[$ Hourly WAGES]]))+   (SUMIF(Jan_Period_2_Tbl[[#All],[STAFF:]],$A5,Jan_Period_2_Tbl[[#All],[$ Hourly WAGES]])+
SUMIF(Feb_Period_2_Tbl[[#All],[STAFF:]],$A5,Feb_Period_2_Tbl[[#All],[$ Hourly WAGES]])+SUMIF(Mar_Period_2_Tbl[[#All],[STAFF:]],$A5,Mar_Period_2_Tbl[[#All],[$ Hourly WAGES]])+SUMIF(Apr_Period_2_Tbl[[#All],[STAFF:]],$A5,Apr_Period_2_Tbl[[#All],[$ Hourly WAGES]])+   SUMIF(May_Period_2_Tbl[[#All],[STAFF:]],$A5,May_Period_2_Tbl[[#All],[$ Hourly WAGES]])+   SUMIF(Jun_Period_2_Tbl[[#All],[STAFF:]],$A5,Jun_Period_2_Tbl[[#All],[$ Hourly WAGES]])+  SUMIF(Jul_Period_2_Tbl[[#All],[STAFF:]],$A5,Jul_Period_2_Tbl[[#All],[$ Hourly WAGES]])+  SUMIF(Aug_Period_2_Tbl[[#All],[STAFF:]],$A5,Aug_Period_2_Tbl[[#All],[$ Hourly WAGES]])+  SUMIF(Sep_Period_2_Tbl[[#All],[STAFF:]],$A5,Sep_Period_2_Tbl[[#All],[$ Hourly WAGES]])+  SUMIF(Oct_Period_2_Tbl[[#All],[STAFF:]],$A5,Oct_Period_2_Tbl[[#All],[$ Hourly WAGES]])+     SUMIF(Nov_Period_2_Tbl[[#All],[STAFF:]],$A5,Nov_Period_2_Tbl[[#All],[$ Hourly WAGES]])+  SUMIF(Dec_Period_2_Tbl[[#All],[STAFF:]],$A5,Dec_Period_2_Tbl[[#All],[$ Hourly WAGES]]))</f>
        <v>320</v>
      </c>
      <c r="H5" s="213">
        <f>(SUMIF(Jan_Period_1_Tbl[[#All],[STAFF:]],$A5,Jan_Period_1_Tbl[[#All],[$ SALARY]])+
SUMIF(Feb_Period_1_Tbl[[#All],[STAFF:]],$A5,Feb_Period_1_Tbl[[#All],[$ SALARY]])+SUMIF(Mar_Period_1_Tbl[[#All],[STAFF:]],$A5,Mar_Period_1_Tbl[[#All],[$ SALARY]])+SUMIF(Apr_Period_1_Tbl[[#All],[STAFF:]],$A5,Apr_Period_1_Tbl[[#All],[$ SALARY]])+   SUMIF(May_Period_1_Tbl[[#All],[STAFF:]],$A5,May_Period_1_Tbl[[#All],[$ SALARY]])+   SUMIF(Jun_Period_1_Tbl[[#All],[STAFF:]],$A5,Jun_Period_1_Tbl[[#All],[$ SALARY]])+  SUMIF(Jul_Period_1_Tbl[[#All],[STAFF:]],$A5,Jul_Period_1_Tbl[[#All],[$ SALARY]])+  SUMIF(Aug_Period_1_Tbl[[#All],[STAFF:]],$A5,Aug_Period_1_Tbl[[#All],[$ SALARY]])+  SUMIF(Sep_Period_1_Tbl[[#All],[STAFF:]],$A5,Sep_Period_1_Tbl[[#All],[$ SALARY]])+  SUMIF(Oct_Period_1_Tbl[[#All],[STAFF:]],$A5,Oct_Period_1_Tbl[[#All],[$ SALARY]])+     SUMIF(Nov_Period_1_Tbl[[#All],[STAFF:]],$A5,Nov_Period_1_Tbl[[#All],[$ SALARY]])+  SUMIF(Dec_Period_1_Tbl[[#All],[STAFF:]],$A5,Dec_Period_1_Tbl[[#All],[$ SALARY]]))+   (SUMIF(Jan_Period_2_Tbl[[#All],[STAFF:]],$A5,Jan_Period_2_Tbl[[#All],[$ SALARY]])+
SUMIF(Feb_Period_2_Tbl[[#All],[STAFF:]],$A5,Feb_Period_2_Tbl[[#All],[$ SALARY]])+SUMIF(Mar_Period_2_Tbl[[#All],[STAFF:]],$A5,Mar_Period_2_Tbl[[#All],[$ SALARY]])+SUMIF(Apr_Period_2_Tbl[[#All],[STAFF:]],$A5,Apr_Period_2_Tbl[[#All],[$ SALARY]])+   SUMIF(May_Period_2_Tbl[[#All],[STAFF:]],$A5,May_Period_2_Tbl[[#All],[$ SALARY]])+   SUMIF(Jun_Period_2_Tbl[[#All],[STAFF:]],$A5,Jun_Period_2_Tbl[[#All],[$ SALARY]])+  SUMIF(Jul_Period_2_Tbl[[#All],[STAFF:]],$A5,Jul_Period_2_Tbl[[#All],[$ SALARY]])+  SUMIF(Aug_Period_2_Tbl[[#All],[STAFF:]],$A5,Aug_Period_2_Tbl[[#All],[$ SALARY]])+  SUMIF(Sep_Period_2_Tbl[[#All],[STAFF:]],$A5,Sep_Period_2_Tbl[[#All],[$ SALARY]])+  SUMIF(Oct_Period_2_Tbl[[#All],[STAFF:]],$A5,Oct_Period_2_Tbl[[#All],[$ SALARY]])+     SUMIF(Nov_Period_2_Tbl[[#All],[STAFF:]],$A5,Nov_Period_2_Tbl[[#All],[$ SALARY]])+  SUMIF(Dec_Period_2_Tbl[[#All],[STAFF:]],$A5,Dec_Period_2_Tbl[[#All],[$ SALARY]]))</f>
        <v>0</v>
      </c>
      <c r="I5" s="213">
        <f>(SUMIF(Jan_Period_1_Tbl[[#All],[STAFF:]],$A5,Jan_Period_1_Tbl[[#All],[$ SALARY PT]])+
SUMIF(Feb_Period_1_Tbl[[#All],[STAFF:]],$A5,Feb_Period_1_Tbl[[#All],[$ SALARY PT]])+SUMIF(Mar_Period_1_Tbl[[#All],[STAFF:]],$A5,Mar_Period_1_Tbl[[#All],[$ SALARY PT]])+SUMIF(Apr_Period_1_Tbl[[#All],[STAFF:]],$A5,Apr_Period_1_Tbl[[#All],[$ SALARY PT]])+   SUMIF(May_Period_1_Tbl[[#All],[STAFF:]],$A5,May_Period_1_Tbl[[#All],[$ SALARY PT]])+   SUMIF(Jun_Period_1_Tbl[[#All],[STAFF:]],$A5,Jun_Period_1_Tbl[[#All],[$ SALARY PT]])+  SUMIF(Jul_Period_1_Tbl[[#All],[STAFF:]],$A5,Jul_Period_1_Tbl[[#All],[$ SALARY PT]])+  SUMIF(Aug_Period_1_Tbl[[#All],[STAFF:]],$A5,Aug_Period_1_Tbl[[#All],[$ SALARY PT]])+  SUMIF(Sep_Period_1_Tbl[[#All],[STAFF:]],$A5,Sep_Period_1_Tbl[[#All],[$ SALARY PT]])+  SUMIF(Oct_Period_1_Tbl[[#All],[STAFF:]],$A5,Oct_Period_1_Tbl[[#All],[$ SALARY PT]])+     SUMIF(Nov_Period_1_Tbl[[#All],[STAFF:]],$A5,Nov_Period_1_Tbl[[#All],[$ SALARY PT]])+  SUMIF(Dec_Period_1_Tbl[[#All],[STAFF:]],$A5,Dec_Period_1_Tbl[[#All],[$ SALARY PT]]))+   (SUMIF(Jan_Period_2_Tbl[[#All],[STAFF:]],$A5,Jan_Period_2_Tbl[[#All],[$ SALARY PT]])+
SUMIF(Feb_Period_2_Tbl[[#All],[STAFF:]],$A5,Feb_Period_2_Tbl[[#All],[$ SALARY PT]])+SUMIF(Mar_Period_2_Tbl[[#All],[STAFF:]],$A5,Mar_Period_2_Tbl[[#All],[$ SALARY PT]])+SUMIF(Apr_Period_2_Tbl[[#All],[STAFF:]],$A5,Apr_Period_2_Tbl[[#All],[$ SALARY PT]])+   SUMIF(May_Period_2_Tbl[[#All],[STAFF:]],$A5,May_Period_2_Tbl[[#All],[$ SALARY PT]])+   SUMIF(Jun_Period_2_Tbl[[#All],[STAFF:]],$A5,Jun_Period_2_Tbl[[#All],[$ SALARY PT]])+  SUMIF(Jul_Period_2_Tbl[[#All],[STAFF:]],$A5,Jul_Period_2_Tbl[[#All],[$ SALARY PT]])+  SUMIF(Aug_Period_2_Tbl[[#All],[STAFF:]],$A5,Aug_Period_2_Tbl[[#All],[$ SALARY PT]])+  SUMIF(Sep_Period_2_Tbl[[#All],[STAFF:]],$A5,Sep_Period_2_Tbl[[#All],[$ SALARY PT]])+  SUMIF(Oct_Period_2_Tbl[[#All],[STAFF:]],$A5,Oct_Period_2_Tbl[[#All],[$ SALARY PT]])+     SUMIF(Nov_Period_2_Tbl[[#All],[STAFF:]],$A5,Nov_Period_2_Tbl[[#All],[$ SALARY PT]])+  SUMIF(Dec_Period_2_Tbl[[#All],[STAFF:]],$A5,Dec_Period_2_Tbl[[#All],[$ SALARY PT]]))</f>
        <v>0</v>
      </c>
      <c r="J5" s="213">
        <f>(SUMIF(Jan_Period_1_Tbl[[#All],[STAFF:]],$A5,Jan_Period_1_Tbl[[#All],[$ FREE PT]])+
SUMIF(Feb_Period_1_Tbl[[#All],[STAFF:]],$A5,Feb_Period_1_Tbl[[#All],[$ FREE PT]])+SUMIF(Mar_Period_1_Tbl[[#All],[STAFF:]],$A5,Mar_Period_1_Tbl[[#All],[$ FREE PT]])+SUMIF(Apr_Period_1_Tbl[[#All],[STAFF:]],$A5,Apr_Period_1_Tbl[[#All],[$ FREE PT]])+   SUMIF(May_Period_1_Tbl[[#All],[STAFF:]],$A5,May_Period_1_Tbl[[#All],[$ FREE PT]])+   SUMIF(Jun_Period_1_Tbl[[#All],[STAFF:]],$A5,Jun_Period_1_Tbl[[#All],[$ FREE PT]])+  SUMIF(Jul_Period_1_Tbl[[#All],[STAFF:]],$A5,Jul_Period_1_Tbl[[#All],[$ FREE PT]])+  SUMIF(Aug_Period_1_Tbl[[#All],[STAFF:]],$A5,Aug_Period_1_Tbl[[#All],[$ FREE PT]])+  SUMIF(Sep_Period_1_Tbl[[#All],[STAFF:]],$A5,Sep_Period_1_Tbl[[#All],[$ FREE PT]])+  SUMIF(Oct_Period_1_Tbl[[#All],[STAFF:]],$A5,Oct_Period_1_Tbl[[#All],[$ FREE PT]])+     SUMIF(Nov_Period_1_Tbl[[#All],[STAFF:]],$A5,Nov_Period_1_Tbl[[#All],[$ FREE PT]])+  SUMIF(Dec_Period_1_Tbl[[#All],[STAFF:]],$A5,Dec_Period_1_Tbl[[#All],[$ FREE PT]]))+   (SUMIF(Jan_Period_2_Tbl[[#All],[STAFF:]],$A5,Jan_Period_2_Tbl[[#All],[$ FREE PT]])+
SUMIF(Feb_Period_2_Tbl[[#All],[STAFF:]],$A5,Feb_Period_2_Tbl[[#All],[$ FREE PT]])+SUMIF(Mar_Period_2_Tbl[[#All],[STAFF:]],$A5,Mar_Period_2_Tbl[[#All],[$ FREE PT]])+SUMIF(Apr_Period_2_Tbl[[#All],[STAFF:]],$A5,Apr_Period_2_Tbl[[#All],[$ FREE PT]])+   SUMIF(May_Period_2_Tbl[[#All],[STAFF:]],$A5,May_Period_2_Tbl[[#All],[$ FREE PT]])+   SUMIF(Jun_Period_2_Tbl[[#All],[STAFF:]],$A5,Jun_Period_2_Tbl[[#All],[$ FREE PT]])+  SUMIF(Jul_Period_2_Tbl[[#All],[STAFF:]],$A5,Jul_Period_2_Tbl[[#All],[$ FREE PT]])+  SUMIF(Aug_Period_2_Tbl[[#All],[STAFF:]],$A5,Aug_Period_2_Tbl[[#All],[$ FREE PT]])+  SUMIF(Sep_Period_2_Tbl[[#All],[STAFF:]],$A5,Sep_Period_2_Tbl[[#All],[$ FREE PT]])+  SUMIF(Oct_Period_2_Tbl[[#All],[STAFF:]],$A5,Oct_Period_2_Tbl[[#All],[$ FREE PT]])+     SUMIF(Nov_Period_2_Tbl[[#All],[STAFF:]],$A5,Nov_Period_2_Tbl[[#All],[$ FREE PT]])+  SUMIF(Dec_Period_2_Tbl[[#All],[STAFF:]],$A5,Dec_Period_2_Tbl[[#All],[$ FREE PT]]))</f>
        <v>687.64</v>
      </c>
      <c r="K5" s="213">
        <f>(SUMIF(Jan_Period_1_Tbl[[#All],[STAFF:]],$A5,Jan_Period_1_Tbl[[#All],[$ PAID PT]])+
SUMIF(Feb_Period_1_Tbl[[#All],[STAFF:]],$A5,Feb_Period_1_Tbl[[#All],[$ PAID PT]])+SUMIF(Mar_Period_1_Tbl[[#All],[STAFF:]],$A5,Mar_Period_1_Tbl[[#All],[$ PAID PT]])+SUMIF(Apr_Period_1_Tbl[[#All],[STAFF:]],$A5,Apr_Period_1_Tbl[[#All],[$ PAID PT]])+   SUMIF(May_Period_1_Tbl[[#All],[STAFF:]],$A5,May_Period_1_Tbl[[#All],[$ PAID PT]])+   SUMIF(Jun_Period_1_Tbl[[#All],[STAFF:]],$A5,Jun_Period_1_Tbl[[#All],[$ PAID PT]])+  SUMIF(Jul_Period_1_Tbl[[#All],[STAFF:]],$A5,Jul_Period_1_Tbl[[#All],[$ PAID PT]])+  SUMIF(Aug_Period_1_Tbl[[#All],[STAFF:]],$A5,Aug_Period_1_Tbl[[#All],[$ PAID PT]])+  SUMIF(Sep_Period_1_Tbl[[#All],[STAFF:]],$A5,Sep_Period_1_Tbl[[#All],[$ PAID PT]])+  SUMIF(Oct_Period_1_Tbl[[#All],[STAFF:]],$A5,Oct_Period_1_Tbl[[#All],[$ PAID PT]])+     SUMIF(Nov_Period_1_Tbl[[#All],[STAFF:]],$A5,Nov_Period_1_Tbl[[#All],[$ PAID PT]])+  SUMIF(Dec_Period_1_Tbl[[#All],[STAFF:]],$A5,Dec_Period_1_Tbl[[#All],[$ PAID PT]]))+   (SUMIF(Jan_Period_2_Tbl[[#All],[STAFF:]],$A5,Jan_Period_2_Tbl[[#All],[$ PAID PT]])+
SUMIF(Feb_Period_2_Tbl[[#All],[STAFF:]],$A5,Feb_Period_2_Tbl[[#All],[$ PAID PT]])+SUMIF(Mar_Period_2_Tbl[[#All],[STAFF:]],$A5,Mar_Period_2_Tbl[[#All],[$ PAID PT]])+SUMIF(Apr_Period_2_Tbl[[#All],[STAFF:]],$A5,Apr_Period_2_Tbl[[#All],[$ PAID PT]])+   SUMIF(May_Period_2_Tbl[[#All],[STAFF:]],$A5,May_Period_2_Tbl[[#All],[$ PAID PT]])+   SUMIF(Jun_Period_2_Tbl[[#All],[STAFF:]],$A5,Jun_Period_2_Tbl[[#All],[$ PAID PT]])+  SUMIF(Jul_Period_2_Tbl[[#All],[STAFF:]],$A5,Jul_Period_2_Tbl[[#All],[$ PAID PT]])+  SUMIF(Aug_Period_2_Tbl[[#All],[STAFF:]],$A5,Aug_Period_2_Tbl[[#All],[$ PAID PT]])+  SUMIF(Sep_Period_2_Tbl[[#All],[STAFF:]],$A5,Sep_Period_2_Tbl[[#All],[$ PAID PT]])+  SUMIF(Oct_Period_2_Tbl[[#All],[STAFF:]],$A5,Oct_Period_2_Tbl[[#All],[$ PAID PT]])+     SUMIF(Nov_Period_2_Tbl[[#All],[STAFF:]],$A5,Nov_Period_2_Tbl[[#All],[$ PAID PT]])+  SUMIF(Dec_Period_2_Tbl[[#All],[STAFF:]],$A5,Dec_Period_2_Tbl[[#All],[$ PAID PT]]))</f>
        <v>2710.8999999999996</v>
      </c>
      <c r="L5" s="213">
        <f>(SUMIF(Jan_Period_1_Tbl[[#All],[STAFF:]],$A5,Jan_Period_1_Tbl[[#All],[$ PT COMM]])+
SUMIF(Feb_Period_1_Tbl[[#All],[STAFF:]],$A5,Feb_Period_1_Tbl[[#All],[$ PT COMM]])+SUMIF(Mar_Period_1_Tbl[[#All],[STAFF:]],$A5,Mar_Period_1_Tbl[[#All],[$ PT COMM]])+SUMIF(Apr_Period_1_Tbl[[#All],[STAFF:]],$A5,Apr_Period_1_Tbl[[#All],[$ PT COMM]])+   SUMIF(May_Period_1_Tbl[[#All],[STAFF:]],$A5,May_Period_1_Tbl[[#All],[$ PT COMM]])+   SUMIF(Jun_Period_1_Tbl[[#All],[STAFF:]],$A5,Jun_Period_1_Tbl[[#All],[$ PT COMM]])+  SUMIF(Jul_Period_1_Tbl[[#All],[STAFF:]],$A5,Jul_Period_1_Tbl[[#All],[$ PT COMM]])+  SUMIF(Aug_Period_1_Tbl[[#All],[STAFF:]],$A5,Aug_Period_1_Tbl[[#All],[$ PT COMM]])+  SUMIF(Sep_Period_1_Tbl[[#All],[STAFF:]],$A5,Sep_Period_1_Tbl[[#All],[$ PT COMM]])+  SUMIF(Oct_Period_1_Tbl[[#All],[STAFF:]],$A5,Oct_Period_1_Tbl[[#All],[$ PT COMM]])+     SUMIF(Nov_Period_1_Tbl[[#All],[STAFF:]],$A5,Nov_Period_1_Tbl[[#All],[$ PT COMM]])+  SUMIF(Dec_Period_1_Tbl[[#All],[STAFF:]],$A5,Dec_Period_1_Tbl[[#All],[$ PT COMM]]))+   (SUMIF(Jan_Period_2_Tbl[[#All],[STAFF:]],$A5,Jan_Period_2_Tbl[[#All],[$ PT COMM]])+
SUMIF(Feb_Period_2_Tbl[[#All],[STAFF:]],$A5,Feb_Period_2_Tbl[[#All],[$ PT COMM]])+SUMIF(Mar_Period_2_Tbl[[#All],[STAFF:]],$A5,Mar_Period_2_Tbl[[#All],[$ PT COMM]])+SUMIF(Apr_Period_2_Tbl[[#All],[STAFF:]],$A5,Apr_Period_2_Tbl[[#All],[$ PT COMM]])+   SUMIF(May_Period_2_Tbl[[#All],[STAFF:]],$A5,May_Period_2_Tbl[[#All],[$ PT COMM]])+   SUMIF(Jun_Period_2_Tbl[[#All],[STAFF:]],$A5,Jun_Period_2_Tbl[[#All],[$ PT COMM]])+  SUMIF(Jul_Period_2_Tbl[[#All],[STAFF:]],$A5,Jul_Period_2_Tbl[[#All],[$ PT COMM]])+  SUMIF(Aug_Period_2_Tbl[[#All],[STAFF:]],$A5,Aug_Period_2_Tbl[[#All],[$ PT COMM]])+  SUMIF(Sep_Period_2_Tbl[[#All],[STAFF:]],$A5,Sep_Period_2_Tbl[[#All],[$ PT COMM]])+  SUMIF(Oct_Period_2_Tbl[[#All],[STAFF:]],$A5,Oct_Period_2_Tbl[[#All],[$ PT COMM]])+     SUMIF(Nov_Period_2_Tbl[[#All],[STAFF:]],$A5,Nov_Period_2_Tbl[[#All],[$ PT COMM]])+  SUMIF(Dec_Period_2_Tbl[[#All],[STAFF:]],$A5,Dec_Period_2_Tbl[[#All],[$ PT COMM]]))</f>
        <v>719.83</v>
      </c>
      <c r="M5" s="213">
        <f>(SUMIF(Jan_Period_1_Tbl[[#All],[STAFF:]],$A5,Jan_Period_1_Tbl[[#All],[$ EFT COMM]])+
SUMIF(Feb_Period_1_Tbl[[#All],[STAFF:]],$A5,Feb_Period_1_Tbl[[#All],[$ EFT COMM]])+SUMIF(Mar_Period_1_Tbl[[#All],[STAFF:]],$A5,Mar_Period_1_Tbl[[#All],[$ EFT COMM]])+SUMIF(Apr_Period_1_Tbl[[#All],[STAFF:]],$A5,Apr_Period_1_Tbl[[#All],[$ EFT COMM]])+   SUMIF(May_Period_1_Tbl[[#All],[STAFF:]],$A5,May_Period_1_Tbl[[#All],[$ EFT COMM]])+   SUMIF(Jun_Period_1_Tbl[[#All],[STAFF:]],$A5,Jun_Period_1_Tbl[[#All],[$ EFT COMM]])+  SUMIF(Jul_Period_1_Tbl[[#All],[STAFF:]],$A5,Jul_Period_1_Tbl[[#All],[$ EFT COMM]])+  SUMIF(Aug_Period_1_Tbl[[#All],[STAFF:]],$A5,Aug_Period_1_Tbl[[#All],[$ EFT COMM]])+  SUMIF(Sep_Period_1_Tbl[[#All],[STAFF:]],$A5,Sep_Period_1_Tbl[[#All],[$ EFT COMM]])+  SUMIF(Oct_Period_1_Tbl[[#All],[STAFF:]],$A5,Oct_Period_1_Tbl[[#All],[$ EFT COMM]])+     SUMIF(Nov_Period_1_Tbl[[#All],[STAFF:]],$A5,Nov_Period_1_Tbl[[#All],[$ EFT COMM]])+  SUMIF(Dec_Period_1_Tbl[[#All],[STAFF:]],$A5,Dec_Period_1_Tbl[[#All],[$ EFT COMM]]))+   (SUMIF(Jan_Period_2_Tbl[[#All],[STAFF:]],$A5,Jan_Period_2_Tbl[[#All],[$ EFT COMM]])+
SUMIF(Feb_Period_2_Tbl[[#All],[STAFF:]],$A5,Feb_Period_2_Tbl[[#All],[$ EFT COMM]])+SUMIF(Mar_Period_2_Tbl[[#All],[STAFF:]],$A5,Mar_Period_2_Tbl[[#All],[$ EFT COMM]])+SUMIF(Apr_Period_2_Tbl[[#All],[STAFF:]],$A5,Apr_Period_2_Tbl[[#All],[$ EFT COMM]])+   SUMIF(May_Period_2_Tbl[[#All],[STAFF:]],$A5,May_Period_2_Tbl[[#All],[$ EFT COMM]])+   SUMIF(Jun_Period_2_Tbl[[#All],[STAFF:]],$A5,Jun_Period_2_Tbl[[#All],[$ EFT COMM]])+  SUMIF(Jul_Period_2_Tbl[[#All],[STAFF:]],$A5,Jul_Period_2_Tbl[[#All],[$ EFT COMM]])+  SUMIF(Aug_Period_2_Tbl[[#All],[STAFF:]],$A5,Aug_Period_2_Tbl[[#All],[$ EFT COMM]])+  SUMIF(Sep_Period_2_Tbl[[#All],[STAFF:]],$A5,Sep_Period_2_Tbl[[#All],[$ EFT COMM]])+  SUMIF(Oct_Period_2_Tbl[[#All],[STAFF:]],$A5,Oct_Period_2_Tbl[[#All],[$ EFT COMM]])+     SUMIF(Nov_Period_2_Tbl[[#All],[STAFF:]],$A5,Nov_Period_2_Tbl[[#All],[$ EFT COMM]])+  SUMIF(Dec_Period_2_Tbl[[#All],[STAFF:]],$A5,Dec_Period_2_Tbl[[#All],[$ EFT COMM]]))</f>
        <v>98.16</v>
      </c>
      <c r="N5" s="213">
        <f>(SUMIF(Jan_Period_1_Tbl[[#All],[STAFF:]],$A5,Jan_Period_1_Tbl[[#All],[$ CLASS PAY]])+
SUMIF(Feb_Period_1_Tbl[[#All],[STAFF:]],$A5,Feb_Period_1_Tbl[[#All],[$ CLASS PAY]])+SUMIF(Mar_Period_1_Tbl[[#All],[STAFF:]],$A5,Mar_Period_1_Tbl[[#All],[$ CLASS PAY]])+SUMIF(Apr_Period_1_Tbl[[#All],[STAFF:]],$A5,Apr_Period_1_Tbl[[#All],[$ CLASS PAY]])+   SUMIF(May_Period_1_Tbl[[#All],[STAFF:]],$A5,May_Period_1_Tbl[[#All],[$ CLASS PAY]])+   SUMIF(Jun_Period_1_Tbl[[#All],[STAFF:]],$A5,Jun_Period_1_Tbl[[#All],[$ CLASS PAY]])+  SUMIF(Jul_Period_1_Tbl[[#All],[STAFF:]],$A5,Jul_Period_1_Tbl[[#All],[$ CLASS PAY]])+  SUMIF(Aug_Period_1_Tbl[[#All],[STAFF:]],$A5,Aug_Period_1_Tbl[[#All],[$ CLASS PAY]])+  SUMIF(Sep_Period_1_Tbl[[#All],[STAFF:]],$A5,Sep_Period_1_Tbl[[#All],[$ CLASS PAY]])+  SUMIF(Oct_Period_1_Tbl[[#All],[STAFF:]],$A5,Oct_Period_1_Tbl[[#All],[$ CLASS PAY]])+     SUMIF(Nov_Period_1_Tbl[[#All],[STAFF:]],$A5,Nov_Period_1_Tbl[[#All],[$ CLASS PAY]])+  SUMIF(Dec_Period_1_Tbl[[#All],[STAFF:]],$A5,Dec_Period_1_Tbl[[#All],[$ CLASS PAY]]))+   (SUMIF(Jan_Period_2_Tbl[[#All],[STAFF:]],$A5,Jan_Period_2_Tbl[[#All],[$ CLASS PAY]])+
SUMIF(Feb_Period_2_Tbl[[#All],[STAFF:]],$A5,Feb_Period_2_Tbl[[#All],[$ CLASS PAY]])+SUMIF(Mar_Period_2_Tbl[[#All],[STAFF:]],$A5,Mar_Period_2_Tbl[[#All],[$ CLASS PAY]])+SUMIF(Apr_Period_2_Tbl[[#All],[STAFF:]],$A5,Apr_Period_2_Tbl[[#All],[$ CLASS PAY]])+   SUMIF(May_Period_2_Tbl[[#All],[STAFF:]],$A5,May_Period_2_Tbl[[#All],[$ CLASS PAY]])+   SUMIF(Jun_Period_2_Tbl[[#All],[STAFF:]],$A5,Jun_Period_2_Tbl[[#All],[$ CLASS PAY]])+  SUMIF(Jul_Period_2_Tbl[[#All],[STAFF:]],$A5,Jul_Period_2_Tbl[[#All],[$ CLASS PAY]])+  SUMIF(Aug_Period_2_Tbl[[#All],[STAFF:]],$A5,Aug_Period_2_Tbl[[#All],[$ CLASS PAY]])+  SUMIF(Sep_Period_2_Tbl[[#All],[STAFF:]],$A5,Sep_Period_2_Tbl[[#All],[$ CLASS PAY]])+  SUMIF(Oct_Period_2_Tbl[[#All],[STAFF:]],$A5,Oct_Period_2_Tbl[[#All],[$ CLASS PAY]])+     SUMIF(Nov_Period_2_Tbl[[#All],[STAFF:]],$A5,Nov_Period_2_Tbl[[#All],[$ CLASS PAY]])+  SUMIF(Dec_Period_2_Tbl[[#All],[STAFF:]],$A5,Dec_Period_2_Tbl[[#All],[$ CLASS PAY]]))</f>
        <v>675</v>
      </c>
      <c r="O5" s="214">
        <f>(SUMIF(Jan_Period_1_Tbl[[#All],[STAFF:]],$A5,Jan_Period_1_Tbl[[#All],[$ BONUS PAY]])+
SUMIF(Feb_Period_1_Tbl[[#All],[STAFF:]],$A5,Feb_Period_1_Tbl[[#All],[$ BONUS PAY]])+SUMIF(Mar_Period_1_Tbl[[#All],[STAFF:]],$A5,Mar_Period_1_Tbl[[#All],[$ BONUS PAY]])+SUMIF(Apr_Period_1_Tbl[[#All],[STAFF:]],$A5,Apr_Period_1_Tbl[[#All],[$ BONUS PAY]])+   SUMIF(May_Period_1_Tbl[[#All],[STAFF:]],$A5,May_Period_1_Tbl[[#All],[$ BONUS PAY]])+   SUMIF(Jun_Period_1_Tbl[[#All],[STAFF:]],$A5,Jun_Period_1_Tbl[[#All],[$ BONUS PAY]])+  SUMIF(Jul_Period_1_Tbl[[#All],[STAFF:]],$A5,Jul_Period_1_Tbl[[#All],[$ BONUS PAY]])+  SUMIF(Aug_Period_1_Tbl[[#All],[STAFF:]],$A5,Aug_Period_1_Tbl[[#All],[$ BONUS PAY]])+  SUMIF(Sep_Period_1_Tbl[[#All],[STAFF:]],$A5,Sep_Period_1_Tbl[[#All],[$ BONUS PAY]])+  SUMIF(Oct_Period_1_Tbl[[#All],[STAFF:]],$A5,Oct_Period_1_Tbl[[#All],[$ BONUS PAY]])+     SUMIF(Nov_Period_1_Tbl[[#All],[STAFF:]],$A5,Nov_Period_1_Tbl[[#All],[$ BONUS PAY]])+  SUMIF(Dec_Period_1_Tbl[[#All],[STAFF:]],$A5,Dec_Period_1_Tbl[[#All],[$ BONUS PAY]]))+   (SUMIF(Jan_Period_2_Tbl[[#All],[STAFF:]],$A5,Jan_Period_2_Tbl[[#All],[$ BONUS PAY]])+
SUMIF(Feb_Period_2_Tbl[[#All],[STAFF:]],$A5,Feb_Period_2_Tbl[[#All],[$ BONUS PAY]])+SUMIF(Mar_Period_2_Tbl[[#All],[STAFF:]],$A5,Mar_Period_2_Tbl[[#All],[$ BONUS PAY]])+SUMIF(Apr_Period_2_Tbl[[#All],[STAFF:]],$A5,Apr_Period_2_Tbl[[#All],[$ BONUS PAY]])+   SUMIF(May_Period_2_Tbl[[#All],[STAFF:]],$A5,May_Period_2_Tbl[[#All],[$ BONUS PAY]])+   SUMIF(Jun_Period_2_Tbl[[#All],[STAFF:]],$A5,Jun_Period_2_Tbl[[#All],[$ BONUS PAY]])+  SUMIF(Jul_Period_2_Tbl[[#All],[STAFF:]],$A5,Jul_Period_2_Tbl[[#All],[$ BONUS PAY]])+  SUMIF(Aug_Period_2_Tbl[[#All],[STAFF:]],$A5,Aug_Period_2_Tbl[[#All],[$ BONUS PAY]])+  SUMIF(Sep_Period_2_Tbl[[#All],[STAFF:]],$A5,Sep_Period_2_Tbl[[#All],[$ BONUS PAY]])+  SUMIF(Oct_Period_2_Tbl[[#All],[STAFF:]],$A5,Oct_Period_2_Tbl[[#All],[$ BONUS PAY]])+     SUMIF(Nov_Period_2_Tbl[[#All],[STAFF:]],$A5,Nov_Period_2_Tbl[[#All],[$ BONUS PAY]])+  SUMIF(Dec_Period_2_Tbl[[#All],[STAFF:]],$A5,Dec_Period_2_Tbl[[#All],[$ BONUS PAY]]))</f>
        <v>0</v>
      </c>
      <c r="P5" s="215">
        <f t="shared" si="0"/>
        <v>5211.53</v>
      </c>
      <c r="Q5" s="149"/>
      <c r="R5" s="173">
        <f>(SUMIF(Jan_Period_1_Tbl[[#All],[STAFF:]],$A5,Jan_Period_1_Tbl[[#All],['# POINTS EARNED]])+
SUMIF(Feb_Period_1_Tbl[[#All],[STAFF:]],$A5,Feb_Period_1_Tbl[[#All],['# POINTS EARNED]])+SUMIF(Mar_Period_1_Tbl[[#All],[STAFF:]],$A5,Mar_Period_1_Tbl[[#All],['# POINTS EARNED]])+SUMIF(Apr_Period_1_Tbl[[#All],[STAFF:]],$A5,Apr_Period_1_Tbl[[#All],['# POINTS EARNED]])+   SUMIF(May_Period_1_Tbl[[#All],[STAFF:]],$A5,May_Period_1_Tbl[[#All],['# POINTS EARNED]])+   SUMIF(Jun_Period_1_Tbl[[#All],[STAFF:]],$A5,Jun_Period_1_Tbl[[#All],['# POINTS EARNED]])+  SUMIF(Jul_Period_1_Tbl[[#All],[STAFF:]],$A5,Jul_Period_1_Tbl[[#All],['# POINTS EARNED]])+  SUMIF(Aug_Period_1_Tbl[[#All],[STAFF:]],$A5,Aug_Period_1_Tbl[[#All],['# POINTS EARNED]])+  SUMIF(Sep_Period_1_Tbl[[#All],[STAFF:]],$A5,Sep_Period_1_Tbl[[#All],['# POINTS EARNED]])+  SUMIF(Oct_Period_1_Tbl[[#All],[STAFF:]],$A5,Oct_Period_1_Tbl[[#All],['# POINTS EARNED]])+     SUMIF(Nov_Period_1_Tbl[[#All],[STAFF:]],$A5,Nov_Period_1_Tbl[[#All],['# POINTS EARNED]])+  SUMIF(Dec_Period_1_Tbl[[#All],[STAFF:]],$A5,Dec_Period_1_Tbl[[#All],['# POINTS EARNED]]))+   (SUMIF(Jan_Period_2_Tbl[[#All],[STAFF:]],$A5,Jan_Period_2_Tbl[[#All],['# POINTS EARNED]])+
SUMIF(Feb_Period_2_Tbl[[#All],[STAFF:]],$A5,Feb_Period_2_Tbl[[#All],['# POINTS EARNED]])+SUMIF(Mar_Period_2_Tbl[[#All],[STAFF:]],$A5,Mar_Period_2_Tbl[[#All],['# POINTS EARNED]])+SUMIF(Apr_Period_2_Tbl[[#All],[STAFF:]],$A5,Apr_Period_2_Tbl[[#All],['# POINTS EARNED]])+   SUMIF(May_Period_2_Tbl[[#All],[STAFF:]],$A5,May_Period_2_Tbl[[#All],['# POINTS EARNED]])+   SUMIF(Jun_Period_2_Tbl[[#All],[STAFF:]],$A5,Jun_Period_2_Tbl[[#All],['# POINTS EARNED]])+  SUMIF(Jul_Period_2_Tbl[[#All],[STAFF:]],$A5,Jul_Period_2_Tbl[[#All],['# POINTS EARNED]])+  SUMIF(Aug_Period_2_Tbl[[#All],[STAFF:]],$A5,Aug_Period_2_Tbl[[#All],['# POINTS EARNED]])+  SUMIF(Sep_Period_2_Tbl[[#All],[STAFF:]],$A5,Sep_Period_2_Tbl[[#All],['# POINTS EARNED]])+  SUMIF(Oct_Period_2_Tbl[[#All],[STAFF:]],$A5,Oct_Period_2_Tbl[[#All],['# POINTS EARNED]])+     SUMIF(Nov_Period_2_Tbl[[#All],[STAFF:]],$A5,Nov_Period_2_Tbl[[#All],['# POINTS EARNED]])+  SUMIF(Dec_Period_2_Tbl[[#All],[STAFF:]],$A5,Dec_Period_2_Tbl[[#All],['# POINTS EARNED]]))</f>
        <v>0</v>
      </c>
      <c r="S5" s="173">
        <f>(SUMIF(Jan_Period_1_Tbl[[#All],[STAFF:]],$A5,Jan_Period_1_Tbl[[#All],['# POINTS USED]])+
SUMIF(Feb_Period_1_Tbl[[#All],[STAFF:]],$A5,Feb_Period_1_Tbl[[#All],['# POINTS USED]])+SUMIF(Mar_Period_1_Tbl[[#All],[STAFF:]],$A5,Mar_Period_1_Tbl[[#All],['# POINTS USED]])+SUMIF(Apr_Period_1_Tbl[[#All],[STAFF:]],$A5,Apr_Period_1_Tbl[[#All],['# POINTS USED]])+   SUMIF(May_Period_1_Tbl[[#All],[STAFF:]],$A5,May_Period_1_Tbl[[#All],['# POINTS USED]])+   SUMIF(Jun_Period_1_Tbl[[#All],[STAFF:]],$A5,Jun_Period_1_Tbl[[#All],['# POINTS USED]])+  SUMIF(Jul_Period_1_Tbl[[#All],[STAFF:]],$A5,Jul_Period_1_Tbl[[#All],['# POINTS USED]])+  SUMIF(Aug_Period_1_Tbl[[#All],[STAFF:]],$A5,Aug_Period_1_Tbl[[#All],['# POINTS USED]])+  SUMIF(Sep_Period_1_Tbl[[#All],[STAFF:]],$A5,Sep_Period_1_Tbl[[#All],['# POINTS USED]])+  SUMIF(Oct_Period_1_Tbl[[#All],[STAFF:]],$A5,Oct_Period_1_Tbl[[#All],['# POINTS USED]])+     SUMIF(Nov_Period_1_Tbl[[#All],[STAFF:]],$A5,Nov_Period_1_Tbl[[#All],['# POINTS USED]])+  SUMIF(Dec_Period_1_Tbl[[#All],[STAFF:]],$A5,Dec_Period_1_Tbl[[#All],['# POINTS USED]]))+   (SUMIF(Jan_Period_2_Tbl[[#All],[STAFF:]],$A5,Jan_Period_2_Tbl[[#All],['# POINTS USED]])+
SUMIF(Feb_Period_2_Tbl[[#All],[STAFF:]],$A5,Feb_Period_2_Tbl[[#All],['# POINTS USED]])+SUMIF(Mar_Period_2_Tbl[[#All],[STAFF:]],$A5,Mar_Period_2_Tbl[[#All],['# POINTS USED]])+SUMIF(Apr_Period_2_Tbl[[#All],[STAFF:]],$A5,Apr_Period_2_Tbl[[#All],['# POINTS USED]])+   SUMIF(May_Period_2_Tbl[[#All],[STAFF:]],$A5,May_Period_2_Tbl[[#All],['# POINTS USED]])+   SUMIF(Jun_Period_2_Tbl[[#All],[STAFF:]],$A5,Jun_Period_2_Tbl[[#All],['# POINTS USED]])+  SUMIF(Jul_Period_2_Tbl[[#All],[STAFF:]],$A5,Jul_Period_2_Tbl[[#All],['# POINTS USED]])+  SUMIF(Aug_Period_2_Tbl[[#All],[STAFF:]],$A5,Aug_Period_2_Tbl[[#All],['# POINTS USED]])+  SUMIF(Sep_Period_2_Tbl[[#All],[STAFF:]],$A5,Sep_Period_2_Tbl[[#All],['# POINTS USED]])+  SUMIF(Oct_Period_2_Tbl[[#All],[STAFF:]],$A5,Oct_Period_2_Tbl[[#All],['# POINTS USED]])+     SUMIF(Nov_Period_2_Tbl[[#All],[STAFF:]],$A5,Nov_Period_2_Tbl[[#All],['# POINTS USED]])+  SUMIF(Dec_Period_2_Tbl[[#All],[STAFF:]],$A5,Dec_Period_2_Tbl[[#All],['# POINTS USED]]))</f>
        <v>0</v>
      </c>
      <c r="T5" s="173">
        <f>(SUMIF(Jan_Period_1_Tbl[[#All],[STAFF:]],$A5,Jan_Period_1_Tbl[[#All],['# CLASSES LEAD]])+
SUMIF(Feb_Period_1_Tbl[[#All],[STAFF:]],$A5,Feb_Period_1_Tbl[[#All],['# CLASSES LEAD]])+SUMIF(Mar_Period_1_Tbl[[#All],[STAFF:]],$A5,Mar_Period_1_Tbl[[#All],['# CLASSES LEAD]])+SUMIF(Apr_Period_1_Tbl[[#All],[STAFF:]],$A5,Apr_Period_1_Tbl[[#All],['# CLASSES LEAD]])+   SUMIF(May_Period_1_Tbl[[#All],[STAFF:]],$A5,May_Period_1_Tbl[[#All],['# CLASSES LEAD]])+   SUMIF(Jun_Period_1_Tbl[[#All],[STAFF:]],$A5,Jun_Period_1_Tbl[[#All],['# CLASSES LEAD]])+  SUMIF(Jul_Period_1_Tbl[[#All],[STAFF:]],$A5,Jul_Period_1_Tbl[[#All],['# CLASSES LEAD]])+  SUMIF(Aug_Period_1_Tbl[[#All],[STAFF:]],$A5,Aug_Period_1_Tbl[[#All],['# CLASSES LEAD]])+  SUMIF(Sep_Period_1_Tbl[[#All],[STAFF:]],$A5,Sep_Period_1_Tbl[[#All],['# CLASSES LEAD]])+  SUMIF(Oct_Period_1_Tbl[[#All],[STAFF:]],$A5,Oct_Period_1_Tbl[[#All],['# CLASSES LEAD]])+     SUMIF(Nov_Period_1_Tbl[[#All],[STAFF:]],$A5,Nov_Period_1_Tbl[[#All],['# CLASSES LEAD]])+  SUMIF(Dec_Period_1_Tbl[[#All],[STAFF:]],$A5,Dec_Period_1_Tbl[[#All],['# CLASSES LEAD]]))+   (SUMIF(Jan_Period_2_Tbl[[#All],[STAFF:]],$A5,Jan_Period_2_Tbl[[#All],['# CLASSES LEAD]])+
SUMIF(Feb_Period_2_Tbl[[#All],[STAFF:]],$A5,Feb_Period_2_Tbl[[#All],['# CLASSES LEAD]])+SUMIF(Mar_Period_2_Tbl[[#All],[STAFF:]],$A5,Mar_Period_2_Tbl[[#All],['# CLASSES LEAD]])+SUMIF(Apr_Period_2_Tbl[[#All],[STAFF:]],$A5,Apr_Period_2_Tbl[[#All],['# CLASSES LEAD]])+   SUMIF(May_Period_2_Tbl[[#All],[STAFF:]],$A5,May_Period_2_Tbl[[#All],['# CLASSES LEAD]])+   SUMIF(Jun_Period_2_Tbl[[#All],[STAFF:]],$A5,Jun_Period_2_Tbl[[#All],['# CLASSES LEAD]])+  SUMIF(Jul_Period_2_Tbl[[#All],[STAFF:]],$A5,Jul_Period_2_Tbl[[#All],['# CLASSES LEAD]])+  SUMIF(Aug_Period_2_Tbl[[#All],[STAFF:]],$A5,Aug_Period_2_Tbl[[#All],['# CLASSES LEAD]])+  SUMIF(Sep_Period_2_Tbl[[#All],[STAFF:]],$A5,Sep_Period_2_Tbl[[#All],['# CLASSES LEAD]])+  SUMIF(Oct_Period_2_Tbl[[#All],[STAFF:]],$A5,Oct_Period_2_Tbl[[#All],['# CLASSES LEAD]])+     SUMIF(Nov_Period_2_Tbl[[#All],[STAFF:]],$A5,Nov_Period_2_Tbl[[#All],['# CLASSES LEAD]])+  SUMIF(Dec_Period_2_Tbl[[#All],[STAFF:]],$A5,Dec_Period_2_Tbl[[#All],['# CLASSES LEAD]]))</f>
        <v>0</v>
      </c>
      <c r="U5" s="173">
        <f>(SUMIF(Jan_Period_1_Tbl[[#All],[STAFF:]],$A5,Jan_Period_1_Tbl[[#All],['# CLASSES SHOW]])+
SUMIF(Feb_Period_1_Tbl[[#All],[STAFF:]],$A5,Feb_Period_1_Tbl[[#All],['# CLASSES SHOW]])+SUMIF(Mar_Period_1_Tbl[[#All],[STAFF:]],$A5,Mar_Period_1_Tbl[[#All],['# CLASSES SHOW]])+SUMIF(Apr_Period_1_Tbl[[#All],[STAFF:]],$A5,Apr_Period_1_Tbl[[#All],['# CLASSES SHOW]])+   SUMIF(May_Period_1_Tbl[[#All],[STAFF:]],$A5,May_Period_1_Tbl[[#All],['# CLASSES SHOW]])+   SUMIF(Jun_Period_1_Tbl[[#All],[STAFF:]],$A5,Jun_Period_1_Tbl[[#All],['# CLASSES SHOW]])+  SUMIF(Jul_Period_1_Tbl[[#All],[STAFF:]],$A5,Jul_Period_1_Tbl[[#All],['# CLASSES SHOW]])+  SUMIF(Aug_Period_1_Tbl[[#All],[STAFF:]],$A5,Aug_Period_1_Tbl[[#All],['# CLASSES SHOW]])+  SUMIF(Sep_Period_1_Tbl[[#All],[STAFF:]],$A5,Sep_Period_1_Tbl[[#All],['# CLASSES SHOW]])+  SUMIF(Oct_Period_1_Tbl[[#All],[STAFF:]],$A5,Oct_Period_1_Tbl[[#All],['# CLASSES SHOW]])+     SUMIF(Nov_Period_1_Tbl[[#All],[STAFF:]],$A5,Nov_Period_1_Tbl[[#All],['# CLASSES SHOW]])+  SUMIF(Dec_Period_1_Tbl[[#All],[STAFF:]],$A5,Dec_Period_1_Tbl[[#All],['# CLASSES SHOW]]))+   (SUMIF(Jan_Period_2_Tbl[[#All],[STAFF:]],$A5,Jan_Period_2_Tbl[[#All],['# CLASSES SHOW]])+
SUMIF(Feb_Period_2_Tbl[[#All],[STAFF:]],$A5,Feb_Period_2_Tbl[[#All],['# CLASSES SHOW]])+SUMIF(Mar_Period_2_Tbl[[#All],[STAFF:]],$A5,Mar_Period_2_Tbl[[#All],['# CLASSES SHOW]])+SUMIF(Apr_Period_2_Tbl[[#All],[STAFF:]],$A5,Apr_Period_2_Tbl[[#All],['# CLASSES SHOW]])+   SUMIF(May_Period_2_Tbl[[#All],[STAFF:]],$A5,May_Period_2_Tbl[[#All],['# CLASSES SHOW]])+   SUMIF(Jun_Period_2_Tbl[[#All],[STAFF:]],$A5,Jun_Period_2_Tbl[[#All],['# CLASSES SHOW]])+  SUMIF(Jul_Period_2_Tbl[[#All],[STAFF:]],$A5,Jul_Period_2_Tbl[[#All],['# CLASSES SHOW]])+  SUMIF(Aug_Period_2_Tbl[[#All],[STAFF:]],$A5,Aug_Period_2_Tbl[[#All],['# CLASSES SHOW]])+  SUMIF(Sep_Period_2_Tbl[[#All],[STAFF:]],$A5,Sep_Period_2_Tbl[[#All],['# CLASSES SHOW]])+  SUMIF(Oct_Period_2_Tbl[[#All],[STAFF:]],$A5,Oct_Period_2_Tbl[[#All],['# CLASSES SHOW]])+     SUMIF(Nov_Period_2_Tbl[[#All],[STAFF:]],$A5,Nov_Period_2_Tbl[[#All],['# CLASSES SHOW]])+  SUMIF(Dec_Period_2_Tbl[[#All],[STAFF:]],$A5,Dec_Period_2_Tbl[[#All],['# CLASSES SHOW]]))</f>
        <v>0</v>
      </c>
      <c r="V5" s="156"/>
      <c r="W5" s="156"/>
      <c r="X5" s="217">
        <f t="shared" si="1"/>
        <v>320</v>
      </c>
      <c r="Y5" s="217">
        <f t="shared" si="2"/>
        <v>3398.5399999999995</v>
      </c>
      <c r="Z5" s="217">
        <f t="shared" si="3"/>
        <v>675</v>
      </c>
      <c r="AA5" s="217">
        <f t="shared" si="4"/>
        <v>98.16</v>
      </c>
      <c r="AB5" s="217">
        <f t="shared" si="5"/>
        <v>719.83</v>
      </c>
      <c r="AC5" s="217">
        <f t="shared" si="6"/>
        <v>0</v>
      </c>
      <c r="AD5" s="217">
        <f t="shared" si="7"/>
        <v>5211.53</v>
      </c>
      <c r="AE5" s="149"/>
      <c r="AF5" s="149"/>
      <c r="AG5" s="149"/>
      <c r="AH5" s="149"/>
      <c r="AJ5" s="75" t="str">
        <f t="shared" si="8"/>
        <v>Active</v>
      </c>
      <c r="AK5" s="210"/>
      <c r="AL5" s="168">
        <f>IFERROR(VLOOKUP(B5,List!$A:$B,2,FALSE),-1)</f>
        <v>0</v>
      </c>
      <c r="AM5" s="168">
        <f>IFERROR(VLOOKUP(C5,List!$A:$B,2,FALSE),-1)</f>
        <v>-1</v>
      </c>
      <c r="AN5" s="203" t="s">
        <v>153</v>
      </c>
    </row>
    <row r="6" spans="1:40" x14ac:dyDescent="0.25">
      <c r="A6" s="20" t="s">
        <v>1</v>
      </c>
      <c r="B6" s="186">
        <v>42736</v>
      </c>
      <c r="C6" s="186"/>
      <c r="D6" s="187">
        <v>40</v>
      </c>
      <c r="E6" s="188">
        <f>(SUMIF(Jan_Period_1_Tbl[[#All],[STAFF:]],$A6,Jan_Period_1_Tbl[[#All],['# PTO USED]])+
SUMIF(Feb_Period_1_Tbl[[#All],[STAFF:]],$A6,Feb_Period_1_Tbl[[#All],['# PTO USED]])+SUMIF(Mar_Period_1_Tbl[[#All],[STAFF:]],$A6,Mar_Period_1_Tbl[[#All],['# PTO USED]])+SUMIF(Apr_Period_1_Tbl[[#All],[STAFF:]],$A6,Apr_Period_1_Tbl[[#All],['# PTO USED]])+   SUMIF(May_Period_1_Tbl[[#All],[STAFF:]],$A6,May_Period_1_Tbl[[#All],['# PTO USED]])+   SUMIF(Jun_Period_1_Tbl[[#All],[STAFF:]],$A6,Jun_Period_1_Tbl[[#All],['# PTO USED]])+  SUMIF(Jul_Period_1_Tbl[[#All],[STAFF:]],$A6,Jul_Period_1_Tbl[[#All],['# PTO USED]])+  SUMIF(Aug_Period_1_Tbl[[#All],[STAFF:]],$A6,Aug_Period_1_Tbl[[#All],['# PTO USED]])+  SUMIF(Sep_Period_1_Tbl[[#All],[STAFF:]],$A6,Sep_Period_1_Tbl[[#All],['# PTO USED]])+  SUMIF(Oct_Period_1_Tbl[[#All],[STAFF:]],$A6,Oct_Period_1_Tbl[[#All],['# PTO USED]])+     SUMIF(Nov_Period_1_Tbl[[#All],[STAFF:]],$A6,Nov_Period_1_Tbl[[#All],['# PTO USED]])+  SUMIF(Dec_Period_1_Tbl[[#All],[STAFF:]],$A6,Dec_Period_1_Tbl[[#All],['# PTO USED]]))+   (SUMIF(Jan_Period_2_Tbl[[#All],[STAFF:]],$A6,Jan_Period_2_Tbl[[#All],['# PTO USED]])+
SUMIF(Feb_Period_2_Tbl[[#All],[STAFF:]],$A6,Feb_Period_2_Tbl[[#All],['# PTO USED]])+SUMIF(Mar_Period_2_Tbl[[#All],[STAFF:]],$A6,Mar_Period_2_Tbl[[#All],['# PTO USED]])+SUMIF(Apr_Period_2_Tbl[[#All],[STAFF:]],$A6,Apr_Period_2_Tbl[[#All],['# PTO USED]])+   SUMIF(May_Period_2_Tbl[[#All],[STAFF:]],$A6,May_Period_2_Tbl[[#All],['# PTO USED]])+   SUMIF(Jun_Period_2_Tbl[[#All],[STAFF:]],$A6,Jun_Period_2_Tbl[[#All],['# PTO USED]])+  SUMIF(Jul_Period_2_Tbl[[#All],[STAFF:]],$A6,Jul_Period_2_Tbl[[#All],['# PTO USED]])+  SUMIF(Aug_Period_2_Tbl[[#All],[STAFF:]],$A6,Aug_Period_2_Tbl[[#All],['# PTO USED]])+  SUMIF(Sep_Period_2_Tbl[[#All],[STAFF:]],$A6,Sep_Period_2_Tbl[[#All],['# PTO USED]])+  SUMIF(Oct_Period_2_Tbl[[#All],[STAFF:]],$A6,Oct_Period_2_Tbl[[#All],['# PTO USED]])+     SUMIF(Nov_Period_2_Tbl[[#All],[STAFF:]],$A6,Nov_Period_2_Tbl[[#All],['# PTO USED]])+  SUMIF(Dec_Period_2_Tbl[[#All],[STAFF:]],$A6,Dec_Period_2_Tbl[[#All],['# PTO USED]]))</f>
        <v>0</v>
      </c>
      <c r="F6" s="189">
        <f>(SUMIF(Jan_Period_1_Tbl[[#All],[STAFF:]],$A6,Jan_Period_1_Tbl[[#All],['# HRS WORKED]])+
SUMIF(Feb_Period_1_Tbl[[#All],[STAFF:]],$A6,Feb_Period_1_Tbl[[#All],['# HRS WORKED]])+SUMIF(Mar_Period_1_Tbl[[#All],[STAFF:]],$A6,Mar_Period_1_Tbl[[#All],['# HRS WORKED]])+SUMIF(Apr_Period_1_Tbl[[#All],[STAFF:]],$A6,Apr_Period_1_Tbl[[#All],['# HRS WORKED]])+   SUMIF(May_Period_1_Tbl[[#All],[STAFF:]],$A6,May_Period_1_Tbl[[#All],['# HRS WORKED]])+   SUMIF(Jun_Period_1_Tbl[[#All],[STAFF:]],$A6,Jun_Period_1_Tbl[[#All],['# HRS WORKED]])+  SUMIF(Jul_Period_1_Tbl[[#All],[STAFF:]],$A6,Jul_Period_1_Tbl[[#All],['# HRS WORKED]])+  SUMIF(Aug_Period_1_Tbl[[#All],[STAFF:]],$A6,Aug_Period_1_Tbl[[#All],['# HRS WORKED]])+  SUMIF(Sep_Period_1_Tbl[[#All],[STAFF:]],$A6,Sep_Period_1_Tbl[[#All],['# HRS WORKED]])+  SUMIF(Oct_Period_1_Tbl[[#All],[STAFF:]],$A6,Oct_Period_1_Tbl[[#All],['# HRS WORKED]])+     SUMIF(Nov_Period_1_Tbl[[#All],[STAFF:]],$A6,Nov_Period_1_Tbl[[#All],['# HRS WORKED]])+  SUMIF(Dec_Period_1_Tbl[[#All],[STAFF:]],$A6,Dec_Period_1_Tbl[[#All],['# HRS WORKED]]))+   (SUMIF(Jan_Period_2_Tbl[[#All],[STAFF:]],$A6,Jan_Period_2_Tbl[[#All],['# HRS WORKED]])+
SUMIF(Feb_Period_2_Tbl[[#All],[STAFF:]],$A6,Feb_Period_2_Tbl[[#All],['# HRS WORKED]])+SUMIF(Mar_Period_2_Tbl[[#All],[STAFF:]],$A6,Mar_Period_2_Tbl[[#All],['# HRS WORKED]])+SUMIF(Apr_Period_2_Tbl[[#All],[STAFF:]],$A6,Apr_Period_2_Tbl[[#All],['# HRS WORKED]])+   SUMIF(May_Period_2_Tbl[[#All],[STAFF:]],$A6,May_Period_2_Tbl[[#All],['# HRS WORKED]])+   SUMIF(Jun_Period_2_Tbl[[#All],[STAFF:]],$A6,Jun_Period_2_Tbl[[#All],['# HRS WORKED]])+  SUMIF(Jul_Period_2_Tbl[[#All],[STAFF:]],$A6,Jul_Period_2_Tbl[[#All],['# HRS WORKED]])+  SUMIF(Aug_Period_2_Tbl[[#All],[STAFF:]],$A6,Aug_Period_2_Tbl[[#All],['# HRS WORKED]])+  SUMIF(Sep_Period_2_Tbl[[#All],[STAFF:]],$A6,Sep_Period_2_Tbl[[#All],['# HRS WORKED]])+  SUMIF(Oct_Period_2_Tbl[[#All],[STAFF:]],$A6,Oct_Period_2_Tbl[[#All],['# HRS WORKED]])+     SUMIF(Nov_Period_2_Tbl[[#All],[STAFF:]],$A6,Nov_Period_2_Tbl[[#All],['# HRS WORKED]])+  SUMIF(Dec_Period_2_Tbl[[#All],[STAFF:]],$A6,Dec_Period_2_Tbl[[#All],['# HRS WORKED]]))</f>
        <v>0</v>
      </c>
      <c r="G6" s="213">
        <f>(SUMIF(Jan_Period_1_Tbl[[#All],[STAFF:]],$A6,Jan_Period_1_Tbl[[#All],[$ Hourly WAGES]])+
SUMIF(Feb_Period_1_Tbl[[#All],[STAFF:]],$A6,Feb_Period_1_Tbl[[#All],[$ Hourly WAGES]])+SUMIF(Mar_Period_1_Tbl[[#All],[STAFF:]],$A6,Mar_Period_1_Tbl[[#All],[$ Hourly WAGES]])+SUMIF(Apr_Period_1_Tbl[[#All],[STAFF:]],$A6,Apr_Period_1_Tbl[[#All],[$ Hourly WAGES]])+   SUMIF(May_Period_1_Tbl[[#All],[STAFF:]],$A6,May_Period_1_Tbl[[#All],[$ Hourly WAGES]])+   SUMIF(Jun_Period_1_Tbl[[#All],[STAFF:]],$A6,Jun_Period_1_Tbl[[#All],[$ Hourly WAGES]])+  SUMIF(Jul_Period_1_Tbl[[#All],[STAFF:]],$A6,Jul_Period_1_Tbl[[#All],[$ Hourly WAGES]])+  SUMIF(Aug_Period_1_Tbl[[#All],[STAFF:]],$A6,Aug_Period_1_Tbl[[#All],[$ Hourly WAGES]])+  SUMIF(Sep_Period_1_Tbl[[#All],[STAFF:]],$A6,Sep_Period_1_Tbl[[#All],[$ Hourly WAGES]])+  SUMIF(Oct_Period_1_Tbl[[#All],[STAFF:]],$A6,Oct_Period_1_Tbl[[#All],[$ Hourly WAGES]])+     SUMIF(Nov_Period_1_Tbl[[#All],[STAFF:]],$A6,Nov_Period_1_Tbl[[#All],[$ Hourly WAGES]])+  SUMIF(Dec_Period_1_Tbl[[#All],[STAFF:]],$A6,Dec_Period_1_Tbl[[#All],[$ Hourly WAGES]]))+   (SUMIF(Jan_Period_2_Tbl[[#All],[STAFF:]],$A6,Jan_Period_2_Tbl[[#All],[$ Hourly WAGES]])+
SUMIF(Feb_Period_2_Tbl[[#All],[STAFF:]],$A6,Feb_Period_2_Tbl[[#All],[$ Hourly WAGES]])+SUMIF(Mar_Period_2_Tbl[[#All],[STAFF:]],$A6,Mar_Period_2_Tbl[[#All],[$ Hourly WAGES]])+SUMIF(Apr_Period_2_Tbl[[#All],[STAFF:]],$A6,Apr_Period_2_Tbl[[#All],[$ Hourly WAGES]])+   SUMIF(May_Period_2_Tbl[[#All],[STAFF:]],$A6,May_Period_2_Tbl[[#All],[$ Hourly WAGES]])+   SUMIF(Jun_Period_2_Tbl[[#All],[STAFF:]],$A6,Jun_Period_2_Tbl[[#All],[$ Hourly WAGES]])+  SUMIF(Jul_Period_2_Tbl[[#All],[STAFF:]],$A6,Jul_Period_2_Tbl[[#All],[$ Hourly WAGES]])+  SUMIF(Aug_Period_2_Tbl[[#All],[STAFF:]],$A6,Aug_Period_2_Tbl[[#All],[$ Hourly WAGES]])+  SUMIF(Sep_Period_2_Tbl[[#All],[STAFF:]],$A6,Sep_Period_2_Tbl[[#All],[$ Hourly WAGES]])+  SUMIF(Oct_Period_2_Tbl[[#All],[STAFF:]],$A6,Oct_Period_2_Tbl[[#All],[$ Hourly WAGES]])+     SUMIF(Nov_Period_2_Tbl[[#All],[STAFF:]],$A6,Nov_Period_2_Tbl[[#All],[$ Hourly WAGES]])+  SUMIF(Dec_Period_2_Tbl[[#All],[STAFF:]],$A6,Dec_Period_2_Tbl[[#All],[$ Hourly WAGES]]))</f>
        <v>0</v>
      </c>
      <c r="H6" s="213">
        <f>(SUMIF(Jan_Period_1_Tbl[[#All],[STAFF:]],$A6,Jan_Period_1_Tbl[[#All],[$ SALARY]])+
SUMIF(Feb_Period_1_Tbl[[#All],[STAFF:]],$A6,Feb_Period_1_Tbl[[#All],[$ SALARY]])+SUMIF(Mar_Period_1_Tbl[[#All],[STAFF:]],$A6,Mar_Period_1_Tbl[[#All],[$ SALARY]])+SUMIF(Apr_Period_1_Tbl[[#All],[STAFF:]],$A6,Apr_Period_1_Tbl[[#All],[$ SALARY]])+   SUMIF(May_Period_1_Tbl[[#All],[STAFF:]],$A6,May_Period_1_Tbl[[#All],[$ SALARY]])+   SUMIF(Jun_Period_1_Tbl[[#All],[STAFF:]],$A6,Jun_Period_1_Tbl[[#All],[$ SALARY]])+  SUMIF(Jul_Period_1_Tbl[[#All],[STAFF:]],$A6,Jul_Period_1_Tbl[[#All],[$ SALARY]])+  SUMIF(Aug_Period_1_Tbl[[#All],[STAFF:]],$A6,Aug_Period_1_Tbl[[#All],[$ SALARY]])+  SUMIF(Sep_Period_1_Tbl[[#All],[STAFF:]],$A6,Sep_Period_1_Tbl[[#All],[$ SALARY]])+  SUMIF(Oct_Period_1_Tbl[[#All],[STAFF:]],$A6,Oct_Period_1_Tbl[[#All],[$ SALARY]])+     SUMIF(Nov_Period_1_Tbl[[#All],[STAFF:]],$A6,Nov_Period_1_Tbl[[#All],[$ SALARY]])+  SUMIF(Dec_Period_1_Tbl[[#All],[STAFF:]],$A6,Dec_Period_1_Tbl[[#All],[$ SALARY]]))+   (SUMIF(Jan_Period_2_Tbl[[#All],[STAFF:]],$A6,Jan_Period_2_Tbl[[#All],[$ SALARY]])+
SUMIF(Feb_Period_2_Tbl[[#All],[STAFF:]],$A6,Feb_Period_2_Tbl[[#All],[$ SALARY]])+SUMIF(Mar_Period_2_Tbl[[#All],[STAFF:]],$A6,Mar_Period_2_Tbl[[#All],[$ SALARY]])+SUMIF(Apr_Period_2_Tbl[[#All],[STAFF:]],$A6,Apr_Period_2_Tbl[[#All],[$ SALARY]])+   SUMIF(May_Period_2_Tbl[[#All],[STAFF:]],$A6,May_Period_2_Tbl[[#All],[$ SALARY]])+   SUMIF(Jun_Period_2_Tbl[[#All],[STAFF:]],$A6,Jun_Period_2_Tbl[[#All],[$ SALARY]])+  SUMIF(Jul_Period_2_Tbl[[#All],[STAFF:]],$A6,Jul_Period_2_Tbl[[#All],[$ SALARY]])+  SUMIF(Aug_Period_2_Tbl[[#All],[STAFF:]],$A6,Aug_Period_2_Tbl[[#All],[$ SALARY]])+  SUMIF(Sep_Period_2_Tbl[[#All],[STAFF:]],$A6,Sep_Period_2_Tbl[[#All],[$ SALARY]])+  SUMIF(Oct_Period_2_Tbl[[#All],[STAFF:]],$A6,Oct_Period_2_Tbl[[#All],[$ SALARY]])+     SUMIF(Nov_Period_2_Tbl[[#All],[STAFF:]],$A6,Nov_Period_2_Tbl[[#All],[$ SALARY]])+  SUMIF(Dec_Period_2_Tbl[[#All],[STAFF:]],$A6,Dec_Period_2_Tbl[[#All],[$ SALARY]]))</f>
        <v>3600</v>
      </c>
      <c r="I6" s="213">
        <f>(SUMIF(Jan_Period_1_Tbl[[#All],[STAFF:]],$A6,Jan_Period_1_Tbl[[#All],[$ SALARY PT]])+
SUMIF(Feb_Period_1_Tbl[[#All],[STAFF:]],$A6,Feb_Period_1_Tbl[[#All],[$ SALARY PT]])+SUMIF(Mar_Period_1_Tbl[[#All],[STAFF:]],$A6,Mar_Period_1_Tbl[[#All],[$ SALARY PT]])+SUMIF(Apr_Period_1_Tbl[[#All],[STAFF:]],$A6,Apr_Period_1_Tbl[[#All],[$ SALARY PT]])+   SUMIF(May_Period_1_Tbl[[#All],[STAFF:]],$A6,May_Period_1_Tbl[[#All],[$ SALARY PT]])+   SUMIF(Jun_Period_1_Tbl[[#All],[STAFF:]],$A6,Jun_Period_1_Tbl[[#All],[$ SALARY PT]])+  SUMIF(Jul_Period_1_Tbl[[#All],[STAFF:]],$A6,Jul_Period_1_Tbl[[#All],[$ SALARY PT]])+  SUMIF(Aug_Period_1_Tbl[[#All],[STAFF:]],$A6,Aug_Period_1_Tbl[[#All],[$ SALARY PT]])+  SUMIF(Sep_Period_1_Tbl[[#All],[STAFF:]],$A6,Sep_Period_1_Tbl[[#All],[$ SALARY PT]])+  SUMIF(Oct_Period_1_Tbl[[#All],[STAFF:]],$A6,Oct_Period_1_Tbl[[#All],[$ SALARY PT]])+     SUMIF(Nov_Period_1_Tbl[[#All],[STAFF:]],$A6,Nov_Period_1_Tbl[[#All],[$ SALARY PT]])+  SUMIF(Dec_Period_1_Tbl[[#All],[STAFF:]],$A6,Dec_Period_1_Tbl[[#All],[$ SALARY PT]]))+   (SUMIF(Jan_Period_2_Tbl[[#All],[STAFF:]],$A6,Jan_Period_2_Tbl[[#All],[$ SALARY PT]])+
SUMIF(Feb_Period_2_Tbl[[#All],[STAFF:]],$A6,Feb_Period_2_Tbl[[#All],[$ SALARY PT]])+SUMIF(Mar_Period_2_Tbl[[#All],[STAFF:]],$A6,Mar_Period_2_Tbl[[#All],[$ SALARY PT]])+SUMIF(Apr_Period_2_Tbl[[#All],[STAFF:]],$A6,Apr_Period_2_Tbl[[#All],[$ SALARY PT]])+   SUMIF(May_Period_2_Tbl[[#All],[STAFF:]],$A6,May_Period_2_Tbl[[#All],[$ SALARY PT]])+   SUMIF(Jun_Period_2_Tbl[[#All],[STAFF:]],$A6,Jun_Period_2_Tbl[[#All],[$ SALARY PT]])+  SUMIF(Jul_Period_2_Tbl[[#All],[STAFF:]],$A6,Jul_Period_2_Tbl[[#All],[$ SALARY PT]])+  SUMIF(Aug_Period_2_Tbl[[#All],[STAFF:]],$A6,Aug_Period_2_Tbl[[#All],[$ SALARY PT]])+  SUMIF(Sep_Period_2_Tbl[[#All],[STAFF:]],$A6,Sep_Period_2_Tbl[[#All],[$ SALARY PT]])+  SUMIF(Oct_Period_2_Tbl[[#All],[STAFF:]],$A6,Oct_Period_2_Tbl[[#All],[$ SALARY PT]])+     SUMIF(Nov_Period_2_Tbl[[#All],[STAFF:]],$A6,Nov_Period_2_Tbl[[#All],[$ SALARY PT]])+  SUMIF(Dec_Period_2_Tbl[[#All],[STAFF:]],$A6,Dec_Period_2_Tbl[[#All],[$ SALARY PT]]))</f>
        <v>0</v>
      </c>
      <c r="J6" s="213">
        <f>(SUMIF(Jan_Period_1_Tbl[[#All],[STAFF:]],$A6,Jan_Period_1_Tbl[[#All],[$ FREE PT]])+
SUMIF(Feb_Period_1_Tbl[[#All],[STAFF:]],$A6,Feb_Period_1_Tbl[[#All],[$ FREE PT]])+SUMIF(Mar_Period_1_Tbl[[#All],[STAFF:]],$A6,Mar_Period_1_Tbl[[#All],[$ FREE PT]])+SUMIF(Apr_Period_1_Tbl[[#All],[STAFF:]],$A6,Apr_Period_1_Tbl[[#All],[$ FREE PT]])+   SUMIF(May_Period_1_Tbl[[#All],[STAFF:]],$A6,May_Period_1_Tbl[[#All],[$ FREE PT]])+   SUMIF(Jun_Period_1_Tbl[[#All],[STAFF:]],$A6,Jun_Period_1_Tbl[[#All],[$ FREE PT]])+  SUMIF(Jul_Period_1_Tbl[[#All],[STAFF:]],$A6,Jul_Period_1_Tbl[[#All],[$ FREE PT]])+  SUMIF(Aug_Period_1_Tbl[[#All],[STAFF:]],$A6,Aug_Period_1_Tbl[[#All],[$ FREE PT]])+  SUMIF(Sep_Period_1_Tbl[[#All],[STAFF:]],$A6,Sep_Period_1_Tbl[[#All],[$ FREE PT]])+  SUMIF(Oct_Period_1_Tbl[[#All],[STAFF:]],$A6,Oct_Period_1_Tbl[[#All],[$ FREE PT]])+     SUMIF(Nov_Period_1_Tbl[[#All],[STAFF:]],$A6,Nov_Period_1_Tbl[[#All],[$ FREE PT]])+  SUMIF(Dec_Period_1_Tbl[[#All],[STAFF:]],$A6,Dec_Period_1_Tbl[[#All],[$ FREE PT]]))+   (SUMIF(Jan_Period_2_Tbl[[#All],[STAFF:]],$A6,Jan_Period_2_Tbl[[#All],[$ FREE PT]])+
SUMIF(Feb_Period_2_Tbl[[#All],[STAFF:]],$A6,Feb_Period_2_Tbl[[#All],[$ FREE PT]])+SUMIF(Mar_Period_2_Tbl[[#All],[STAFF:]],$A6,Mar_Period_2_Tbl[[#All],[$ FREE PT]])+SUMIF(Apr_Period_2_Tbl[[#All],[STAFF:]],$A6,Apr_Period_2_Tbl[[#All],[$ FREE PT]])+   SUMIF(May_Period_2_Tbl[[#All],[STAFF:]],$A6,May_Period_2_Tbl[[#All],[$ FREE PT]])+   SUMIF(Jun_Period_2_Tbl[[#All],[STAFF:]],$A6,Jun_Period_2_Tbl[[#All],[$ FREE PT]])+  SUMIF(Jul_Period_2_Tbl[[#All],[STAFF:]],$A6,Jul_Period_2_Tbl[[#All],[$ FREE PT]])+  SUMIF(Aug_Period_2_Tbl[[#All],[STAFF:]],$A6,Aug_Period_2_Tbl[[#All],[$ FREE PT]])+  SUMIF(Sep_Period_2_Tbl[[#All],[STAFF:]],$A6,Sep_Period_2_Tbl[[#All],[$ FREE PT]])+  SUMIF(Oct_Period_2_Tbl[[#All],[STAFF:]],$A6,Oct_Period_2_Tbl[[#All],[$ FREE PT]])+     SUMIF(Nov_Period_2_Tbl[[#All],[STAFF:]],$A6,Nov_Period_2_Tbl[[#All],[$ FREE PT]])+  SUMIF(Dec_Period_2_Tbl[[#All],[STAFF:]],$A6,Dec_Period_2_Tbl[[#All],[$ FREE PT]]))</f>
        <v>0</v>
      </c>
      <c r="K6" s="213">
        <f>(SUMIF(Jan_Period_1_Tbl[[#All],[STAFF:]],$A6,Jan_Period_1_Tbl[[#All],[$ PAID PT]])+
SUMIF(Feb_Period_1_Tbl[[#All],[STAFF:]],$A6,Feb_Period_1_Tbl[[#All],[$ PAID PT]])+SUMIF(Mar_Period_1_Tbl[[#All],[STAFF:]],$A6,Mar_Period_1_Tbl[[#All],[$ PAID PT]])+SUMIF(Apr_Period_1_Tbl[[#All],[STAFF:]],$A6,Apr_Period_1_Tbl[[#All],[$ PAID PT]])+   SUMIF(May_Period_1_Tbl[[#All],[STAFF:]],$A6,May_Period_1_Tbl[[#All],[$ PAID PT]])+   SUMIF(Jun_Period_1_Tbl[[#All],[STAFF:]],$A6,Jun_Period_1_Tbl[[#All],[$ PAID PT]])+  SUMIF(Jul_Period_1_Tbl[[#All],[STAFF:]],$A6,Jul_Period_1_Tbl[[#All],[$ PAID PT]])+  SUMIF(Aug_Period_1_Tbl[[#All],[STAFF:]],$A6,Aug_Period_1_Tbl[[#All],[$ PAID PT]])+  SUMIF(Sep_Period_1_Tbl[[#All],[STAFF:]],$A6,Sep_Period_1_Tbl[[#All],[$ PAID PT]])+  SUMIF(Oct_Period_1_Tbl[[#All],[STAFF:]],$A6,Oct_Period_1_Tbl[[#All],[$ PAID PT]])+     SUMIF(Nov_Period_1_Tbl[[#All],[STAFF:]],$A6,Nov_Period_1_Tbl[[#All],[$ PAID PT]])+  SUMIF(Dec_Period_1_Tbl[[#All],[STAFF:]],$A6,Dec_Period_1_Tbl[[#All],[$ PAID PT]]))+   (SUMIF(Jan_Period_2_Tbl[[#All],[STAFF:]],$A6,Jan_Period_2_Tbl[[#All],[$ PAID PT]])+
SUMIF(Feb_Period_2_Tbl[[#All],[STAFF:]],$A6,Feb_Period_2_Tbl[[#All],[$ PAID PT]])+SUMIF(Mar_Period_2_Tbl[[#All],[STAFF:]],$A6,Mar_Period_2_Tbl[[#All],[$ PAID PT]])+SUMIF(Apr_Period_2_Tbl[[#All],[STAFF:]],$A6,Apr_Period_2_Tbl[[#All],[$ PAID PT]])+   SUMIF(May_Period_2_Tbl[[#All],[STAFF:]],$A6,May_Period_2_Tbl[[#All],[$ PAID PT]])+   SUMIF(Jun_Period_2_Tbl[[#All],[STAFF:]],$A6,Jun_Period_2_Tbl[[#All],[$ PAID PT]])+  SUMIF(Jul_Period_2_Tbl[[#All],[STAFF:]],$A6,Jul_Period_2_Tbl[[#All],[$ PAID PT]])+  SUMIF(Aug_Period_2_Tbl[[#All],[STAFF:]],$A6,Aug_Period_2_Tbl[[#All],[$ PAID PT]])+  SUMIF(Sep_Period_2_Tbl[[#All],[STAFF:]],$A6,Sep_Period_2_Tbl[[#All],[$ PAID PT]])+  SUMIF(Oct_Period_2_Tbl[[#All],[STAFF:]],$A6,Oct_Period_2_Tbl[[#All],[$ PAID PT]])+     SUMIF(Nov_Period_2_Tbl[[#All],[STAFF:]],$A6,Nov_Period_2_Tbl[[#All],[$ PAID PT]])+  SUMIF(Dec_Period_2_Tbl[[#All],[STAFF:]],$A6,Dec_Period_2_Tbl[[#All],[$ PAID PT]]))</f>
        <v>0</v>
      </c>
      <c r="L6" s="213">
        <f>(SUMIF(Jan_Period_1_Tbl[[#All],[STAFF:]],$A6,Jan_Period_1_Tbl[[#All],[$ PT COMM]])+
SUMIF(Feb_Period_1_Tbl[[#All],[STAFF:]],$A6,Feb_Period_1_Tbl[[#All],[$ PT COMM]])+SUMIF(Mar_Period_1_Tbl[[#All],[STAFF:]],$A6,Mar_Period_1_Tbl[[#All],[$ PT COMM]])+SUMIF(Apr_Period_1_Tbl[[#All],[STAFF:]],$A6,Apr_Period_1_Tbl[[#All],[$ PT COMM]])+   SUMIF(May_Period_1_Tbl[[#All],[STAFF:]],$A6,May_Period_1_Tbl[[#All],[$ PT COMM]])+   SUMIF(Jun_Period_1_Tbl[[#All],[STAFF:]],$A6,Jun_Period_1_Tbl[[#All],[$ PT COMM]])+  SUMIF(Jul_Period_1_Tbl[[#All],[STAFF:]],$A6,Jul_Period_1_Tbl[[#All],[$ PT COMM]])+  SUMIF(Aug_Period_1_Tbl[[#All],[STAFF:]],$A6,Aug_Period_1_Tbl[[#All],[$ PT COMM]])+  SUMIF(Sep_Period_1_Tbl[[#All],[STAFF:]],$A6,Sep_Period_1_Tbl[[#All],[$ PT COMM]])+  SUMIF(Oct_Period_1_Tbl[[#All],[STAFF:]],$A6,Oct_Period_1_Tbl[[#All],[$ PT COMM]])+     SUMIF(Nov_Period_1_Tbl[[#All],[STAFF:]],$A6,Nov_Period_1_Tbl[[#All],[$ PT COMM]])+  SUMIF(Dec_Period_1_Tbl[[#All],[STAFF:]],$A6,Dec_Period_1_Tbl[[#All],[$ PT COMM]]))+   (SUMIF(Jan_Period_2_Tbl[[#All],[STAFF:]],$A6,Jan_Period_2_Tbl[[#All],[$ PT COMM]])+
SUMIF(Feb_Period_2_Tbl[[#All],[STAFF:]],$A6,Feb_Period_2_Tbl[[#All],[$ PT COMM]])+SUMIF(Mar_Period_2_Tbl[[#All],[STAFF:]],$A6,Mar_Period_2_Tbl[[#All],[$ PT COMM]])+SUMIF(Apr_Period_2_Tbl[[#All],[STAFF:]],$A6,Apr_Period_2_Tbl[[#All],[$ PT COMM]])+   SUMIF(May_Period_2_Tbl[[#All],[STAFF:]],$A6,May_Period_2_Tbl[[#All],[$ PT COMM]])+   SUMIF(Jun_Period_2_Tbl[[#All],[STAFF:]],$A6,Jun_Period_2_Tbl[[#All],[$ PT COMM]])+  SUMIF(Jul_Period_2_Tbl[[#All],[STAFF:]],$A6,Jul_Period_2_Tbl[[#All],[$ PT COMM]])+  SUMIF(Aug_Period_2_Tbl[[#All],[STAFF:]],$A6,Aug_Period_2_Tbl[[#All],[$ PT COMM]])+  SUMIF(Sep_Period_2_Tbl[[#All],[STAFF:]],$A6,Sep_Period_2_Tbl[[#All],[$ PT COMM]])+  SUMIF(Oct_Period_2_Tbl[[#All],[STAFF:]],$A6,Oct_Period_2_Tbl[[#All],[$ PT COMM]])+     SUMIF(Nov_Period_2_Tbl[[#All],[STAFF:]],$A6,Nov_Period_2_Tbl[[#All],[$ PT COMM]])+  SUMIF(Dec_Period_2_Tbl[[#All],[STAFF:]],$A6,Dec_Period_2_Tbl[[#All],[$ PT COMM]]))</f>
        <v>0</v>
      </c>
      <c r="M6" s="213">
        <f>(SUMIF(Jan_Period_1_Tbl[[#All],[STAFF:]],$A6,Jan_Period_1_Tbl[[#All],[$ EFT COMM]])+
SUMIF(Feb_Period_1_Tbl[[#All],[STAFF:]],$A6,Feb_Period_1_Tbl[[#All],[$ EFT COMM]])+SUMIF(Mar_Period_1_Tbl[[#All],[STAFF:]],$A6,Mar_Period_1_Tbl[[#All],[$ EFT COMM]])+SUMIF(Apr_Period_1_Tbl[[#All],[STAFF:]],$A6,Apr_Period_1_Tbl[[#All],[$ EFT COMM]])+   SUMIF(May_Period_1_Tbl[[#All],[STAFF:]],$A6,May_Period_1_Tbl[[#All],[$ EFT COMM]])+   SUMIF(Jun_Period_1_Tbl[[#All],[STAFF:]],$A6,Jun_Period_1_Tbl[[#All],[$ EFT COMM]])+  SUMIF(Jul_Period_1_Tbl[[#All],[STAFF:]],$A6,Jul_Period_1_Tbl[[#All],[$ EFT COMM]])+  SUMIF(Aug_Period_1_Tbl[[#All],[STAFF:]],$A6,Aug_Period_1_Tbl[[#All],[$ EFT COMM]])+  SUMIF(Sep_Period_1_Tbl[[#All],[STAFF:]],$A6,Sep_Period_1_Tbl[[#All],[$ EFT COMM]])+  SUMIF(Oct_Period_1_Tbl[[#All],[STAFF:]],$A6,Oct_Period_1_Tbl[[#All],[$ EFT COMM]])+     SUMIF(Nov_Period_1_Tbl[[#All],[STAFF:]],$A6,Nov_Period_1_Tbl[[#All],[$ EFT COMM]])+  SUMIF(Dec_Period_1_Tbl[[#All],[STAFF:]],$A6,Dec_Period_1_Tbl[[#All],[$ EFT COMM]]))+   (SUMIF(Jan_Period_2_Tbl[[#All],[STAFF:]],$A6,Jan_Period_2_Tbl[[#All],[$ EFT COMM]])+
SUMIF(Feb_Period_2_Tbl[[#All],[STAFF:]],$A6,Feb_Period_2_Tbl[[#All],[$ EFT COMM]])+SUMIF(Mar_Period_2_Tbl[[#All],[STAFF:]],$A6,Mar_Period_2_Tbl[[#All],[$ EFT COMM]])+SUMIF(Apr_Period_2_Tbl[[#All],[STAFF:]],$A6,Apr_Period_2_Tbl[[#All],[$ EFT COMM]])+   SUMIF(May_Period_2_Tbl[[#All],[STAFF:]],$A6,May_Period_2_Tbl[[#All],[$ EFT COMM]])+   SUMIF(Jun_Period_2_Tbl[[#All],[STAFF:]],$A6,Jun_Period_2_Tbl[[#All],[$ EFT COMM]])+  SUMIF(Jul_Period_2_Tbl[[#All],[STAFF:]],$A6,Jul_Period_2_Tbl[[#All],[$ EFT COMM]])+  SUMIF(Aug_Period_2_Tbl[[#All],[STAFF:]],$A6,Aug_Period_2_Tbl[[#All],[$ EFT COMM]])+  SUMIF(Sep_Period_2_Tbl[[#All],[STAFF:]],$A6,Sep_Period_2_Tbl[[#All],[$ EFT COMM]])+  SUMIF(Oct_Period_2_Tbl[[#All],[STAFF:]],$A6,Oct_Period_2_Tbl[[#All],[$ EFT COMM]])+     SUMIF(Nov_Period_2_Tbl[[#All],[STAFF:]],$A6,Nov_Period_2_Tbl[[#All],[$ EFT COMM]])+  SUMIF(Dec_Period_2_Tbl[[#All],[STAFF:]],$A6,Dec_Period_2_Tbl[[#All],[$ EFT COMM]]))</f>
        <v>979.49</v>
      </c>
      <c r="N6" s="213">
        <f>(SUMIF(Jan_Period_1_Tbl[[#All],[STAFF:]],$A6,Jan_Period_1_Tbl[[#All],[$ CLASS PAY]])+
SUMIF(Feb_Period_1_Tbl[[#All],[STAFF:]],$A6,Feb_Period_1_Tbl[[#All],[$ CLASS PAY]])+SUMIF(Mar_Period_1_Tbl[[#All],[STAFF:]],$A6,Mar_Period_1_Tbl[[#All],[$ CLASS PAY]])+SUMIF(Apr_Period_1_Tbl[[#All],[STAFF:]],$A6,Apr_Period_1_Tbl[[#All],[$ CLASS PAY]])+   SUMIF(May_Period_1_Tbl[[#All],[STAFF:]],$A6,May_Period_1_Tbl[[#All],[$ CLASS PAY]])+   SUMIF(Jun_Period_1_Tbl[[#All],[STAFF:]],$A6,Jun_Period_1_Tbl[[#All],[$ CLASS PAY]])+  SUMIF(Jul_Period_1_Tbl[[#All],[STAFF:]],$A6,Jul_Period_1_Tbl[[#All],[$ CLASS PAY]])+  SUMIF(Aug_Period_1_Tbl[[#All],[STAFF:]],$A6,Aug_Period_1_Tbl[[#All],[$ CLASS PAY]])+  SUMIF(Sep_Period_1_Tbl[[#All],[STAFF:]],$A6,Sep_Period_1_Tbl[[#All],[$ CLASS PAY]])+  SUMIF(Oct_Period_1_Tbl[[#All],[STAFF:]],$A6,Oct_Period_1_Tbl[[#All],[$ CLASS PAY]])+     SUMIF(Nov_Period_1_Tbl[[#All],[STAFF:]],$A6,Nov_Period_1_Tbl[[#All],[$ CLASS PAY]])+  SUMIF(Dec_Period_1_Tbl[[#All],[STAFF:]],$A6,Dec_Period_1_Tbl[[#All],[$ CLASS PAY]]))+   (SUMIF(Jan_Period_2_Tbl[[#All],[STAFF:]],$A6,Jan_Period_2_Tbl[[#All],[$ CLASS PAY]])+
SUMIF(Feb_Period_2_Tbl[[#All],[STAFF:]],$A6,Feb_Period_2_Tbl[[#All],[$ CLASS PAY]])+SUMIF(Mar_Period_2_Tbl[[#All],[STAFF:]],$A6,Mar_Period_2_Tbl[[#All],[$ CLASS PAY]])+SUMIF(Apr_Period_2_Tbl[[#All],[STAFF:]],$A6,Apr_Period_2_Tbl[[#All],[$ CLASS PAY]])+   SUMIF(May_Period_2_Tbl[[#All],[STAFF:]],$A6,May_Period_2_Tbl[[#All],[$ CLASS PAY]])+   SUMIF(Jun_Period_2_Tbl[[#All],[STAFF:]],$A6,Jun_Period_2_Tbl[[#All],[$ CLASS PAY]])+  SUMIF(Jul_Period_2_Tbl[[#All],[STAFF:]],$A6,Jul_Period_2_Tbl[[#All],[$ CLASS PAY]])+  SUMIF(Aug_Period_2_Tbl[[#All],[STAFF:]],$A6,Aug_Period_2_Tbl[[#All],[$ CLASS PAY]])+  SUMIF(Sep_Period_2_Tbl[[#All],[STAFF:]],$A6,Sep_Period_2_Tbl[[#All],[$ CLASS PAY]])+  SUMIF(Oct_Period_2_Tbl[[#All],[STAFF:]],$A6,Oct_Period_2_Tbl[[#All],[$ CLASS PAY]])+     SUMIF(Nov_Period_2_Tbl[[#All],[STAFF:]],$A6,Nov_Period_2_Tbl[[#All],[$ CLASS PAY]])+  SUMIF(Dec_Period_2_Tbl[[#All],[STAFF:]],$A6,Dec_Period_2_Tbl[[#All],[$ CLASS PAY]]))</f>
        <v>0</v>
      </c>
      <c r="O6" s="214">
        <f>(SUMIF(Jan_Period_1_Tbl[[#All],[STAFF:]],$A6,Jan_Period_1_Tbl[[#All],[$ BONUS PAY]])+
SUMIF(Feb_Period_1_Tbl[[#All],[STAFF:]],$A6,Feb_Period_1_Tbl[[#All],[$ BONUS PAY]])+SUMIF(Mar_Period_1_Tbl[[#All],[STAFF:]],$A6,Mar_Period_1_Tbl[[#All],[$ BONUS PAY]])+SUMIF(Apr_Period_1_Tbl[[#All],[STAFF:]],$A6,Apr_Period_1_Tbl[[#All],[$ BONUS PAY]])+   SUMIF(May_Period_1_Tbl[[#All],[STAFF:]],$A6,May_Period_1_Tbl[[#All],[$ BONUS PAY]])+   SUMIF(Jun_Period_1_Tbl[[#All],[STAFF:]],$A6,Jun_Period_1_Tbl[[#All],[$ BONUS PAY]])+  SUMIF(Jul_Period_1_Tbl[[#All],[STAFF:]],$A6,Jul_Period_1_Tbl[[#All],[$ BONUS PAY]])+  SUMIF(Aug_Period_1_Tbl[[#All],[STAFF:]],$A6,Aug_Period_1_Tbl[[#All],[$ BONUS PAY]])+  SUMIF(Sep_Period_1_Tbl[[#All],[STAFF:]],$A6,Sep_Period_1_Tbl[[#All],[$ BONUS PAY]])+  SUMIF(Oct_Period_1_Tbl[[#All],[STAFF:]],$A6,Oct_Period_1_Tbl[[#All],[$ BONUS PAY]])+     SUMIF(Nov_Period_1_Tbl[[#All],[STAFF:]],$A6,Nov_Period_1_Tbl[[#All],[$ BONUS PAY]])+  SUMIF(Dec_Period_1_Tbl[[#All],[STAFF:]],$A6,Dec_Period_1_Tbl[[#All],[$ BONUS PAY]]))+   (SUMIF(Jan_Period_2_Tbl[[#All],[STAFF:]],$A6,Jan_Period_2_Tbl[[#All],[$ BONUS PAY]])+
SUMIF(Feb_Period_2_Tbl[[#All],[STAFF:]],$A6,Feb_Period_2_Tbl[[#All],[$ BONUS PAY]])+SUMIF(Mar_Period_2_Tbl[[#All],[STAFF:]],$A6,Mar_Period_2_Tbl[[#All],[$ BONUS PAY]])+SUMIF(Apr_Period_2_Tbl[[#All],[STAFF:]],$A6,Apr_Period_2_Tbl[[#All],[$ BONUS PAY]])+   SUMIF(May_Period_2_Tbl[[#All],[STAFF:]],$A6,May_Period_2_Tbl[[#All],[$ BONUS PAY]])+   SUMIF(Jun_Period_2_Tbl[[#All],[STAFF:]],$A6,Jun_Period_2_Tbl[[#All],[$ BONUS PAY]])+  SUMIF(Jul_Period_2_Tbl[[#All],[STAFF:]],$A6,Jul_Period_2_Tbl[[#All],[$ BONUS PAY]])+  SUMIF(Aug_Period_2_Tbl[[#All],[STAFF:]],$A6,Aug_Period_2_Tbl[[#All],[$ BONUS PAY]])+  SUMIF(Sep_Period_2_Tbl[[#All],[STAFF:]],$A6,Sep_Period_2_Tbl[[#All],[$ BONUS PAY]])+  SUMIF(Oct_Period_2_Tbl[[#All],[STAFF:]],$A6,Oct_Period_2_Tbl[[#All],[$ BONUS PAY]])+     SUMIF(Nov_Period_2_Tbl[[#All],[STAFF:]],$A6,Nov_Period_2_Tbl[[#All],[$ BONUS PAY]])+  SUMIF(Dec_Period_2_Tbl[[#All],[STAFF:]],$A6,Dec_Period_2_Tbl[[#All],[$ BONUS PAY]]))</f>
        <v>100</v>
      </c>
      <c r="P6" s="215">
        <f t="shared" si="0"/>
        <v>4679.49</v>
      </c>
      <c r="Q6" s="149"/>
      <c r="R6" s="174">
        <f>(SUMIF(Jan_Period_1_Tbl[[#All],[STAFF:]],$A6,Jan_Period_1_Tbl[[#All],['# POINTS EARNED]])+
SUMIF(Feb_Period_1_Tbl[[#All],[STAFF:]],$A6,Feb_Period_1_Tbl[[#All],['# POINTS EARNED]])+SUMIF(Mar_Period_1_Tbl[[#All],[STAFF:]],$A6,Mar_Period_1_Tbl[[#All],['# POINTS EARNED]])+SUMIF(Apr_Period_1_Tbl[[#All],[STAFF:]],$A6,Apr_Period_1_Tbl[[#All],['# POINTS EARNED]])+   SUMIF(May_Period_1_Tbl[[#All],[STAFF:]],$A6,May_Period_1_Tbl[[#All],['# POINTS EARNED]])+   SUMIF(Jun_Period_1_Tbl[[#All],[STAFF:]],$A6,Jun_Period_1_Tbl[[#All],['# POINTS EARNED]])+  SUMIF(Jul_Period_1_Tbl[[#All],[STAFF:]],$A6,Jul_Period_1_Tbl[[#All],['# POINTS EARNED]])+  SUMIF(Aug_Period_1_Tbl[[#All],[STAFF:]],$A6,Aug_Period_1_Tbl[[#All],['# POINTS EARNED]])+  SUMIF(Sep_Period_1_Tbl[[#All],[STAFF:]],$A6,Sep_Period_1_Tbl[[#All],['# POINTS EARNED]])+  SUMIF(Oct_Period_1_Tbl[[#All],[STAFF:]],$A6,Oct_Period_1_Tbl[[#All],['# POINTS EARNED]])+     SUMIF(Nov_Period_1_Tbl[[#All],[STAFF:]],$A6,Nov_Period_1_Tbl[[#All],['# POINTS EARNED]])+  SUMIF(Dec_Period_1_Tbl[[#All],[STAFF:]],$A6,Dec_Period_1_Tbl[[#All],['# POINTS EARNED]]))+   (SUMIF(Jan_Period_2_Tbl[[#All],[STAFF:]],$A6,Jan_Period_2_Tbl[[#All],['# POINTS EARNED]])+
SUMIF(Feb_Period_2_Tbl[[#All],[STAFF:]],$A6,Feb_Period_2_Tbl[[#All],['# POINTS EARNED]])+SUMIF(Mar_Period_2_Tbl[[#All],[STAFF:]],$A6,Mar_Period_2_Tbl[[#All],['# POINTS EARNED]])+SUMIF(Apr_Period_2_Tbl[[#All],[STAFF:]],$A6,Apr_Period_2_Tbl[[#All],['# POINTS EARNED]])+   SUMIF(May_Period_2_Tbl[[#All],[STAFF:]],$A6,May_Period_2_Tbl[[#All],['# POINTS EARNED]])+   SUMIF(Jun_Period_2_Tbl[[#All],[STAFF:]],$A6,Jun_Period_2_Tbl[[#All],['# POINTS EARNED]])+  SUMIF(Jul_Period_2_Tbl[[#All],[STAFF:]],$A6,Jul_Period_2_Tbl[[#All],['# POINTS EARNED]])+  SUMIF(Aug_Period_2_Tbl[[#All],[STAFF:]],$A6,Aug_Period_2_Tbl[[#All],['# POINTS EARNED]])+  SUMIF(Sep_Period_2_Tbl[[#All],[STAFF:]],$A6,Sep_Period_2_Tbl[[#All],['# POINTS EARNED]])+  SUMIF(Oct_Period_2_Tbl[[#All],[STAFF:]],$A6,Oct_Period_2_Tbl[[#All],['# POINTS EARNED]])+     SUMIF(Nov_Period_2_Tbl[[#All],[STAFF:]],$A6,Nov_Period_2_Tbl[[#All],['# POINTS EARNED]])+  SUMIF(Dec_Period_2_Tbl[[#All],[STAFF:]],$A6,Dec_Period_2_Tbl[[#All],['# POINTS EARNED]]))</f>
        <v>0</v>
      </c>
      <c r="S6" s="174">
        <f>(SUMIF(Jan_Period_1_Tbl[[#All],[STAFF:]],$A6,Jan_Period_1_Tbl[[#All],['# POINTS USED]])+
SUMIF(Feb_Period_1_Tbl[[#All],[STAFF:]],$A6,Feb_Period_1_Tbl[[#All],['# POINTS USED]])+SUMIF(Mar_Period_1_Tbl[[#All],[STAFF:]],$A6,Mar_Period_1_Tbl[[#All],['# POINTS USED]])+SUMIF(Apr_Period_1_Tbl[[#All],[STAFF:]],$A6,Apr_Period_1_Tbl[[#All],['# POINTS USED]])+   SUMIF(May_Period_1_Tbl[[#All],[STAFF:]],$A6,May_Period_1_Tbl[[#All],['# POINTS USED]])+   SUMIF(Jun_Period_1_Tbl[[#All],[STAFF:]],$A6,Jun_Period_1_Tbl[[#All],['# POINTS USED]])+  SUMIF(Jul_Period_1_Tbl[[#All],[STAFF:]],$A6,Jul_Period_1_Tbl[[#All],['# POINTS USED]])+  SUMIF(Aug_Period_1_Tbl[[#All],[STAFF:]],$A6,Aug_Period_1_Tbl[[#All],['# POINTS USED]])+  SUMIF(Sep_Period_1_Tbl[[#All],[STAFF:]],$A6,Sep_Period_1_Tbl[[#All],['# POINTS USED]])+  SUMIF(Oct_Period_1_Tbl[[#All],[STAFF:]],$A6,Oct_Period_1_Tbl[[#All],['# POINTS USED]])+     SUMIF(Nov_Period_1_Tbl[[#All],[STAFF:]],$A6,Nov_Period_1_Tbl[[#All],['# POINTS USED]])+  SUMIF(Dec_Period_1_Tbl[[#All],[STAFF:]],$A6,Dec_Period_1_Tbl[[#All],['# POINTS USED]]))+   (SUMIF(Jan_Period_2_Tbl[[#All],[STAFF:]],$A6,Jan_Period_2_Tbl[[#All],['# POINTS USED]])+
SUMIF(Feb_Period_2_Tbl[[#All],[STAFF:]],$A6,Feb_Period_2_Tbl[[#All],['# POINTS USED]])+SUMIF(Mar_Period_2_Tbl[[#All],[STAFF:]],$A6,Mar_Period_2_Tbl[[#All],['# POINTS USED]])+SUMIF(Apr_Period_2_Tbl[[#All],[STAFF:]],$A6,Apr_Period_2_Tbl[[#All],['# POINTS USED]])+   SUMIF(May_Period_2_Tbl[[#All],[STAFF:]],$A6,May_Period_2_Tbl[[#All],['# POINTS USED]])+   SUMIF(Jun_Period_2_Tbl[[#All],[STAFF:]],$A6,Jun_Period_2_Tbl[[#All],['# POINTS USED]])+  SUMIF(Jul_Period_2_Tbl[[#All],[STAFF:]],$A6,Jul_Period_2_Tbl[[#All],['# POINTS USED]])+  SUMIF(Aug_Period_2_Tbl[[#All],[STAFF:]],$A6,Aug_Period_2_Tbl[[#All],['# POINTS USED]])+  SUMIF(Sep_Period_2_Tbl[[#All],[STAFF:]],$A6,Sep_Period_2_Tbl[[#All],['# POINTS USED]])+  SUMIF(Oct_Period_2_Tbl[[#All],[STAFF:]],$A6,Oct_Period_2_Tbl[[#All],['# POINTS USED]])+     SUMIF(Nov_Period_2_Tbl[[#All],[STAFF:]],$A6,Nov_Period_2_Tbl[[#All],['# POINTS USED]])+  SUMIF(Dec_Period_2_Tbl[[#All],[STAFF:]],$A6,Dec_Period_2_Tbl[[#All],['# POINTS USED]]))</f>
        <v>0</v>
      </c>
      <c r="T6" s="174">
        <f>(SUMIF(Jan_Period_1_Tbl[[#All],[STAFF:]],$A6,Jan_Period_1_Tbl[[#All],['# CLASSES LEAD]])+
SUMIF(Feb_Period_1_Tbl[[#All],[STAFF:]],$A6,Feb_Period_1_Tbl[[#All],['# CLASSES LEAD]])+SUMIF(Mar_Period_1_Tbl[[#All],[STAFF:]],$A6,Mar_Period_1_Tbl[[#All],['# CLASSES LEAD]])+SUMIF(Apr_Period_1_Tbl[[#All],[STAFF:]],$A6,Apr_Period_1_Tbl[[#All],['# CLASSES LEAD]])+   SUMIF(May_Period_1_Tbl[[#All],[STAFF:]],$A6,May_Period_1_Tbl[[#All],['# CLASSES LEAD]])+   SUMIF(Jun_Period_1_Tbl[[#All],[STAFF:]],$A6,Jun_Period_1_Tbl[[#All],['# CLASSES LEAD]])+  SUMIF(Jul_Period_1_Tbl[[#All],[STAFF:]],$A6,Jul_Period_1_Tbl[[#All],['# CLASSES LEAD]])+  SUMIF(Aug_Period_1_Tbl[[#All],[STAFF:]],$A6,Aug_Period_1_Tbl[[#All],['# CLASSES LEAD]])+  SUMIF(Sep_Period_1_Tbl[[#All],[STAFF:]],$A6,Sep_Period_1_Tbl[[#All],['# CLASSES LEAD]])+  SUMIF(Oct_Period_1_Tbl[[#All],[STAFF:]],$A6,Oct_Period_1_Tbl[[#All],['# CLASSES LEAD]])+     SUMIF(Nov_Period_1_Tbl[[#All],[STAFF:]],$A6,Nov_Period_1_Tbl[[#All],['# CLASSES LEAD]])+  SUMIF(Dec_Period_1_Tbl[[#All],[STAFF:]],$A6,Dec_Period_1_Tbl[[#All],['# CLASSES LEAD]]))+   (SUMIF(Jan_Period_2_Tbl[[#All],[STAFF:]],$A6,Jan_Period_2_Tbl[[#All],['# CLASSES LEAD]])+
SUMIF(Feb_Period_2_Tbl[[#All],[STAFF:]],$A6,Feb_Period_2_Tbl[[#All],['# CLASSES LEAD]])+SUMIF(Mar_Period_2_Tbl[[#All],[STAFF:]],$A6,Mar_Period_2_Tbl[[#All],['# CLASSES LEAD]])+SUMIF(Apr_Period_2_Tbl[[#All],[STAFF:]],$A6,Apr_Period_2_Tbl[[#All],['# CLASSES LEAD]])+   SUMIF(May_Period_2_Tbl[[#All],[STAFF:]],$A6,May_Period_2_Tbl[[#All],['# CLASSES LEAD]])+   SUMIF(Jun_Period_2_Tbl[[#All],[STAFF:]],$A6,Jun_Period_2_Tbl[[#All],['# CLASSES LEAD]])+  SUMIF(Jul_Period_2_Tbl[[#All],[STAFF:]],$A6,Jul_Period_2_Tbl[[#All],['# CLASSES LEAD]])+  SUMIF(Aug_Period_2_Tbl[[#All],[STAFF:]],$A6,Aug_Period_2_Tbl[[#All],['# CLASSES LEAD]])+  SUMIF(Sep_Period_2_Tbl[[#All],[STAFF:]],$A6,Sep_Period_2_Tbl[[#All],['# CLASSES LEAD]])+  SUMIF(Oct_Period_2_Tbl[[#All],[STAFF:]],$A6,Oct_Period_2_Tbl[[#All],['# CLASSES LEAD]])+     SUMIF(Nov_Period_2_Tbl[[#All],[STAFF:]],$A6,Nov_Period_2_Tbl[[#All],['# CLASSES LEAD]])+  SUMIF(Dec_Period_2_Tbl[[#All],[STAFF:]],$A6,Dec_Period_2_Tbl[[#All],['# CLASSES LEAD]]))</f>
        <v>0</v>
      </c>
      <c r="U6" s="174">
        <f>(SUMIF(Jan_Period_1_Tbl[[#All],[STAFF:]],$A6,Jan_Period_1_Tbl[[#All],['# CLASSES SHOW]])+
SUMIF(Feb_Period_1_Tbl[[#All],[STAFF:]],$A6,Feb_Period_1_Tbl[[#All],['# CLASSES SHOW]])+SUMIF(Mar_Period_1_Tbl[[#All],[STAFF:]],$A6,Mar_Period_1_Tbl[[#All],['# CLASSES SHOW]])+SUMIF(Apr_Period_1_Tbl[[#All],[STAFF:]],$A6,Apr_Period_1_Tbl[[#All],['# CLASSES SHOW]])+   SUMIF(May_Period_1_Tbl[[#All],[STAFF:]],$A6,May_Period_1_Tbl[[#All],['# CLASSES SHOW]])+   SUMIF(Jun_Period_1_Tbl[[#All],[STAFF:]],$A6,Jun_Period_1_Tbl[[#All],['# CLASSES SHOW]])+  SUMIF(Jul_Period_1_Tbl[[#All],[STAFF:]],$A6,Jul_Period_1_Tbl[[#All],['# CLASSES SHOW]])+  SUMIF(Aug_Period_1_Tbl[[#All],[STAFF:]],$A6,Aug_Period_1_Tbl[[#All],['# CLASSES SHOW]])+  SUMIF(Sep_Period_1_Tbl[[#All],[STAFF:]],$A6,Sep_Period_1_Tbl[[#All],['# CLASSES SHOW]])+  SUMIF(Oct_Period_1_Tbl[[#All],[STAFF:]],$A6,Oct_Period_1_Tbl[[#All],['# CLASSES SHOW]])+     SUMIF(Nov_Period_1_Tbl[[#All],[STAFF:]],$A6,Nov_Period_1_Tbl[[#All],['# CLASSES SHOW]])+  SUMIF(Dec_Period_1_Tbl[[#All],[STAFF:]],$A6,Dec_Period_1_Tbl[[#All],['# CLASSES SHOW]]))+   (SUMIF(Jan_Period_2_Tbl[[#All],[STAFF:]],$A6,Jan_Period_2_Tbl[[#All],['# CLASSES SHOW]])+
SUMIF(Feb_Period_2_Tbl[[#All],[STAFF:]],$A6,Feb_Period_2_Tbl[[#All],['# CLASSES SHOW]])+SUMIF(Mar_Period_2_Tbl[[#All],[STAFF:]],$A6,Mar_Period_2_Tbl[[#All],['# CLASSES SHOW]])+SUMIF(Apr_Period_2_Tbl[[#All],[STAFF:]],$A6,Apr_Period_2_Tbl[[#All],['# CLASSES SHOW]])+   SUMIF(May_Period_2_Tbl[[#All],[STAFF:]],$A6,May_Period_2_Tbl[[#All],['# CLASSES SHOW]])+   SUMIF(Jun_Period_2_Tbl[[#All],[STAFF:]],$A6,Jun_Period_2_Tbl[[#All],['# CLASSES SHOW]])+  SUMIF(Jul_Period_2_Tbl[[#All],[STAFF:]],$A6,Jul_Period_2_Tbl[[#All],['# CLASSES SHOW]])+  SUMIF(Aug_Period_2_Tbl[[#All],[STAFF:]],$A6,Aug_Period_2_Tbl[[#All],['# CLASSES SHOW]])+  SUMIF(Sep_Period_2_Tbl[[#All],[STAFF:]],$A6,Sep_Period_2_Tbl[[#All],['# CLASSES SHOW]])+  SUMIF(Oct_Period_2_Tbl[[#All],[STAFF:]],$A6,Oct_Period_2_Tbl[[#All],['# CLASSES SHOW]])+     SUMIF(Nov_Period_2_Tbl[[#All],[STAFF:]],$A6,Nov_Period_2_Tbl[[#All],['# CLASSES SHOW]])+  SUMIF(Dec_Period_2_Tbl[[#All],[STAFF:]],$A6,Dec_Period_2_Tbl[[#All],['# CLASSES SHOW]]))</f>
        <v>0</v>
      </c>
      <c r="V6" s="156"/>
      <c r="W6" s="156"/>
      <c r="X6" s="216">
        <f t="shared" si="1"/>
        <v>3600</v>
      </c>
      <c r="Y6" s="216">
        <f t="shared" si="2"/>
        <v>0</v>
      </c>
      <c r="Z6" s="216">
        <f t="shared" si="3"/>
        <v>0</v>
      </c>
      <c r="AA6" s="216">
        <f t="shared" si="4"/>
        <v>979.49</v>
      </c>
      <c r="AB6" s="216">
        <f t="shared" si="5"/>
        <v>0</v>
      </c>
      <c r="AC6" s="216">
        <f t="shared" si="6"/>
        <v>100</v>
      </c>
      <c r="AD6" s="216">
        <f t="shared" si="7"/>
        <v>4679.49</v>
      </c>
      <c r="AE6" s="149"/>
      <c r="AF6" s="149"/>
      <c r="AG6" s="149"/>
      <c r="AH6" s="149"/>
      <c r="AJ6" s="75" t="str">
        <f t="shared" si="8"/>
        <v>Active</v>
      </c>
      <c r="AK6" s="210"/>
      <c r="AL6" s="168">
        <f>IFERROR(VLOOKUP(B6,List!$A:$B,2,FALSE),-1)</f>
        <v>0</v>
      </c>
      <c r="AM6" s="168">
        <f>IFERROR(VLOOKUP(C6,List!$A:$B,2,FALSE),-1)</f>
        <v>-1</v>
      </c>
      <c r="AN6" s="203" t="s">
        <v>153</v>
      </c>
    </row>
    <row r="7" spans="1:40" x14ac:dyDescent="0.25">
      <c r="A7" s="20" t="s">
        <v>69</v>
      </c>
      <c r="B7" s="186">
        <v>42736</v>
      </c>
      <c r="C7" s="186"/>
      <c r="D7" s="187">
        <v>60</v>
      </c>
      <c r="E7" s="188">
        <f>(SUMIF(Jan_Period_1_Tbl[[#All],[STAFF:]],$A7,Jan_Period_1_Tbl[[#All],['# PTO USED]])+
SUMIF(Feb_Period_1_Tbl[[#All],[STAFF:]],$A7,Feb_Period_1_Tbl[[#All],['# PTO USED]])+SUMIF(Mar_Period_1_Tbl[[#All],[STAFF:]],$A7,Mar_Period_1_Tbl[[#All],['# PTO USED]])+SUMIF(Apr_Period_1_Tbl[[#All],[STAFF:]],$A7,Apr_Period_1_Tbl[[#All],['# PTO USED]])+   SUMIF(May_Period_1_Tbl[[#All],[STAFF:]],$A7,May_Period_1_Tbl[[#All],['# PTO USED]])+   SUMIF(Jun_Period_1_Tbl[[#All],[STAFF:]],$A7,Jun_Period_1_Tbl[[#All],['# PTO USED]])+  SUMIF(Jul_Period_1_Tbl[[#All],[STAFF:]],$A7,Jul_Period_1_Tbl[[#All],['# PTO USED]])+  SUMIF(Aug_Period_1_Tbl[[#All],[STAFF:]],$A7,Aug_Period_1_Tbl[[#All],['# PTO USED]])+  SUMIF(Sep_Period_1_Tbl[[#All],[STAFF:]],$A7,Sep_Period_1_Tbl[[#All],['# PTO USED]])+  SUMIF(Oct_Period_1_Tbl[[#All],[STAFF:]],$A7,Oct_Period_1_Tbl[[#All],['# PTO USED]])+     SUMIF(Nov_Period_1_Tbl[[#All],[STAFF:]],$A7,Nov_Period_1_Tbl[[#All],['# PTO USED]])+  SUMIF(Dec_Period_1_Tbl[[#All],[STAFF:]],$A7,Dec_Period_1_Tbl[[#All],['# PTO USED]]))+   (SUMIF(Jan_Period_2_Tbl[[#All],[STAFF:]],$A7,Jan_Period_2_Tbl[[#All],['# PTO USED]])+
SUMIF(Feb_Period_2_Tbl[[#All],[STAFF:]],$A7,Feb_Period_2_Tbl[[#All],['# PTO USED]])+SUMIF(Mar_Period_2_Tbl[[#All],[STAFF:]],$A7,Mar_Period_2_Tbl[[#All],['# PTO USED]])+SUMIF(Apr_Period_2_Tbl[[#All],[STAFF:]],$A7,Apr_Period_2_Tbl[[#All],['# PTO USED]])+   SUMIF(May_Period_2_Tbl[[#All],[STAFF:]],$A7,May_Period_2_Tbl[[#All],['# PTO USED]])+   SUMIF(Jun_Period_2_Tbl[[#All],[STAFF:]],$A7,Jun_Period_2_Tbl[[#All],['# PTO USED]])+  SUMIF(Jul_Period_2_Tbl[[#All],[STAFF:]],$A7,Jul_Period_2_Tbl[[#All],['# PTO USED]])+  SUMIF(Aug_Period_2_Tbl[[#All],[STAFF:]],$A7,Aug_Period_2_Tbl[[#All],['# PTO USED]])+  SUMIF(Sep_Period_2_Tbl[[#All],[STAFF:]],$A7,Sep_Period_2_Tbl[[#All],['# PTO USED]])+  SUMIF(Oct_Period_2_Tbl[[#All],[STAFF:]],$A7,Oct_Period_2_Tbl[[#All],['# PTO USED]])+     SUMIF(Nov_Period_2_Tbl[[#All],[STAFF:]],$A7,Nov_Period_2_Tbl[[#All],['# PTO USED]])+  SUMIF(Dec_Period_2_Tbl[[#All],[STAFF:]],$A7,Dec_Period_2_Tbl[[#All],['# PTO USED]]))</f>
        <v>0</v>
      </c>
      <c r="F7" s="189">
        <f>(SUMIF(Jan_Period_1_Tbl[[#All],[STAFF:]],$A7,Jan_Period_1_Tbl[[#All],['# HRS WORKED]])+
SUMIF(Feb_Period_1_Tbl[[#All],[STAFF:]],$A7,Feb_Period_1_Tbl[[#All],['# HRS WORKED]])+SUMIF(Mar_Period_1_Tbl[[#All],[STAFF:]],$A7,Mar_Period_1_Tbl[[#All],['# HRS WORKED]])+SUMIF(Apr_Period_1_Tbl[[#All],[STAFF:]],$A7,Apr_Period_1_Tbl[[#All],['# HRS WORKED]])+   SUMIF(May_Period_1_Tbl[[#All],[STAFF:]],$A7,May_Period_1_Tbl[[#All],['# HRS WORKED]])+   SUMIF(Jun_Period_1_Tbl[[#All],[STAFF:]],$A7,Jun_Period_1_Tbl[[#All],['# HRS WORKED]])+  SUMIF(Jul_Period_1_Tbl[[#All],[STAFF:]],$A7,Jul_Period_1_Tbl[[#All],['# HRS WORKED]])+  SUMIF(Aug_Period_1_Tbl[[#All],[STAFF:]],$A7,Aug_Period_1_Tbl[[#All],['# HRS WORKED]])+  SUMIF(Sep_Period_1_Tbl[[#All],[STAFF:]],$A7,Sep_Period_1_Tbl[[#All],['# HRS WORKED]])+  SUMIF(Oct_Period_1_Tbl[[#All],[STAFF:]],$A7,Oct_Period_1_Tbl[[#All],['# HRS WORKED]])+     SUMIF(Nov_Period_1_Tbl[[#All],[STAFF:]],$A7,Nov_Period_1_Tbl[[#All],['# HRS WORKED]])+  SUMIF(Dec_Period_1_Tbl[[#All],[STAFF:]],$A7,Dec_Period_1_Tbl[[#All],['# HRS WORKED]]))+   (SUMIF(Jan_Period_2_Tbl[[#All],[STAFF:]],$A7,Jan_Period_2_Tbl[[#All],['# HRS WORKED]])+
SUMIF(Feb_Period_2_Tbl[[#All],[STAFF:]],$A7,Feb_Period_2_Tbl[[#All],['# HRS WORKED]])+SUMIF(Mar_Period_2_Tbl[[#All],[STAFF:]],$A7,Mar_Period_2_Tbl[[#All],['# HRS WORKED]])+SUMIF(Apr_Period_2_Tbl[[#All],[STAFF:]],$A7,Apr_Period_2_Tbl[[#All],['# HRS WORKED]])+   SUMIF(May_Period_2_Tbl[[#All],[STAFF:]],$A7,May_Period_2_Tbl[[#All],['# HRS WORKED]])+   SUMIF(Jun_Period_2_Tbl[[#All],[STAFF:]],$A7,Jun_Period_2_Tbl[[#All],['# HRS WORKED]])+  SUMIF(Jul_Period_2_Tbl[[#All],[STAFF:]],$A7,Jul_Period_2_Tbl[[#All],['# HRS WORKED]])+  SUMIF(Aug_Period_2_Tbl[[#All],[STAFF:]],$A7,Aug_Period_2_Tbl[[#All],['# HRS WORKED]])+  SUMIF(Sep_Period_2_Tbl[[#All],[STAFF:]],$A7,Sep_Period_2_Tbl[[#All],['# HRS WORKED]])+  SUMIF(Oct_Period_2_Tbl[[#All],[STAFF:]],$A7,Oct_Period_2_Tbl[[#All],['# HRS WORKED]])+     SUMIF(Nov_Period_2_Tbl[[#All],[STAFF:]],$A7,Nov_Period_2_Tbl[[#All],['# HRS WORKED]])+  SUMIF(Dec_Period_2_Tbl[[#All],[STAFF:]],$A7,Dec_Period_2_Tbl[[#All],['# HRS WORKED]]))</f>
        <v>0</v>
      </c>
      <c r="G7" s="213">
        <f>(SUMIF(Jan_Period_1_Tbl[[#All],[STAFF:]],$A7,Jan_Period_1_Tbl[[#All],[$ Hourly WAGES]])+
SUMIF(Feb_Period_1_Tbl[[#All],[STAFF:]],$A7,Feb_Period_1_Tbl[[#All],[$ Hourly WAGES]])+SUMIF(Mar_Period_1_Tbl[[#All],[STAFF:]],$A7,Mar_Period_1_Tbl[[#All],[$ Hourly WAGES]])+SUMIF(Apr_Period_1_Tbl[[#All],[STAFF:]],$A7,Apr_Period_1_Tbl[[#All],[$ Hourly WAGES]])+   SUMIF(May_Period_1_Tbl[[#All],[STAFF:]],$A7,May_Period_1_Tbl[[#All],[$ Hourly WAGES]])+   SUMIF(Jun_Period_1_Tbl[[#All],[STAFF:]],$A7,Jun_Period_1_Tbl[[#All],[$ Hourly WAGES]])+  SUMIF(Jul_Period_1_Tbl[[#All],[STAFF:]],$A7,Jul_Period_1_Tbl[[#All],[$ Hourly WAGES]])+  SUMIF(Aug_Period_1_Tbl[[#All],[STAFF:]],$A7,Aug_Period_1_Tbl[[#All],[$ Hourly WAGES]])+  SUMIF(Sep_Period_1_Tbl[[#All],[STAFF:]],$A7,Sep_Period_1_Tbl[[#All],[$ Hourly WAGES]])+  SUMIF(Oct_Period_1_Tbl[[#All],[STAFF:]],$A7,Oct_Period_1_Tbl[[#All],[$ Hourly WAGES]])+     SUMIF(Nov_Period_1_Tbl[[#All],[STAFF:]],$A7,Nov_Period_1_Tbl[[#All],[$ Hourly WAGES]])+  SUMIF(Dec_Period_1_Tbl[[#All],[STAFF:]],$A7,Dec_Period_1_Tbl[[#All],[$ Hourly WAGES]]))+   (SUMIF(Jan_Period_2_Tbl[[#All],[STAFF:]],$A7,Jan_Period_2_Tbl[[#All],[$ Hourly WAGES]])+
SUMIF(Feb_Period_2_Tbl[[#All],[STAFF:]],$A7,Feb_Period_2_Tbl[[#All],[$ Hourly WAGES]])+SUMIF(Mar_Period_2_Tbl[[#All],[STAFF:]],$A7,Mar_Period_2_Tbl[[#All],[$ Hourly WAGES]])+SUMIF(Apr_Period_2_Tbl[[#All],[STAFF:]],$A7,Apr_Period_2_Tbl[[#All],[$ Hourly WAGES]])+   SUMIF(May_Period_2_Tbl[[#All],[STAFF:]],$A7,May_Period_2_Tbl[[#All],[$ Hourly WAGES]])+   SUMIF(Jun_Period_2_Tbl[[#All],[STAFF:]],$A7,Jun_Period_2_Tbl[[#All],[$ Hourly WAGES]])+  SUMIF(Jul_Period_2_Tbl[[#All],[STAFF:]],$A7,Jul_Period_2_Tbl[[#All],[$ Hourly WAGES]])+  SUMIF(Aug_Period_2_Tbl[[#All],[STAFF:]],$A7,Aug_Period_2_Tbl[[#All],[$ Hourly WAGES]])+  SUMIF(Sep_Period_2_Tbl[[#All],[STAFF:]],$A7,Sep_Period_2_Tbl[[#All],[$ Hourly WAGES]])+  SUMIF(Oct_Period_2_Tbl[[#All],[STAFF:]],$A7,Oct_Period_2_Tbl[[#All],[$ Hourly WAGES]])+     SUMIF(Nov_Period_2_Tbl[[#All],[STAFF:]],$A7,Nov_Period_2_Tbl[[#All],[$ Hourly WAGES]])+  SUMIF(Dec_Period_2_Tbl[[#All],[STAFF:]],$A7,Dec_Period_2_Tbl[[#All],[$ Hourly WAGES]]))</f>
        <v>0</v>
      </c>
      <c r="H7" s="213">
        <f>(SUMIF(Jan_Period_1_Tbl[[#All],[STAFF:]],$A7,Jan_Period_1_Tbl[[#All],[$ SALARY]])+
SUMIF(Feb_Period_1_Tbl[[#All],[STAFF:]],$A7,Feb_Period_1_Tbl[[#All],[$ SALARY]])+SUMIF(Mar_Period_1_Tbl[[#All],[STAFF:]],$A7,Mar_Period_1_Tbl[[#All],[$ SALARY]])+SUMIF(Apr_Period_1_Tbl[[#All],[STAFF:]],$A7,Apr_Period_1_Tbl[[#All],[$ SALARY]])+   SUMIF(May_Period_1_Tbl[[#All],[STAFF:]],$A7,May_Period_1_Tbl[[#All],[$ SALARY]])+   SUMIF(Jun_Period_1_Tbl[[#All],[STAFF:]],$A7,Jun_Period_1_Tbl[[#All],[$ SALARY]])+  SUMIF(Jul_Period_1_Tbl[[#All],[STAFF:]],$A7,Jul_Period_1_Tbl[[#All],[$ SALARY]])+  SUMIF(Aug_Period_1_Tbl[[#All],[STAFF:]],$A7,Aug_Period_1_Tbl[[#All],[$ SALARY]])+  SUMIF(Sep_Period_1_Tbl[[#All],[STAFF:]],$A7,Sep_Period_1_Tbl[[#All],[$ SALARY]])+  SUMIF(Oct_Period_1_Tbl[[#All],[STAFF:]],$A7,Oct_Period_1_Tbl[[#All],[$ SALARY]])+     SUMIF(Nov_Period_1_Tbl[[#All],[STAFF:]],$A7,Nov_Period_1_Tbl[[#All],[$ SALARY]])+  SUMIF(Dec_Period_1_Tbl[[#All],[STAFF:]],$A7,Dec_Period_1_Tbl[[#All],[$ SALARY]]))+   (SUMIF(Jan_Period_2_Tbl[[#All],[STAFF:]],$A7,Jan_Period_2_Tbl[[#All],[$ SALARY]])+
SUMIF(Feb_Period_2_Tbl[[#All],[STAFF:]],$A7,Feb_Period_2_Tbl[[#All],[$ SALARY]])+SUMIF(Mar_Period_2_Tbl[[#All],[STAFF:]],$A7,Mar_Period_2_Tbl[[#All],[$ SALARY]])+SUMIF(Apr_Period_2_Tbl[[#All],[STAFF:]],$A7,Apr_Period_2_Tbl[[#All],[$ SALARY]])+   SUMIF(May_Period_2_Tbl[[#All],[STAFF:]],$A7,May_Period_2_Tbl[[#All],[$ SALARY]])+   SUMIF(Jun_Period_2_Tbl[[#All],[STAFF:]],$A7,Jun_Period_2_Tbl[[#All],[$ SALARY]])+  SUMIF(Jul_Period_2_Tbl[[#All],[STAFF:]],$A7,Jul_Period_2_Tbl[[#All],[$ SALARY]])+  SUMIF(Aug_Period_2_Tbl[[#All],[STAFF:]],$A7,Aug_Period_2_Tbl[[#All],[$ SALARY]])+  SUMIF(Sep_Period_2_Tbl[[#All],[STAFF:]],$A7,Sep_Period_2_Tbl[[#All],[$ SALARY]])+  SUMIF(Oct_Period_2_Tbl[[#All],[STAFF:]],$A7,Oct_Period_2_Tbl[[#All],[$ SALARY]])+     SUMIF(Nov_Period_2_Tbl[[#All],[STAFF:]],$A7,Nov_Period_2_Tbl[[#All],[$ SALARY]])+  SUMIF(Dec_Period_2_Tbl[[#All],[STAFF:]],$A7,Dec_Period_2_Tbl[[#All],[$ SALARY]]))</f>
        <v>4775</v>
      </c>
      <c r="I7" s="213">
        <f>(SUMIF(Jan_Period_1_Tbl[[#All],[STAFF:]],$A7,Jan_Period_1_Tbl[[#All],[$ SALARY PT]])+
SUMIF(Feb_Period_1_Tbl[[#All],[STAFF:]],$A7,Feb_Period_1_Tbl[[#All],[$ SALARY PT]])+SUMIF(Mar_Period_1_Tbl[[#All],[STAFF:]],$A7,Mar_Period_1_Tbl[[#All],[$ SALARY PT]])+SUMIF(Apr_Period_1_Tbl[[#All],[STAFF:]],$A7,Apr_Period_1_Tbl[[#All],[$ SALARY PT]])+   SUMIF(May_Period_1_Tbl[[#All],[STAFF:]],$A7,May_Period_1_Tbl[[#All],[$ SALARY PT]])+   SUMIF(Jun_Period_1_Tbl[[#All],[STAFF:]],$A7,Jun_Period_1_Tbl[[#All],[$ SALARY PT]])+  SUMIF(Jul_Period_1_Tbl[[#All],[STAFF:]],$A7,Jul_Period_1_Tbl[[#All],[$ SALARY PT]])+  SUMIF(Aug_Period_1_Tbl[[#All],[STAFF:]],$A7,Aug_Period_1_Tbl[[#All],[$ SALARY PT]])+  SUMIF(Sep_Period_1_Tbl[[#All],[STAFF:]],$A7,Sep_Period_1_Tbl[[#All],[$ SALARY PT]])+  SUMIF(Oct_Period_1_Tbl[[#All],[STAFF:]],$A7,Oct_Period_1_Tbl[[#All],[$ SALARY PT]])+     SUMIF(Nov_Period_1_Tbl[[#All],[STAFF:]],$A7,Nov_Period_1_Tbl[[#All],[$ SALARY PT]])+  SUMIF(Dec_Period_1_Tbl[[#All],[STAFF:]],$A7,Dec_Period_1_Tbl[[#All],[$ SALARY PT]]))+   (SUMIF(Jan_Period_2_Tbl[[#All],[STAFF:]],$A7,Jan_Period_2_Tbl[[#All],[$ SALARY PT]])+
SUMIF(Feb_Period_2_Tbl[[#All],[STAFF:]],$A7,Feb_Period_2_Tbl[[#All],[$ SALARY PT]])+SUMIF(Mar_Period_2_Tbl[[#All],[STAFF:]],$A7,Mar_Period_2_Tbl[[#All],[$ SALARY PT]])+SUMIF(Apr_Period_2_Tbl[[#All],[STAFF:]],$A7,Apr_Period_2_Tbl[[#All],[$ SALARY PT]])+   SUMIF(May_Period_2_Tbl[[#All],[STAFF:]],$A7,May_Period_2_Tbl[[#All],[$ SALARY PT]])+   SUMIF(Jun_Period_2_Tbl[[#All],[STAFF:]],$A7,Jun_Period_2_Tbl[[#All],[$ SALARY PT]])+  SUMIF(Jul_Period_2_Tbl[[#All],[STAFF:]],$A7,Jul_Period_2_Tbl[[#All],[$ SALARY PT]])+  SUMIF(Aug_Period_2_Tbl[[#All],[STAFF:]],$A7,Aug_Period_2_Tbl[[#All],[$ SALARY PT]])+  SUMIF(Sep_Period_2_Tbl[[#All],[STAFF:]],$A7,Sep_Period_2_Tbl[[#All],[$ SALARY PT]])+  SUMIF(Oct_Period_2_Tbl[[#All],[STAFF:]],$A7,Oct_Period_2_Tbl[[#All],[$ SALARY PT]])+     SUMIF(Nov_Period_2_Tbl[[#All],[STAFF:]],$A7,Nov_Period_2_Tbl[[#All],[$ SALARY PT]])+  SUMIF(Dec_Period_2_Tbl[[#All],[STAFF:]],$A7,Dec_Period_2_Tbl[[#All],[$ SALARY PT]]))</f>
        <v>0</v>
      </c>
      <c r="J7" s="213">
        <f>(SUMIF(Jan_Period_1_Tbl[[#All],[STAFF:]],$A7,Jan_Period_1_Tbl[[#All],[$ FREE PT]])+
SUMIF(Feb_Period_1_Tbl[[#All],[STAFF:]],$A7,Feb_Period_1_Tbl[[#All],[$ FREE PT]])+SUMIF(Mar_Period_1_Tbl[[#All],[STAFF:]],$A7,Mar_Period_1_Tbl[[#All],[$ FREE PT]])+SUMIF(Apr_Period_1_Tbl[[#All],[STAFF:]],$A7,Apr_Period_1_Tbl[[#All],[$ FREE PT]])+   SUMIF(May_Period_1_Tbl[[#All],[STAFF:]],$A7,May_Period_1_Tbl[[#All],[$ FREE PT]])+   SUMIF(Jun_Period_1_Tbl[[#All],[STAFF:]],$A7,Jun_Period_1_Tbl[[#All],[$ FREE PT]])+  SUMIF(Jul_Period_1_Tbl[[#All],[STAFF:]],$A7,Jul_Period_1_Tbl[[#All],[$ FREE PT]])+  SUMIF(Aug_Period_1_Tbl[[#All],[STAFF:]],$A7,Aug_Period_1_Tbl[[#All],[$ FREE PT]])+  SUMIF(Sep_Period_1_Tbl[[#All],[STAFF:]],$A7,Sep_Period_1_Tbl[[#All],[$ FREE PT]])+  SUMIF(Oct_Period_1_Tbl[[#All],[STAFF:]],$A7,Oct_Period_1_Tbl[[#All],[$ FREE PT]])+     SUMIF(Nov_Period_1_Tbl[[#All],[STAFF:]],$A7,Nov_Period_1_Tbl[[#All],[$ FREE PT]])+  SUMIF(Dec_Period_1_Tbl[[#All],[STAFF:]],$A7,Dec_Period_1_Tbl[[#All],[$ FREE PT]]))+   (SUMIF(Jan_Period_2_Tbl[[#All],[STAFF:]],$A7,Jan_Period_2_Tbl[[#All],[$ FREE PT]])+
SUMIF(Feb_Period_2_Tbl[[#All],[STAFF:]],$A7,Feb_Period_2_Tbl[[#All],[$ FREE PT]])+SUMIF(Mar_Period_2_Tbl[[#All],[STAFF:]],$A7,Mar_Period_2_Tbl[[#All],[$ FREE PT]])+SUMIF(Apr_Period_2_Tbl[[#All],[STAFF:]],$A7,Apr_Period_2_Tbl[[#All],[$ FREE PT]])+   SUMIF(May_Period_2_Tbl[[#All],[STAFF:]],$A7,May_Period_2_Tbl[[#All],[$ FREE PT]])+   SUMIF(Jun_Period_2_Tbl[[#All],[STAFF:]],$A7,Jun_Period_2_Tbl[[#All],[$ FREE PT]])+  SUMIF(Jul_Period_2_Tbl[[#All],[STAFF:]],$A7,Jul_Period_2_Tbl[[#All],[$ FREE PT]])+  SUMIF(Aug_Period_2_Tbl[[#All],[STAFF:]],$A7,Aug_Period_2_Tbl[[#All],[$ FREE PT]])+  SUMIF(Sep_Period_2_Tbl[[#All],[STAFF:]],$A7,Sep_Period_2_Tbl[[#All],[$ FREE PT]])+  SUMIF(Oct_Period_2_Tbl[[#All],[STAFF:]],$A7,Oct_Period_2_Tbl[[#All],[$ FREE PT]])+     SUMIF(Nov_Period_2_Tbl[[#All],[STAFF:]],$A7,Nov_Period_2_Tbl[[#All],[$ FREE PT]])+  SUMIF(Dec_Period_2_Tbl[[#All],[STAFF:]],$A7,Dec_Period_2_Tbl[[#All],[$ FREE PT]]))</f>
        <v>0</v>
      </c>
      <c r="K7" s="213">
        <f>(SUMIF(Jan_Period_1_Tbl[[#All],[STAFF:]],$A7,Jan_Period_1_Tbl[[#All],[$ PAID PT]])+
SUMIF(Feb_Period_1_Tbl[[#All],[STAFF:]],$A7,Feb_Period_1_Tbl[[#All],[$ PAID PT]])+SUMIF(Mar_Period_1_Tbl[[#All],[STAFF:]],$A7,Mar_Period_1_Tbl[[#All],[$ PAID PT]])+SUMIF(Apr_Period_1_Tbl[[#All],[STAFF:]],$A7,Apr_Period_1_Tbl[[#All],[$ PAID PT]])+   SUMIF(May_Period_1_Tbl[[#All],[STAFF:]],$A7,May_Period_1_Tbl[[#All],[$ PAID PT]])+   SUMIF(Jun_Period_1_Tbl[[#All],[STAFF:]],$A7,Jun_Period_1_Tbl[[#All],[$ PAID PT]])+  SUMIF(Jul_Period_1_Tbl[[#All],[STAFF:]],$A7,Jul_Period_1_Tbl[[#All],[$ PAID PT]])+  SUMIF(Aug_Period_1_Tbl[[#All],[STAFF:]],$A7,Aug_Period_1_Tbl[[#All],[$ PAID PT]])+  SUMIF(Sep_Period_1_Tbl[[#All],[STAFF:]],$A7,Sep_Period_1_Tbl[[#All],[$ PAID PT]])+  SUMIF(Oct_Period_1_Tbl[[#All],[STAFF:]],$A7,Oct_Period_1_Tbl[[#All],[$ PAID PT]])+     SUMIF(Nov_Period_1_Tbl[[#All],[STAFF:]],$A7,Nov_Period_1_Tbl[[#All],[$ PAID PT]])+  SUMIF(Dec_Period_1_Tbl[[#All],[STAFF:]],$A7,Dec_Period_1_Tbl[[#All],[$ PAID PT]]))+   (SUMIF(Jan_Period_2_Tbl[[#All],[STAFF:]],$A7,Jan_Period_2_Tbl[[#All],[$ PAID PT]])+
SUMIF(Feb_Period_2_Tbl[[#All],[STAFF:]],$A7,Feb_Period_2_Tbl[[#All],[$ PAID PT]])+SUMIF(Mar_Period_2_Tbl[[#All],[STAFF:]],$A7,Mar_Period_2_Tbl[[#All],[$ PAID PT]])+SUMIF(Apr_Period_2_Tbl[[#All],[STAFF:]],$A7,Apr_Period_2_Tbl[[#All],[$ PAID PT]])+   SUMIF(May_Period_2_Tbl[[#All],[STAFF:]],$A7,May_Period_2_Tbl[[#All],[$ PAID PT]])+   SUMIF(Jun_Period_2_Tbl[[#All],[STAFF:]],$A7,Jun_Period_2_Tbl[[#All],[$ PAID PT]])+  SUMIF(Jul_Period_2_Tbl[[#All],[STAFF:]],$A7,Jul_Period_2_Tbl[[#All],[$ PAID PT]])+  SUMIF(Aug_Period_2_Tbl[[#All],[STAFF:]],$A7,Aug_Period_2_Tbl[[#All],[$ PAID PT]])+  SUMIF(Sep_Period_2_Tbl[[#All],[STAFF:]],$A7,Sep_Period_2_Tbl[[#All],[$ PAID PT]])+  SUMIF(Oct_Period_2_Tbl[[#All],[STAFF:]],$A7,Oct_Period_2_Tbl[[#All],[$ PAID PT]])+     SUMIF(Nov_Period_2_Tbl[[#All],[STAFF:]],$A7,Nov_Period_2_Tbl[[#All],[$ PAID PT]])+  SUMIF(Dec_Period_2_Tbl[[#All],[STAFF:]],$A7,Dec_Period_2_Tbl[[#All],[$ PAID PT]]))</f>
        <v>0</v>
      </c>
      <c r="L7" s="213">
        <f>(SUMIF(Jan_Period_1_Tbl[[#All],[STAFF:]],$A7,Jan_Period_1_Tbl[[#All],[$ PT COMM]])+
SUMIF(Feb_Period_1_Tbl[[#All],[STAFF:]],$A7,Feb_Period_1_Tbl[[#All],[$ PT COMM]])+SUMIF(Mar_Period_1_Tbl[[#All],[STAFF:]],$A7,Mar_Period_1_Tbl[[#All],[$ PT COMM]])+SUMIF(Apr_Period_1_Tbl[[#All],[STAFF:]],$A7,Apr_Period_1_Tbl[[#All],[$ PT COMM]])+   SUMIF(May_Period_1_Tbl[[#All],[STAFF:]],$A7,May_Period_1_Tbl[[#All],[$ PT COMM]])+   SUMIF(Jun_Period_1_Tbl[[#All],[STAFF:]],$A7,Jun_Period_1_Tbl[[#All],[$ PT COMM]])+  SUMIF(Jul_Period_1_Tbl[[#All],[STAFF:]],$A7,Jul_Period_1_Tbl[[#All],[$ PT COMM]])+  SUMIF(Aug_Period_1_Tbl[[#All],[STAFF:]],$A7,Aug_Period_1_Tbl[[#All],[$ PT COMM]])+  SUMIF(Sep_Period_1_Tbl[[#All],[STAFF:]],$A7,Sep_Period_1_Tbl[[#All],[$ PT COMM]])+  SUMIF(Oct_Period_1_Tbl[[#All],[STAFF:]],$A7,Oct_Period_1_Tbl[[#All],[$ PT COMM]])+     SUMIF(Nov_Period_1_Tbl[[#All],[STAFF:]],$A7,Nov_Period_1_Tbl[[#All],[$ PT COMM]])+  SUMIF(Dec_Period_1_Tbl[[#All],[STAFF:]],$A7,Dec_Period_1_Tbl[[#All],[$ PT COMM]]))+   (SUMIF(Jan_Period_2_Tbl[[#All],[STAFF:]],$A7,Jan_Period_2_Tbl[[#All],[$ PT COMM]])+
SUMIF(Feb_Period_2_Tbl[[#All],[STAFF:]],$A7,Feb_Period_2_Tbl[[#All],[$ PT COMM]])+SUMIF(Mar_Period_2_Tbl[[#All],[STAFF:]],$A7,Mar_Period_2_Tbl[[#All],[$ PT COMM]])+SUMIF(Apr_Period_2_Tbl[[#All],[STAFF:]],$A7,Apr_Period_2_Tbl[[#All],[$ PT COMM]])+   SUMIF(May_Period_2_Tbl[[#All],[STAFF:]],$A7,May_Period_2_Tbl[[#All],[$ PT COMM]])+   SUMIF(Jun_Period_2_Tbl[[#All],[STAFF:]],$A7,Jun_Period_2_Tbl[[#All],[$ PT COMM]])+  SUMIF(Jul_Period_2_Tbl[[#All],[STAFF:]],$A7,Jul_Period_2_Tbl[[#All],[$ PT COMM]])+  SUMIF(Aug_Period_2_Tbl[[#All],[STAFF:]],$A7,Aug_Period_2_Tbl[[#All],[$ PT COMM]])+  SUMIF(Sep_Period_2_Tbl[[#All],[STAFF:]],$A7,Sep_Period_2_Tbl[[#All],[$ PT COMM]])+  SUMIF(Oct_Period_2_Tbl[[#All],[STAFF:]],$A7,Oct_Period_2_Tbl[[#All],[$ PT COMM]])+     SUMIF(Nov_Period_2_Tbl[[#All],[STAFF:]],$A7,Nov_Period_2_Tbl[[#All],[$ PT COMM]])+  SUMIF(Dec_Period_2_Tbl[[#All],[STAFF:]],$A7,Dec_Period_2_Tbl[[#All],[$ PT COMM]]))</f>
        <v>9.6</v>
      </c>
      <c r="M7" s="213">
        <f>(SUMIF(Jan_Period_1_Tbl[[#All],[STAFF:]],$A7,Jan_Period_1_Tbl[[#All],[$ EFT COMM]])+
SUMIF(Feb_Period_1_Tbl[[#All],[STAFF:]],$A7,Feb_Period_1_Tbl[[#All],[$ EFT COMM]])+SUMIF(Mar_Period_1_Tbl[[#All],[STAFF:]],$A7,Mar_Period_1_Tbl[[#All],[$ EFT COMM]])+SUMIF(Apr_Period_1_Tbl[[#All],[STAFF:]],$A7,Apr_Period_1_Tbl[[#All],[$ EFT COMM]])+   SUMIF(May_Period_1_Tbl[[#All],[STAFF:]],$A7,May_Period_1_Tbl[[#All],[$ EFT COMM]])+   SUMIF(Jun_Period_1_Tbl[[#All],[STAFF:]],$A7,Jun_Period_1_Tbl[[#All],[$ EFT COMM]])+  SUMIF(Jul_Period_1_Tbl[[#All],[STAFF:]],$A7,Jul_Period_1_Tbl[[#All],[$ EFT COMM]])+  SUMIF(Aug_Period_1_Tbl[[#All],[STAFF:]],$A7,Aug_Period_1_Tbl[[#All],[$ EFT COMM]])+  SUMIF(Sep_Period_1_Tbl[[#All],[STAFF:]],$A7,Sep_Period_1_Tbl[[#All],[$ EFT COMM]])+  SUMIF(Oct_Period_1_Tbl[[#All],[STAFF:]],$A7,Oct_Period_1_Tbl[[#All],[$ EFT COMM]])+     SUMIF(Nov_Period_1_Tbl[[#All],[STAFF:]],$A7,Nov_Period_1_Tbl[[#All],[$ EFT COMM]])+  SUMIF(Dec_Period_1_Tbl[[#All],[STAFF:]],$A7,Dec_Period_1_Tbl[[#All],[$ EFT COMM]]))+   (SUMIF(Jan_Period_2_Tbl[[#All],[STAFF:]],$A7,Jan_Period_2_Tbl[[#All],[$ EFT COMM]])+
SUMIF(Feb_Period_2_Tbl[[#All],[STAFF:]],$A7,Feb_Period_2_Tbl[[#All],[$ EFT COMM]])+SUMIF(Mar_Period_2_Tbl[[#All],[STAFF:]],$A7,Mar_Period_2_Tbl[[#All],[$ EFT COMM]])+SUMIF(Apr_Period_2_Tbl[[#All],[STAFF:]],$A7,Apr_Period_2_Tbl[[#All],[$ EFT COMM]])+   SUMIF(May_Period_2_Tbl[[#All],[STAFF:]],$A7,May_Period_2_Tbl[[#All],[$ EFT COMM]])+   SUMIF(Jun_Period_2_Tbl[[#All],[STAFF:]],$A7,Jun_Period_2_Tbl[[#All],[$ EFT COMM]])+  SUMIF(Jul_Period_2_Tbl[[#All],[STAFF:]],$A7,Jul_Period_2_Tbl[[#All],[$ EFT COMM]])+  SUMIF(Aug_Period_2_Tbl[[#All],[STAFF:]],$A7,Aug_Period_2_Tbl[[#All],[$ EFT COMM]])+  SUMIF(Sep_Period_2_Tbl[[#All],[STAFF:]],$A7,Sep_Period_2_Tbl[[#All],[$ EFT COMM]])+  SUMIF(Oct_Period_2_Tbl[[#All],[STAFF:]],$A7,Oct_Period_2_Tbl[[#All],[$ EFT COMM]])+     SUMIF(Nov_Period_2_Tbl[[#All],[STAFF:]],$A7,Nov_Period_2_Tbl[[#All],[$ EFT COMM]])+  SUMIF(Dec_Period_2_Tbl[[#All],[STAFF:]],$A7,Dec_Period_2_Tbl[[#All],[$ EFT COMM]]))</f>
        <v>241.59</v>
      </c>
      <c r="N7" s="213">
        <f>(SUMIF(Jan_Period_1_Tbl[[#All],[STAFF:]],$A7,Jan_Period_1_Tbl[[#All],[$ CLASS PAY]])+
SUMIF(Feb_Period_1_Tbl[[#All],[STAFF:]],$A7,Feb_Period_1_Tbl[[#All],[$ CLASS PAY]])+SUMIF(Mar_Period_1_Tbl[[#All],[STAFF:]],$A7,Mar_Period_1_Tbl[[#All],[$ CLASS PAY]])+SUMIF(Apr_Period_1_Tbl[[#All],[STAFF:]],$A7,Apr_Period_1_Tbl[[#All],[$ CLASS PAY]])+   SUMIF(May_Period_1_Tbl[[#All],[STAFF:]],$A7,May_Period_1_Tbl[[#All],[$ CLASS PAY]])+   SUMIF(Jun_Period_1_Tbl[[#All],[STAFF:]],$A7,Jun_Period_1_Tbl[[#All],[$ CLASS PAY]])+  SUMIF(Jul_Period_1_Tbl[[#All],[STAFF:]],$A7,Jul_Period_1_Tbl[[#All],[$ CLASS PAY]])+  SUMIF(Aug_Period_1_Tbl[[#All],[STAFF:]],$A7,Aug_Period_1_Tbl[[#All],[$ CLASS PAY]])+  SUMIF(Sep_Period_1_Tbl[[#All],[STAFF:]],$A7,Sep_Period_1_Tbl[[#All],[$ CLASS PAY]])+  SUMIF(Oct_Period_1_Tbl[[#All],[STAFF:]],$A7,Oct_Period_1_Tbl[[#All],[$ CLASS PAY]])+     SUMIF(Nov_Period_1_Tbl[[#All],[STAFF:]],$A7,Nov_Period_1_Tbl[[#All],[$ CLASS PAY]])+  SUMIF(Dec_Period_1_Tbl[[#All],[STAFF:]],$A7,Dec_Period_1_Tbl[[#All],[$ CLASS PAY]]))+   (SUMIF(Jan_Period_2_Tbl[[#All],[STAFF:]],$A7,Jan_Period_2_Tbl[[#All],[$ CLASS PAY]])+
SUMIF(Feb_Period_2_Tbl[[#All],[STAFF:]],$A7,Feb_Period_2_Tbl[[#All],[$ CLASS PAY]])+SUMIF(Mar_Period_2_Tbl[[#All],[STAFF:]],$A7,Mar_Period_2_Tbl[[#All],[$ CLASS PAY]])+SUMIF(Apr_Period_2_Tbl[[#All],[STAFF:]],$A7,Apr_Period_2_Tbl[[#All],[$ CLASS PAY]])+   SUMIF(May_Period_2_Tbl[[#All],[STAFF:]],$A7,May_Period_2_Tbl[[#All],[$ CLASS PAY]])+   SUMIF(Jun_Period_2_Tbl[[#All],[STAFF:]],$A7,Jun_Period_2_Tbl[[#All],[$ CLASS PAY]])+  SUMIF(Jul_Period_2_Tbl[[#All],[STAFF:]],$A7,Jul_Period_2_Tbl[[#All],[$ CLASS PAY]])+  SUMIF(Aug_Period_2_Tbl[[#All],[STAFF:]],$A7,Aug_Period_2_Tbl[[#All],[$ CLASS PAY]])+  SUMIF(Sep_Period_2_Tbl[[#All],[STAFF:]],$A7,Sep_Period_2_Tbl[[#All],[$ CLASS PAY]])+  SUMIF(Oct_Period_2_Tbl[[#All],[STAFF:]],$A7,Oct_Period_2_Tbl[[#All],[$ CLASS PAY]])+     SUMIF(Nov_Period_2_Tbl[[#All],[STAFF:]],$A7,Nov_Period_2_Tbl[[#All],[$ CLASS PAY]])+  SUMIF(Dec_Period_2_Tbl[[#All],[STAFF:]],$A7,Dec_Period_2_Tbl[[#All],[$ CLASS PAY]]))</f>
        <v>0</v>
      </c>
      <c r="O7" s="214">
        <f>(SUMIF(Jan_Period_1_Tbl[[#All],[STAFF:]],$A7,Jan_Period_1_Tbl[[#All],[$ BONUS PAY]])+
SUMIF(Feb_Period_1_Tbl[[#All],[STAFF:]],$A7,Feb_Period_1_Tbl[[#All],[$ BONUS PAY]])+SUMIF(Mar_Period_1_Tbl[[#All],[STAFF:]],$A7,Mar_Period_1_Tbl[[#All],[$ BONUS PAY]])+SUMIF(Apr_Period_1_Tbl[[#All],[STAFF:]],$A7,Apr_Period_1_Tbl[[#All],[$ BONUS PAY]])+   SUMIF(May_Period_1_Tbl[[#All],[STAFF:]],$A7,May_Period_1_Tbl[[#All],[$ BONUS PAY]])+   SUMIF(Jun_Period_1_Tbl[[#All],[STAFF:]],$A7,Jun_Period_1_Tbl[[#All],[$ BONUS PAY]])+  SUMIF(Jul_Period_1_Tbl[[#All],[STAFF:]],$A7,Jul_Period_1_Tbl[[#All],[$ BONUS PAY]])+  SUMIF(Aug_Period_1_Tbl[[#All],[STAFF:]],$A7,Aug_Period_1_Tbl[[#All],[$ BONUS PAY]])+  SUMIF(Sep_Period_1_Tbl[[#All],[STAFF:]],$A7,Sep_Period_1_Tbl[[#All],[$ BONUS PAY]])+  SUMIF(Oct_Period_1_Tbl[[#All],[STAFF:]],$A7,Oct_Period_1_Tbl[[#All],[$ BONUS PAY]])+     SUMIF(Nov_Period_1_Tbl[[#All],[STAFF:]],$A7,Nov_Period_1_Tbl[[#All],[$ BONUS PAY]])+  SUMIF(Dec_Period_1_Tbl[[#All],[STAFF:]],$A7,Dec_Period_1_Tbl[[#All],[$ BONUS PAY]]))+   (SUMIF(Jan_Period_2_Tbl[[#All],[STAFF:]],$A7,Jan_Period_2_Tbl[[#All],[$ BONUS PAY]])+
SUMIF(Feb_Period_2_Tbl[[#All],[STAFF:]],$A7,Feb_Period_2_Tbl[[#All],[$ BONUS PAY]])+SUMIF(Mar_Period_2_Tbl[[#All],[STAFF:]],$A7,Mar_Period_2_Tbl[[#All],[$ BONUS PAY]])+SUMIF(Apr_Period_2_Tbl[[#All],[STAFF:]],$A7,Apr_Period_2_Tbl[[#All],[$ BONUS PAY]])+   SUMIF(May_Period_2_Tbl[[#All],[STAFF:]],$A7,May_Period_2_Tbl[[#All],[$ BONUS PAY]])+   SUMIF(Jun_Period_2_Tbl[[#All],[STAFF:]],$A7,Jun_Period_2_Tbl[[#All],[$ BONUS PAY]])+  SUMIF(Jul_Period_2_Tbl[[#All],[STAFF:]],$A7,Jul_Period_2_Tbl[[#All],[$ BONUS PAY]])+  SUMIF(Aug_Period_2_Tbl[[#All],[STAFF:]],$A7,Aug_Period_2_Tbl[[#All],[$ BONUS PAY]])+  SUMIF(Sep_Period_2_Tbl[[#All],[STAFF:]],$A7,Sep_Period_2_Tbl[[#All],[$ BONUS PAY]])+  SUMIF(Oct_Period_2_Tbl[[#All],[STAFF:]],$A7,Oct_Period_2_Tbl[[#All],[$ BONUS PAY]])+     SUMIF(Nov_Period_2_Tbl[[#All],[STAFF:]],$A7,Nov_Period_2_Tbl[[#All],[$ BONUS PAY]])+  SUMIF(Dec_Period_2_Tbl[[#All],[STAFF:]],$A7,Dec_Period_2_Tbl[[#All],[$ BONUS PAY]]))</f>
        <v>200</v>
      </c>
      <c r="P7" s="215">
        <f t="shared" si="0"/>
        <v>5226.1900000000005</v>
      </c>
      <c r="Q7" s="149"/>
      <c r="R7" s="173">
        <f>(SUMIF(Jan_Period_1_Tbl[[#All],[STAFF:]],$A7,Jan_Period_1_Tbl[[#All],['# POINTS EARNED]])+
SUMIF(Feb_Period_1_Tbl[[#All],[STAFF:]],$A7,Feb_Period_1_Tbl[[#All],['# POINTS EARNED]])+SUMIF(Mar_Period_1_Tbl[[#All],[STAFF:]],$A7,Mar_Period_1_Tbl[[#All],['# POINTS EARNED]])+SUMIF(Apr_Period_1_Tbl[[#All],[STAFF:]],$A7,Apr_Period_1_Tbl[[#All],['# POINTS EARNED]])+   SUMIF(May_Period_1_Tbl[[#All],[STAFF:]],$A7,May_Period_1_Tbl[[#All],['# POINTS EARNED]])+   SUMIF(Jun_Period_1_Tbl[[#All],[STAFF:]],$A7,Jun_Period_1_Tbl[[#All],['# POINTS EARNED]])+  SUMIF(Jul_Period_1_Tbl[[#All],[STAFF:]],$A7,Jul_Period_1_Tbl[[#All],['# POINTS EARNED]])+  SUMIF(Aug_Period_1_Tbl[[#All],[STAFF:]],$A7,Aug_Period_1_Tbl[[#All],['# POINTS EARNED]])+  SUMIF(Sep_Period_1_Tbl[[#All],[STAFF:]],$A7,Sep_Period_1_Tbl[[#All],['# POINTS EARNED]])+  SUMIF(Oct_Period_1_Tbl[[#All],[STAFF:]],$A7,Oct_Period_1_Tbl[[#All],['# POINTS EARNED]])+     SUMIF(Nov_Period_1_Tbl[[#All],[STAFF:]],$A7,Nov_Period_1_Tbl[[#All],['# POINTS EARNED]])+  SUMIF(Dec_Period_1_Tbl[[#All],[STAFF:]],$A7,Dec_Period_1_Tbl[[#All],['# POINTS EARNED]]))+   (SUMIF(Jan_Period_2_Tbl[[#All],[STAFF:]],$A7,Jan_Period_2_Tbl[[#All],['# POINTS EARNED]])+
SUMIF(Feb_Period_2_Tbl[[#All],[STAFF:]],$A7,Feb_Period_2_Tbl[[#All],['# POINTS EARNED]])+SUMIF(Mar_Period_2_Tbl[[#All],[STAFF:]],$A7,Mar_Period_2_Tbl[[#All],['# POINTS EARNED]])+SUMIF(Apr_Period_2_Tbl[[#All],[STAFF:]],$A7,Apr_Period_2_Tbl[[#All],['# POINTS EARNED]])+   SUMIF(May_Period_2_Tbl[[#All],[STAFF:]],$A7,May_Period_2_Tbl[[#All],['# POINTS EARNED]])+   SUMIF(Jun_Period_2_Tbl[[#All],[STAFF:]],$A7,Jun_Period_2_Tbl[[#All],['# POINTS EARNED]])+  SUMIF(Jul_Period_2_Tbl[[#All],[STAFF:]],$A7,Jul_Period_2_Tbl[[#All],['# POINTS EARNED]])+  SUMIF(Aug_Period_2_Tbl[[#All],[STAFF:]],$A7,Aug_Period_2_Tbl[[#All],['# POINTS EARNED]])+  SUMIF(Sep_Period_2_Tbl[[#All],[STAFF:]],$A7,Sep_Period_2_Tbl[[#All],['# POINTS EARNED]])+  SUMIF(Oct_Period_2_Tbl[[#All],[STAFF:]],$A7,Oct_Period_2_Tbl[[#All],['# POINTS EARNED]])+     SUMIF(Nov_Period_2_Tbl[[#All],[STAFF:]],$A7,Nov_Period_2_Tbl[[#All],['# POINTS EARNED]])+  SUMIF(Dec_Period_2_Tbl[[#All],[STAFF:]],$A7,Dec_Period_2_Tbl[[#All],['# POINTS EARNED]]))</f>
        <v>0</v>
      </c>
      <c r="S7" s="173">
        <f>(SUMIF(Jan_Period_1_Tbl[[#All],[STAFF:]],$A7,Jan_Period_1_Tbl[[#All],['# POINTS USED]])+
SUMIF(Feb_Period_1_Tbl[[#All],[STAFF:]],$A7,Feb_Period_1_Tbl[[#All],['# POINTS USED]])+SUMIF(Mar_Period_1_Tbl[[#All],[STAFF:]],$A7,Mar_Period_1_Tbl[[#All],['# POINTS USED]])+SUMIF(Apr_Period_1_Tbl[[#All],[STAFF:]],$A7,Apr_Period_1_Tbl[[#All],['# POINTS USED]])+   SUMIF(May_Period_1_Tbl[[#All],[STAFF:]],$A7,May_Period_1_Tbl[[#All],['# POINTS USED]])+   SUMIF(Jun_Period_1_Tbl[[#All],[STAFF:]],$A7,Jun_Period_1_Tbl[[#All],['# POINTS USED]])+  SUMIF(Jul_Period_1_Tbl[[#All],[STAFF:]],$A7,Jul_Period_1_Tbl[[#All],['# POINTS USED]])+  SUMIF(Aug_Period_1_Tbl[[#All],[STAFF:]],$A7,Aug_Period_1_Tbl[[#All],['# POINTS USED]])+  SUMIF(Sep_Period_1_Tbl[[#All],[STAFF:]],$A7,Sep_Period_1_Tbl[[#All],['# POINTS USED]])+  SUMIF(Oct_Period_1_Tbl[[#All],[STAFF:]],$A7,Oct_Period_1_Tbl[[#All],['# POINTS USED]])+     SUMIF(Nov_Period_1_Tbl[[#All],[STAFF:]],$A7,Nov_Period_1_Tbl[[#All],['# POINTS USED]])+  SUMIF(Dec_Period_1_Tbl[[#All],[STAFF:]],$A7,Dec_Period_1_Tbl[[#All],['# POINTS USED]]))+   (SUMIF(Jan_Period_2_Tbl[[#All],[STAFF:]],$A7,Jan_Period_2_Tbl[[#All],['# POINTS USED]])+
SUMIF(Feb_Period_2_Tbl[[#All],[STAFF:]],$A7,Feb_Period_2_Tbl[[#All],['# POINTS USED]])+SUMIF(Mar_Period_2_Tbl[[#All],[STAFF:]],$A7,Mar_Period_2_Tbl[[#All],['# POINTS USED]])+SUMIF(Apr_Period_2_Tbl[[#All],[STAFF:]],$A7,Apr_Period_2_Tbl[[#All],['# POINTS USED]])+   SUMIF(May_Period_2_Tbl[[#All],[STAFF:]],$A7,May_Period_2_Tbl[[#All],['# POINTS USED]])+   SUMIF(Jun_Period_2_Tbl[[#All],[STAFF:]],$A7,Jun_Period_2_Tbl[[#All],['# POINTS USED]])+  SUMIF(Jul_Period_2_Tbl[[#All],[STAFF:]],$A7,Jul_Period_2_Tbl[[#All],['# POINTS USED]])+  SUMIF(Aug_Period_2_Tbl[[#All],[STAFF:]],$A7,Aug_Period_2_Tbl[[#All],['# POINTS USED]])+  SUMIF(Sep_Period_2_Tbl[[#All],[STAFF:]],$A7,Sep_Period_2_Tbl[[#All],['# POINTS USED]])+  SUMIF(Oct_Period_2_Tbl[[#All],[STAFF:]],$A7,Oct_Period_2_Tbl[[#All],['# POINTS USED]])+     SUMIF(Nov_Period_2_Tbl[[#All],[STAFF:]],$A7,Nov_Period_2_Tbl[[#All],['# POINTS USED]])+  SUMIF(Dec_Period_2_Tbl[[#All],[STAFF:]],$A7,Dec_Period_2_Tbl[[#All],['# POINTS USED]]))</f>
        <v>0</v>
      </c>
      <c r="T7" s="173">
        <f>(SUMIF(Jan_Period_1_Tbl[[#All],[STAFF:]],$A7,Jan_Period_1_Tbl[[#All],['# CLASSES LEAD]])+
SUMIF(Feb_Period_1_Tbl[[#All],[STAFF:]],$A7,Feb_Period_1_Tbl[[#All],['# CLASSES LEAD]])+SUMIF(Mar_Period_1_Tbl[[#All],[STAFF:]],$A7,Mar_Period_1_Tbl[[#All],['# CLASSES LEAD]])+SUMIF(Apr_Period_1_Tbl[[#All],[STAFF:]],$A7,Apr_Period_1_Tbl[[#All],['# CLASSES LEAD]])+   SUMIF(May_Period_1_Tbl[[#All],[STAFF:]],$A7,May_Period_1_Tbl[[#All],['# CLASSES LEAD]])+   SUMIF(Jun_Period_1_Tbl[[#All],[STAFF:]],$A7,Jun_Period_1_Tbl[[#All],['# CLASSES LEAD]])+  SUMIF(Jul_Period_1_Tbl[[#All],[STAFF:]],$A7,Jul_Period_1_Tbl[[#All],['# CLASSES LEAD]])+  SUMIF(Aug_Period_1_Tbl[[#All],[STAFF:]],$A7,Aug_Period_1_Tbl[[#All],['# CLASSES LEAD]])+  SUMIF(Sep_Period_1_Tbl[[#All],[STAFF:]],$A7,Sep_Period_1_Tbl[[#All],['# CLASSES LEAD]])+  SUMIF(Oct_Period_1_Tbl[[#All],[STAFF:]],$A7,Oct_Period_1_Tbl[[#All],['# CLASSES LEAD]])+     SUMIF(Nov_Period_1_Tbl[[#All],[STAFF:]],$A7,Nov_Period_1_Tbl[[#All],['# CLASSES LEAD]])+  SUMIF(Dec_Period_1_Tbl[[#All],[STAFF:]],$A7,Dec_Period_1_Tbl[[#All],['# CLASSES LEAD]]))+   (SUMIF(Jan_Period_2_Tbl[[#All],[STAFF:]],$A7,Jan_Period_2_Tbl[[#All],['# CLASSES LEAD]])+
SUMIF(Feb_Period_2_Tbl[[#All],[STAFF:]],$A7,Feb_Period_2_Tbl[[#All],['# CLASSES LEAD]])+SUMIF(Mar_Period_2_Tbl[[#All],[STAFF:]],$A7,Mar_Period_2_Tbl[[#All],['# CLASSES LEAD]])+SUMIF(Apr_Period_2_Tbl[[#All],[STAFF:]],$A7,Apr_Period_2_Tbl[[#All],['# CLASSES LEAD]])+   SUMIF(May_Period_2_Tbl[[#All],[STAFF:]],$A7,May_Period_2_Tbl[[#All],['# CLASSES LEAD]])+   SUMIF(Jun_Period_2_Tbl[[#All],[STAFF:]],$A7,Jun_Period_2_Tbl[[#All],['# CLASSES LEAD]])+  SUMIF(Jul_Period_2_Tbl[[#All],[STAFF:]],$A7,Jul_Period_2_Tbl[[#All],['# CLASSES LEAD]])+  SUMIF(Aug_Period_2_Tbl[[#All],[STAFF:]],$A7,Aug_Period_2_Tbl[[#All],['# CLASSES LEAD]])+  SUMIF(Sep_Period_2_Tbl[[#All],[STAFF:]],$A7,Sep_Period_2_Tbl[[#All],['# CLASSES LEAD]])+  SUMIF(Oct_Period_2_Tbl[[#All],[STAFF:]],$A7,Oct_Period_2_Tbl[[#All],['# CLASSES LEAD]])+     SUMIF(Nov_Period_2_Tbl[[#All],[STAFF:]],$A7,Nov_Period_2_Tbl[[#All],['# CLASSES LEAD]])+  SUMIF(Dec_Period_2_Tbl[[#All],[STAFF:]],$A7,Dec_Period_2_Tbl[[#All],['# CLASSES LEAD]]))</f>
        <v>0</v>
      </c>
      <c r="U7" s="173">
        <f>(SUMIF(Jan_Period_1_Tbl[[#All],[STAFF:]],$A7,Jan_Period_1_Tbl[[#All],['# CLASSES SHOW]])+
SUMIF(Feb_Period_1_Tbl[[#All],[STAFF:]],$A7,Feb_Period_1_Tbl[[#All],['# CLASSES SHOW]])+SUMIF(Mar_Period_1_Tbl[[#All],[STAFF:]],$A7,Mar_Period_1_Tbl[[#All],['# CLASSES SHOW]])+SUMIF(Apr_Period_1_Tbl[[#All],[STAFF:]],$A7,Apr_Period_1_Tbl[[#All],['# CLASSES SHOW]])+   SUMIF(May_Period_1_Tbl[[#All],[STAFF:]],$A7,May_Period_1_Tbl[[#All],['# CLASSES SHOW]])+   SUMIF(Jun_Period_1_Tbl[[#All],[STAFF:]],$A7,Jun_Period_1_Tbl[[#All],['# CLASSES SHOW]])+  SUMIF(Jul_Period_1_Tbl[[#All],[STAFF:]],$A7,Jul_Period_1_Tbl[[#All],['# CLASSES SHOW]])+  SUMIF(Aug_Period_1_Tbl[[#All],[STAFF:]],$A7,Aug_Period_1_Tbl[[#All],['# CLASSES SHOW]])+  SUMIF(Sep_Period_1_Tbl[[#All],[STAFF:]],$A7,Sep_Period_1_Tbl[[#All],['# CLASSES SHOW]])+  SUMIF(Oct_Period_1_Tbl[[#All],[STAFF:]],$A7,Oct_Period_1_Tbl[[#All],['# CLASSES SHOW]])+     SUMIF(Nov_Period_1_Tbl[[#All],[STAFF:]],$A7,Nov_Period_1_Tbl[[#All],['# CLASSES SHOW]])+  SUMIF(Dec_Period_1_Tbl[[#All],[STAFF:]],$A7,Dec_Period_1_Tbl[[#All],['# CLASSES SHOW]]))+   (SUMIF(Jan_Period_2_Tbl[[#All],[STAFF:]],$A7,Jan_Period_2_Tbl[[#All],['# CLASSES SHOW]])+
SUMIF(Feb_Period_2_Tbl[[#All],[STAFF:]],$A7,Feb_Period_2_Tbl[[#All],['# CLASSES SHOW]])+SUMIF(Mar_Period_2_Tbl[[#All],[STAFF:]],$A7,Mar_Period_2_Tbl[[#All],['# CLASSES SHOW]])+SUMIF(Apr_Period_2_Tbl[[#All],[STAFF:]],$A7,Apr_Period_2_Tbl[[#All],['# CLASSES SHOW]])+   SUMIF(May_Period_2_Tbl[[#All],[STAFF:]],$A7,May_Period_2_Tbl[[#All],['# CLASSES SHOW]])+   SUMIF(Jun_Period_2_Tbl[[#All],[STAFF:]],$A7,Jun_Period_2_Tbl[[#All],['# CLASSES SHOW]])+  SUMIF(Jul_Period_2_Tbl[[#All],[STAFF:]],$A7,Jul_Period_2_Tbl[[#All],['# CLASSES SHOW]])+  SUMIF(Aug_Period_2_Tbl[[#All],[STAFF:]],$A7,Aug_Period_2_Tbl[[#All],['# CLASSES SHOW]])+  SUMIF(Sep_Period_2_Tbl[[#All],[STAFF:]],$A7,Sep_Period_2_Tbl[[#All],['# CLASSES SHOW]])+  SUMIF(Oct_Period_2_Tbl[[#All],[STAFF:]],$A7,Oct_Period_2_Tbl[[#All],['# CLASSES SHOW]])+     SUMIF(Nov_Period_2_Tbl[[#All],[STAFF:]],$A7,Nov_Period_2_Tbl[[#All],['# CLASSES SHOW]])+  SUMIF(Dec_Period_2_Tbl[[#All],[STAFF:]],$A7,Dec_Period_2_Tbl[[#All],['# CLASSES SHOW]]))</f>
        <v>0</v>
      </c>
      <c r="V7" s="156"/>
      <c r="W7" s="156"/>
      <c r="X7" s="217">
        <f t="shared" si="1"/>
        <v>4775</v>
      </c>
      <c r="Y7" s="217">
        <f t="shared" si="2"/>
        <v>0</v>
      </c>
      <c r="Z7" s="217">
        <f t="shared" si="3"/>
        <v>0</v>
      </c>
      <c r="AA7" s="217">
        <f t="shared" si="4"/>
        <v>241.59</v>
      </c>
      <c r="AB7" s="217">
        <f t="shared" si="5"/>
        <v>9.6</v>
      </c>
      <c r="AC7" s="217">
        <f t="shared" si="6"/>
        <v>200</v>
      </c>
      <c r="AD7" s="217">
        <f t="shared" si="7"/>
        <v>5226.1900000000005</v>
      </c>
      <c r="AE7" s="149"/>
      <c r="AF7" s="149"/>
      <c r="AG7" s="149"/>
      <c r="AH7" s="149"/>
      <c r="AJ7" s="75" t="str">
        <f t="shared" si="8"/>
        <v>Active</v>
      </c>
      <c r="AK7" s="210"/>
      <c r="AL7" s="168">
        <f>IFERROR(VLOOKUP(B7,List!$A:$B,2,FALSE),-1)</f>
        <v>0</v>
      </c>
      <c r="AM7" s="168">
        <f>IFERROR(VLOOKUP(C7,List!$A:$B,2,FALSE),-1)</f>
        <v>-1</v>
      </c>
      <c r="AN7" s="203" t="s">
        <v>153</v>
      </c>
    </row>
    <row r="8" spans="1:40" x14ac:dyDescent="0.25">
      <c r="A8" s="20" t="s">
        <v>4</v>
      </c>
      <c r="B8" s="186">
        <v>42736</v>
      </c>
      <c r="C8" s="186">
        <v>42750</v>
      </c>
      <c r="D8" s="187">
        <v>0</v>
      </c>
      <c r="E8" s="188">
        <f>(SUMIF(Jan_Period_1_Tbl[[#All],[STAFF:]],$A8,Jan_Period_1_Tbl[[#All],['# PTO USED]])+
SUMIF(Feb_Period_1_Tbl[[#All],[STAFF:]],$A8,Feb_Period_1_Tbl[[#All],['# PTO USED]])+SUMIF(Mar_Period_1_Tbl[[#All],[STAFF:]],$A8,Mar_Period_1_Tbl[[#All],['# PTO USED]])+SUMIF(Apr_Period_1_Tbl[[#All],[STAFF:]],$A8,Apr_Period_1_Tbl[[#All],['# PTO USED]])+   SUMIF(May_Period_1_Tbl[[#All],[STAFF:]],$A8,May_Period_1_Tbl[[#All],['# PTO USED]])+   SUMIF(Jun_Period_1_Tbl[[#All],[STAFF:]],$A8,Jun_Period_1_Tbl[[#All],['# PTO USED]])+  SUMIF(Jul_Period_1_Tbl[[#All],[STAFF:]],$A8,Jul_Period_1_Tbl[[#All],['# PTO USED]])+  SUMIF(Aug_Period_1_Tbl[[#All],[STAFF:]],$A8,Aug_Period_1_Tbl[[#All],['# PTO USED]])+  SUMIF(Sep_Period_1_Tbl[[#All],[STAFF:]],$A8,Sep_Period_1_Tbl[[#All],['# PTO USED]])+  SUMIF(Oct_Period_1_Tbl[[#All],[STAFF:]],$A8,Oct_Period_1_Tbl[[#All],['# PTO USED]])+     SUMIF(Nov_Period_1_Tbl[[#All],[STAFF:]],$A8,Nov_Period_1_Tbl[[#All],['# PTO USED]])+  SUMIF(Dec_Period_1_Tbl[[#All],[STAFF:]],$A8,Dec_Period_1_Tbl[[#All],['# PTO USED]]))+   (SUMIF(Jan_Period_2_Tbl[[#All],[STAFF:]],$A8,Jan_Period_2_Tbl[[#All],['# PTO USED]])+
SUMIF(Feb_Period_2_Tbl[[#All],[STAFF:]],$A8,Feb_Period_2_Tbl[[#All],['# PTO USED]])+SUMIF(Mar_Period_2_Tbl[[#All],[STAFF:]],$A8,Mar_Period_2_Tbl[[#All],['# PTO USED]])+SUMIF(Apr_Period_2_Tbl[[#All],[STAFF:]],$A8,Apr_Period_2_Tbl[[#All],['# PTO USED]])+   SUMIF(May_Period_2_Tbl[[#All],[STAFF:]],$A8,May_Period_2_Tbl[[#All],['# PTO USED]])+   SUMIF(Jun_Period_2_Tbl[[#All],[STAFF:]],$A8,Jun_Period_2_Tbl[[#All],['# PTO USED]])+  SUMIF(Jul_Period_2_Tbl[[#All],[STAFF:]],$A8,Jul_Period_2_Tbl[[#All],['# PTO USED]])+  SUMIF(Aug_Period_2_Tbl[[#All],[STAFF:]],$A8,Aug_Period_2_Tbl[[#All],['# PTO USED]])+  SUMIF(Sep_Period_2_Tbl[[#All],[STAFF:]],$A8,Sep_Period_2_Tbl[[#All],['# PTO USED]])+  SUMIF(Oct_Period_2_Tbl[[#All],[STAFF:]],$A8,Oct_Period_2_Tbl[[#All],['# PTO USED]])+     SUMIF(Nov_Period_2_Tbl[[#All],[STAFF:]],$A8,Nov_Period_2_Tbl[[#All],['# PTO USED]])+  SUMIF(Dec_Period_2_Tbl[[#All],[STAFF:]],$A8,Dec_Period_2_Tbl[[#All],['# PTO USED]]))</f>
        <v>0</v>
      </c>
      <c r="F8" s="189">
        <f>(SUMIF(Jan_Period_1_Tbl[[#All],[STAFF:]],$A8,Jan_Period_1_Tbl[[#All],['# HRS WORKED]])+
SUMIF(Feb_Period_1_Tbl[[#All],[STAFF:]],$A8,Feb_Period_1_Tbl[[#All],['# HRS WORKED]])+SUMIF(Mar_Period_1_Tbl[[#All],[STAFF:]],$A8,Mar_Period_1_Tbl[[#All],['# HRS WORKED]])+SUMIF(Apr_Period_1_Tbl[[#All],[STAFF:]],$A8,Apr_Period_1_Tbl[[#All],['# HRS WORKED]])+   SUMIF(May_Period_1_Tbl[[#All],[STAFF:]],$A8,May_Period_1_Tbl[[#All],['# HRS WORKED]])+   SUMIF(Jun_Period_1_Tbl[[#All],[STAFF:]],$A8,Jun_Period_1_Tbl[[#All],['# HRS WORKED]])+  SUMIF(Jul_Period_1_Tbl[[#All],[STAFF:]],$A8,Jul_Period_1_Tbl[[#All],['# HRS WORKED]])+  SUMIF(Aug_Period_1_Tbl[[#All],[STAFF:]],$A8,Aug_Period_1_Tbl[[#All],['# HRS WORKED]])+  SUMIF(Sep_Period_1_Tbl[[#All],[STAFF:]],$A8,Sep_Period_1_Tbl[[#All],['# HRS WORKED]])+  SUMIF(Oct_Period_1_Tbl[[#All],[STAFF:]],$A8,Oct_Period_1_Tbl[[#All],['# HRS WORKED]])+     SUMIF(Nov_Period_1_Tbl[[#All],[STAFF:]],$A8,Nov_Period_1_Tbl[[#All],['# HRS WORKED]])+  SUMIF(Dec_Period_1_Tbl[[#All],[STAFF:]],$A8,Dec_Period_1_Tbl[[#All],['# HRS WORKED]]))+   (SUMIF(Jan_Period_2_Tbl[[#All],[STAFF:]],$A8,Jan_Period_2_Tbl[[#All],['# HRS WORKED]])+
SUMIF(Feb_Period_2_Tbl[[#All],[STAFF:]],$A8,Feb_Period_2_Tbl[[#All],['# HRS WORKED]])+SUMIF(Mar_Period_2_Tbl[[#All],[STAFF:]],$A8,Mar_Period_2_Tbl[[#All],['# HRS WORKED]])+SUMIF(Apr_Period_2_Tbl[[#All],[STAFF:]],$A8,Apr_Period_2_Tbl[[#All],['# HRS WORKED]])+   SUMIF(May_Period_2_Tbl[[#All],[STAFF:]],$A8,May_Period_2_Tbl[[#All],['# HRS WORKED]])+   SUMIF(Jun_Period_2_Tbl[[#All],[STAFF:]],$A8,Jun_Period_2_Tbl[[#All],['# HRS WORKED]])+  SUMIF(Jul_Period_2_Tbl[[#All],[STAFF:]],$A8,Jul_Period_2_Tbl[[#All],['# HRS WORKED]])+  SUMIF(Aug_Period_2_Tbl[[#All],[STAFF:]],$A8,Aug_Period_2_Tbl[[#All],['# HRS WORKED]])+  SUMIF(Sep_Period_2_Tbl[[#All],[STAFF:]],$A8,Sep_Period_2_Tbl[[#All],['# HRS WORKED]])+  SUMIF(Oct_Period_2_Tbl[[#All],[STAFF:]],$A8,Oct_Period_2_Tbl[[#All],['# HRS WORKED]])+     SUMIF(Nov_Period_2_Tbl[[#All],[STAFF:]],$A8,Nov_Period_2_Tbl[[#All],['# HRS WORKED]])+  SUMIF(Dec_Period_2_Tbl[[#All],[STAFF:]],$A8,Dec_Period_2_Tbl[[#All],['# HRS WORKED]]))</f>
        <v>0</v>
      </c>
      <c r="G8" s="213">
        <f>(SUMIF(Jan_Period_1_Tbl[[#All],[STAFF:]],$A8,Jan_Period_1_Tbl[[#All],[$ Hourly WAGES]])+
SUMIF(Feb_Period_1_Tbl[[#All],[STAFF:]],$A8,Feb_Period_1_Tbl[[#All],[$ Hourly WAGES]])+SUMIF(Mar_Period_1_Tbl[[#All],[STAFF:]],$A8,Mar_Period_1_Tbl[[#All],[$ Hourly WAGES]])+SUMIF(Apr_Period_1_Tbl[[#All],[STAFF:]],$A8,Apr_Period_1_Tbl[[#All],[$ Hourly WAGES]])+   SUMIF(May_Period_1_Tbl[[#All],[STAFF:]],$A8,May_Period_1_Tbl[[#All],[$ Hourly WAGES]])+   SUMIF(Jun_Period_1_Tbl[[#All],[STAFF:]],$A8,Jun_Period_1_Tbl[[#All],[$ Hourly WAGES]])+  SUMIF(Jul_Period_1_Tbl[[#All],[STAFF:]],$A8,Jul_Period_1_Tbl[[#All],[$ Hourly WAGES]])+  SUMIF(Aug_Period_1_Tbl[[#All],[STAFF:]],$A8,Aug_Period_1_Tbl[[#All],[$ Hourly WAGES]])+  SUMIF(Sep_Period_1_Tbl[[#All],[STAFF:]],$A8,Sep_Period_1_Tbl[[#All],[$ Hourly WAGES]])+  SUMIF(Oct_Period_1_Tbl[[#All],[STAFF:]],$A8,Oct_Period_1_Tbl[[#All],[$ Hourly WAGES]])+     SUMIF(Nov_Period_1_Tbl[[#All],[STAFF:]],$A8,Nov_Period_1_Tbl[[#All],[$ Hourly WAGES]])+  SUMIF(Dec_Period_1_Tbl[[#All],[STAFF:]],$A8,Dec_Period_1_Tbl[[#All],[$ Hourly WAGES]]))+   (SUMIF(Jan_Period_2_Tbl[[#All],[STAFF:]],$A8,Jan_Period_2_Tbl[[#All],[$ Hourly WAGES]])+
SUMIF(Feb_Period_2_Tbl[[#All],[STAFF:]],$A8,Feb_Period_2_Tbl[[#All],[$ Hourly WAGES]])+SUMIF(Mar_Period_2_Tbl[[#All],[STAFF:]],$A8,Mar_Period_2_Tbl[[#All],[$ Hourly WAGES]])+SUMIF(Apr_Period_2_Tbl[[#All],[STAFF:]],$A8,Apr_Period_2_Tbl[[#All],[$ Hourly WAGES]])+   SUMIF(May_Period_2_Tbl[[#All],[STAFF:]],$A8,May_Period_2_Tbl[[#All],[$ Hourly WAGES]])+   SUMIF(Jun_Period_2_Tbl[[#All],[STAFF:]],$A8,Jun_Period_2_Tbl[[#All],[$ Hourly WAGES]])+  SUMIF(Jul_Period_2_Tbl[[#All],[STAFF:]],$A8,Jul_Period_2_Tbl[[#All],[$ Hourly WAGES]])+  SUMIF(Aug_Period_2_Tbl[[#All],[STAFF:]],$A8,Aug_Period_2_Tbl[[#All],[$ Hourly WAGES]])+  SUMIF(Sep_Period_2_Tbl[[#All],[STAFF:]],$A8,Sep_Period_2_Tbl[[#All],[$ Hourly WAGES]])+  SUMIF(Oct_Period_2_Tbl[[#All],[STAFF:]],$A8,Oct_Period_2_Tbl[[#All],[$ Hourly WAGES]])+     SUMIF(Nov_Period_2_Tbl[[#All],[STAFF:]],$A8,Nov_Period_2_Tbl[[#All],[$ Hourly WAGES]])+  SUMIF(Dec_Period_2_Tbl[[#All],[STAFF:]],$A8,Dec_Period_2_Tbl[[#All],[$ Hourly WAGES]]))</f>
        <v>0</v>
      </c>
      <c r="H8" s="213">
        <f>(SUMIF(Jan_Period_1_Tbl[[#All],[STAFF:]],$A8,Jan_Period_1_Tbl[[#All],[$ SALARY]])+
SUMIF(Feb_Period_1_Tbl[[#All],[STAFF:]],$A8,Feb_Period_1_Tbl[[#All],[$ SALARY]])+SUMIF(Mar_Period_1_Tbl[[#All],[STAFF:]],$A8,Mar_Period_1_Tbl[[#All],[$ SALARY]])+SUMIF(Apr_Period_1_Tbl[[#All],[STAFF:]],$A8,Apr_Period_1_Tbl[[#All],[$ SALARY]])+   SUMIF(May_Period_1_Tbl[[#All],[STAFF:]],$A8,May_Period_1_Tbl[[#All],[$ SALARY]])+   SUMIF(Jun_Period_1_Tbl[[#All],[STAFF:]],$A8,Jun_Period_1_Tbl[[#All],[$ SALARY]])+  SUMIF(Jul_Period_1_Tbl[[#All],[STAFF:]],$A8,Jul_Period_1_Tbl[[#All],[$ SALARY]])+  SUMIF(Aug_Period_1_Tbl[[#All],[STAFF:]],$A8,Aug_Period_1_Tbl[[#All],[$ SALARY]])+  SUMIF(Sep_Period_1_Tbl[[#All],[STAFF:]],$A8,Sep_Period_1_Tbl[[#All],[$ SALARY]])+  SUMIF(Oct_Period_1_Tbl[[#All],[STAFF:]],$A8,Oct_Period_1_Tbl[[#All],[$ SALARY]])+     SUMIF(Nov_Period_1_Tbl[[#All],[STAFF:]],$A8,Nov_Period_1_Tbl[[#All],[$ SALARY]])+  SUMIF(Dec_Period_1_Tbl[[#All],[STAFF:]],$A8,Dec_Period_1_Tbl[[#All],[$ SALARY]]))+   (SUMIF(Jan_Period_2_Tbl[[#All],[STAFF:]],$A8,Jan_Period_2_Tbl[[#All],[$ SALARY]])+
SUMIF(Feb_Period_2_Tbl[[#All],[STAFF:]],$A8,Feb_Period_2_Tbl[[#All],[$ SALARY]])+SUMIF(Mar_Period_2_Tbl[[#All],[STAFF:]],$A8,Mar_Period_2_Tbl[[#All],[$ SALARY]])+SUMIF(Apr_Period_2_Tbl[[#All],[STAFF:]],$A8,Apr_Period_2_Tbl[[#All],[$ SALARY]])+   SUMIF(May_Period_2_Tbl[[#All],[STAFF:]],$A8,May_Period_2_Tbl[[#All],[$ SALARY]])+   SUMIF(Jun_Period_2_Tbl[[#All],[STAFF:]],$A8,Jun_Period_2_Tbl[[#All],[$ SALARY]])+  SUMIF(Jul_Period_2_Tbl[[#All],[STAFF:]],$A8,Jul_Period_2_Tbl[[#All],[$ SALARY]])+  SUMIF(Aug_Period_2_Tbl[[#All],[STAFF:]],$A8,Aug_Period_2_Tbl[[#All],[$ SALARY]])+  SUMIF(Sep_Period_2_Tbl[[#All],[STAFF:]],$A8,Sep_Period_2_Tbl[[#All],[$ SALARY]])+  SUMIF(Oct_Period_2_Tbl[[#All],[STAFF:]],$A8,Oct_Period_2_Tbl[[#All],[$ SALARY]])+     SUMIF(Nov_Period_2_Tbl[[#All],[STAFF:]],$A8,Nov_Period_2_Tbl[[#All],[$ SALARY]])+  SUMIF(Dec_Period_2_Tbl[[#All],[STAFF:]],$A8,Dec_Period_2_Tbl[[#All],[$ SALARY]]))</f>
        <v>0</v>
      </c>
      <c r="I8" s="213">
        <f>(SUMIF(Jan_Period_1_Tbl[[#All],[STAFF:]],$A8,Jan_Period_1_Tbl[[#All],[$ SALARY PT]])+
SUMIF(Feb_Period_1_Tbl[[#All],[STAFF:]],$A8,Feb_Period_1_Tbl[[#All],[$ SALARY PT]])+SUMIF(Mar_Period_1_Tbl[[#All],[STAFF:]],$A8,Mar_Period_1_Tbl[[#All],[$ SALARY PT]])+SUMIF(Apr_Period_1_Tbl[[#All],[STAFF:]],$A8,Apr_Period_1_Tbl[[#All],[$ SALARY PT]])+   SUMIF(May_Period_1_Tbl[[#All],[STAFF:]],$A8,May_Period_1_Tbl[[#All],[$ SALARY PT]])+   SUMIF(Jun_Period_1_Tbl[[#All],[STAFF:]],$A8,Jun_Period_1_Tbl[[#All],[$ SALARY PT]])+  SUMIF(Jul_Period_1_Tbl[[#All],[STAFF:]],$A8,Jul_Period_1_Tbl[[#All],[$ SALARY PT]])+  SUMIF(Aug_Period_1_Tbl[[#All],[STAFF:]],$A8,Aug_Period_1_Tbl[[#All],[$ SALARY PT]])+  SUMIF(Sep_Period_1_Tbl[[#All],[STAFF:]],$A8,Sep_Period_1_Tbl[[#All],[$ SALARY PT]])+  SUMIF(Oct_Period_1_Tbl[[#All],[STAFF:]],$A8,Oct_Period_1_Tbl[[#All],[$ SALARY PT]])+     SUMIF(Nov_Period_1_Tbl[[#All],[STAFF:]],$A8,Nov_Period_1_Tbl[[#All],[$ SALARY PT]])+  SUMIF(Dec_Period_1_Tbl[[#All],[STAFF:]],$A8,Dec_Period_1_Tbl[[#All],[$ SALARY PT]]))+   (SUMIF(Jan_Period_2_Tbl[[#All],[STAFF:]],$A8,Jan_Period_2_Tbl[[#All],[$ SALARY PT]])+
SUMIF(Feb_Period_2_Tbl[[#All],[STAFF:]],$A8,Feb_Period_2_Tbl[[#All],[$ SALARY PT]])+SUMIF(Mar_Period_2_Tbl[[#All],[STAFF:]],$A8,Mar_Period_2_Tbl[[#All],[$ SALARY PT]])+SUMIF(Apr_Period_2_Tbl[[#All],[STAFF:]],$A8,Apr_Period_2_Tbl[[#All],[$ SALARY PT]])+   SUMIF(May_Period_2_Tbl[[#All],[STAFF:]],$A8,May_Period_2_Tbl[[#All],[$ SALARY PT]])+   SUMIF(Jun_Period_2_Tbl[[#All],[STAFF:]],$A8,Jun_Period_2_Tbl[[#All],[$ SALARY PT]])+  SUMIF(Jul_Period_2_Tbl[[#All],[STAFF:]],$A8,Jul_Period_2_Tbl[[#All],[$ SALARY PT]])+  SUMIF(Aug_Period_2_Tbl[[#All],[STAFF:]],$A8,Aug_Period_2_Tbl[[#All],[$ SALARY PT]])+  SUMIF(Sep_Period_2_Tbl[[#All],[STAFF:]],$A8,Sep_Period_2_Tbl[[#All],[$ SALARY PT]])+  SUMIF(Oct_Period_2_Tbl[[#All],[STAFF:]],$A8,Oct_Period_2_Tbl[[#All],[$ SALARY PT]])+     SUMIF(Nov_Period_2_Tbl[[#All],[STAFF:]],$A8,Nov_Period_2_Tbl[[#All],[$ SALARY PT]])+  SUMIF(Dec_Period_2_Tbl[[#All],[STAFF:]],$A8,Dec_Period_2_Tbl[[#All],[$ SALARY PT]]))</f>
        <v>0</v>
      </c>
      <c r="J8" s="213">
        <f>(SUMIF(Jan_Period_1_Tbl[[#All],[STAFF:]],$A8,Jan_Period_1_Tbl[[#All],[$ FREE PT]])+
SUMIF(Feb_Period_1_Tbl[[#All],[STAFF:]],$A8,Feb_Period_1_Tbl[[#All],[$ FREE PT]])+SUMIF(Mar_Period_1_Tbl[[#All],[STAFF:]],$A8,Mar_Period_1_Tbl[[#All],[$ FREE PT]])+SUMIF(Apr_Period_1_Tbl[[#All],[STAFF:]],$A8,Apr_Period_1_Tbl[[#All],[$ FREE PT]])+   SUMIF(May_Period_1_Tbl[[#All],[STAFF:]],$A8,May_Period_1_Tbl[[#All],[$ FREE PT]])+   SUMIF(Jun_Period_1_Tbl[[#All],[STAFF:]],$A8,Jun_Period_1_Tbl[[#All],[$ FREE PT]])+  SUMIF(Jul_Period_1_Tbl[[#All],[STAFF:]],$A8,Jul_Period_1_Tbl[[#All],[$ FREE PT]])+  SUMIF(Aug_Period_1_Tbl[[#All],[STAFF:]],$A8,Aug_Period_1_Tbl[[#All],[$ FREE PT]])+  SUMIF(Sep_Period_1_Tbl[[#All],[STAFF:]],$A8,Sep_Period_1_Tbl[[#All],[$ FREE PT]])+  SUMIF(Oct_Period_1_Tbl[[#All],[STAFF:]],$A8,Oct_Period_1_Tbl[[#All],[$ FREE PT]])+     SUMIF(Nov_Period_1_Tbl[[#All],[STAFF:]],$A8,Nov_Period_1_Tbl[[#All],[$ FREE PT]])+  SUMIF(Dec_Period_1_Tbl[[#All],[STAFF:]],$A8,Dec_Period_1_Tbl[[#All],[$ FREE PT]]))+   (SUMIF(Jan_Period_2_Tbl[[#All],[STAFF:]],$A8,Jan_Period_2_Tbl[[#All],[$ FREE PT]])+
SUMIF(Feb_Period_2_Tbl[[#All],[STAFF:]],$A8,Feb_Period_2_Tbl[[#All],[$ FREE PT]])+SUMIF(Mar_Period_2_Tbl[[#All],[STAFF:]],$A8,Mar_Period_2_Tbl[[#All],[$ FREE PT]])+SUMIF(Apr_Period_2_Tbl[[#All],[STAFF:]],$A8,Apr_Period_2_Tbl[[#All],[$ FREE PT]])+   SUMIF(May_Period_2_Tbl[[#All],[STAFF:]],$A8,May_Period_2_Tbl[[#All],[$ FREE PT]])+   SUMIF(Jun_Period_2_Tbl[[#All],[STAFF:]],$A8,Jun_Period_2_Tbl[[#All],[$ FREE PT]])+  SUMIF(Jul_Period_2_Tbl[[#All],[STAFF:]],$A8,Jul_Period_2_Tbl[[#All],[$ FREE PT]])+  SUMIF(Aug_Period_2_Tbl[[#All],[STAFF:]],$A8,Aug_Period_2_Tbl[[#All],[$ FREE PT]])+  SUMIF(Sep_Period_2_Tbl[[#All],[STAFF:]],$A8,Sep_Period_2_Tbl[[#All],[$ FREE PT]])+  SUMIF(Oct_Period_2_Tbl[[#All],[STAFF:]],$A8,Oct_Period_2_Tbl[[#All],[$ FREE PT]])+     SUMIF(Nov_Period_2_Tbl[[#All],[STAFF:]],$A8,Nov_Period_2_Tbl[[#All],[$ FREE PT]])+  SUMIF(Dec_Period_2_Tbl[[#All],[STAFF:]],$A8,Dec_Period_2_Tbl[[#All],[$ FREE PT]]))</f>
        <v>0</v>
      </c>
      <c r="K8" s="213">
        <f>(SUMIF(Jan_Period_1_Tbl[[#All],[STAFF:]],$A8,Jan_Period_1_Tbl[[#All],[$ PAID PT]])+
SUMIF(Feb_Period_1_Tbl[[#All],[STAFF:]],$A8,Feb_Period_1_Tbl[[#All],[$ PAID PT]])+SUMIF(Mar_Period_1_Tbl[[#All],[STAFF:]],$A8,Mar_Period_1_Tbl[[#All],[$ PAID PT]])+SUMIF(Apr_Period_1_Tbl[[#All],[STAFF:]],$A8,Apr_Period_1_Tbl[[#All],[$ PAID PT]])+   SUMIF(May_Period_1_Tbl[[#All],[STAFF:]],$A8,May_Period_1_Tbl[[#All],[$ PAID PT]])+   SUMIF(Jun_Period_1_Tbl[[#All],[STAFF:]],$A8,Jun_Period_1_Tbl[[#All],[$ PAID PT]])+  SUMIF(Jul_Period_1_Tbl[[#All],[STAFF:]],$A8,Jul_Period_1_Tbl[[#All],[$ PAID PT]])+  SUMIF(Aug_Period_1_Tbl[[#All],[STAFF:]],$A8,Aug_Period_1_Tbl[[#All],[$ PAID PT]])+  SUMIF(Sep_Period_1_Tbl[[#All],[STAFF:]],$A8,Sep_Period_1_Tbl[[#All],[$ PAID PT]])+  SUMIF(Oct_Period_1_Tbl[[#All],[STAFF:]],$A8,Oct_Period_1_Tbl[[#All],[$ PAID PT]])+     SUMIF(Nov_Period_1_Tbl[[#All],[STAFF:]],$A8,Nov_Period_1_Tbl[[#All],[$ PAID PT]])+  SUMIF(Dec_Period_1_Tbl[[#All],[STAFF:]],$A8,Dec_Period_1_Tbl[[#All],[$ PAID PT]]))+   (SUMIF(Jan_Period_2_Tbl[[#All],[STAFF:]],$A8,Jan_Period_2_Tbl[[#All],[$ PAID PT]])+
SUMIF(Feb_Period_2_Tbl[[#All],[STAFF:]],$A8,Feb_Period_2_Tbl[[#All],[$ PAID PT]])+SUMIF(Mar_Period_2_Tbl[[#All],[STAFF:]],$A8,Mar_Period_2_Tbl[[#All],[$ PAID PT]])+SUMIF(Apr_Period_2_Tbl[[#All],[STAFF:]],$A8,Apr_Period_2_Tbl[[#All],[$ PAID PT]])+   SUMIF(May_Period_2_Tbl[[#All],[STAFF:]],$A8,May_Period_2_Tbl[[#All],[$ PAID PT]])+   SUMIF(Jun_Period_2_Tbl[[#All],[STAFF:]],$A8,Jun_Period_2_Tbl[[#All],[$ PAID PT]])+  SUMIF(Jul_Period_2_Tbl[[#All],[STAFF:]],$A8,Jul_Period_2_Tbl[[#All],[$ PAID PT]])+  SUMIF(Aug_Period_2_Tbl[[#All],[STAFF:]],$A8,Aug_Period_2_Tbl[[#All],[$ PAID PT]])+  SUMIF(Sep_Period_2_Tbl[[#All],[STAFF:]],$A8,Sep_Period_2_Tbl[[#All],[$ PAID PT]])+  SUMIF(Oct_Period_2_Tbl[[#All],[STAFF:]],$A8,Oct_Period_2_Tbl[[#All],[$ PAID PT]])+     SUMIF(Nov_Period_2_Tbl[[#All],[STAFF:]],$A8,Nov_Period_2_Tbl[[#All],[$ PAID PT]])+  SUMIF(Dec_Period_2_Tbl[[#All],[STAFF:]],$A8,Dec_Period_2_Tbl[[#All],[$ PAID PT]]))</f>
        <v>0</v>
      </c>
      <c r="L8" s="213">
        <f>(SUMIF(Jan_Period_1_Tbl[[#All],[STAFF:]],$A8,Jan_Period_1_Tbl[[#All],[$ PT COMM]])+
SUMIF(Feb_Period_1_Tbl[[#All],[STAFF:]],$A8,Feb_Period_1_Tbl[[#All],[$ PT COMM]])+SUMIF(Mar_Period_1_Tbl[[#All],[STAFF:]],$A8,Mar_Period_1_Tbl[[#All],[$ PT COMM]])+SUMIF(Apr_Period_1_Tbl[[#All],[STAFF:]],$A8,Apr_Period_1_Tbl[[#All],[$ PT COMM]])+   SUMIF(May_Period_1_Tbl[[#All],[STAFF:]],$A8,May_Period_1_Tbl[[#All],[$ PT COMM]])+   SUMIF(Jun_Period_1_Tbl[[#All],[STAFF:]],$A8,Jun_Period_1_Tbl[[#All],[$ PT COMM]])+  SUMIF(Jul_Period_1_Tbl[[#All],[STAFF:]],$A8,Jul_Period_1_Tbl[[#All],[$ PT COMM]])+  SUMIF(Aug_Period_1_Tbl[[#All],[STAFF:]],$A8,Aug_Period_1_Tbl[[#All],[$ PT COMM]])+  SUMIF(Sep_Period_1_Tbl[[#All],[STAFF:]],$A8,Sep_Period_1_Tbl[[#All],[$ PT COMM]])+  SUMIF(Oct_Period_1_Tbl[[#All],[STAFF:]],$A8,Oct_Period_1_Tbl[[#All],[$ PT COMM]])+     SUMIF(Nov_Period_1_Tbl[[#All],[STAFF:]],$A8,Nov_Period_1_Tbl[[#All],[$ PT COMM]])+  SUMIF(Dec_Period_1_Tbl[[#All],[STAFF:]],$A8,Dec_Period_1_Tbl[[#All],[$ PT COMM]]))+   (SUMIF(Jan_Period_2_Tbl[[#All],[STAFF:]],$A8,Jan_Period_2_Tbl[[#All],[$ PT COMM]])+
SUMIF(Feb_Period_2_Tbl[[#All],[STAFF:]],$A8,Feb_Period_2_Tbl[[#All],[$ PT COMM]])+SUMIF(Mar_Period_2_Tbl[[#All],[STAFF:]],$A8,Mar_Period_2_Tbl[[#All],[$ PT COMM]])+SUMIF(Apr_Period_2_Tbl[[#All],[STAFF:]],$A8,Apr_Period_2_Tbl[[#All],[$ PT COMM]])+   SUMIF(May_Period_2_Tbl[[#All],[STAFF:]],$A8,May_Period_2_Tbl[[#All],[$ PT COMM]])+   SUMIF(Jun_Period_2_Tbl[[#All],[STAFF:]],$A8,Jun_Period_2_Tbl[[#All],[$ PT COMM]])+  SUMIF(Jul_Period_2_Tbl[[#All],[STAFF:]],$A8,Jul_Period_2_Tbl[[#All],[$ PT COMM]])+  SUMIF(Aug_Period_2_Tbl[[#All],[STAFF:]],$A8,Aug_Period_2_Tbl[[#All],[$ PT COMM]])+  SUMIF(Sep_Period_2_Tbl[[#All],[STAFF:]],$A8,Sep_Period_2_Tbl[[#All],[$ PT COMM]])+  SUMIF(Oct_Period_2_Tbl[[#All],[STAFF:]],$A8,Oct_Period_2_Tbl[[#All],[$ PT COMM]])+     SUMIF(Nov_Period_2_Tbl[[#All],[STAFF:]],$A8,Nov_Period_2_Tbl[[#All],[$ PT COMM]])+  SUMIF(Dec_Period_2_Tbl[[#All],[STAFF:]],$A8,Dec_Period_2_Tbl[[#All],[$ PT COMM]]))</f>
        <v>0</v>
      </c>
      <c r="M8" s="213">
        <f>(SUMIF(Jan_Period_1_Tbl[[#All],[STAFF:]],$A8,Jan_Period_1_Tbl[[#All],[$ EFT COMM]])+
SUMIF(Feb_Period_1_Tbl[[#All],[STAFF:]],$A8,Feb_Period_1_Tbl[[#All],[$ EFT COMM]])+SUMIF(Mar_Period_1_Tbl[[#All],[STAFF:]],$A8,Mar_Period_1_Tbl[[#All],[$ EFT COMM]])+SUMIF(Apr_Period_1_Tbl[[#All],[STAFF:]],$A8,Apr_Period_1_Tbl[[#All],[$ EFT COMM]])+   SUMIF(May_Period_1_Tbl[[#All],[STAFF:]],$A8,May_Period_1_Tbl[[#All],[$ EFT COMM]])+   SUMIF(Jun_Period_1_Tbl[[#All],[STAFF:]],$A8,Jun_Period_1_Tbl[[#All],[$ EFT COMM]])+  SUMIF(Jul_Period_1_Tbl[[#All],[STAFF:]],$A8,Jul_Period_1_Tbl[[#All],[$ EFT COMM]])+  SUMIF(Aug_Period_1_Tbl[[#All],[STAFF:]],$A8,Aug_Period_1_Tbl[[#All],[$ EFT COMM]])+  SUMIF(Sep_Period_1_Tbl[[#All],[STAFF:]],$A8,Sep_Period_1_Tbl[[#All],[$ EFT COMM]])+  SUMIF(Oct_Period_1_Tbl[[#All],[STAFF:]],$A8,Oct_Period_1_Tbl[[#All],[$ EFT COMM]])+     SUMIF(Nov_Period_1_Tbl[[#All],[STAFF:]],$A8,Nov_Period_1_Tbl[[#All],[$ EFT COMM]])+  SUMIF(Dec_Period_1_Tbl[[#All],[STAFF:]],$A8,Dec_Period_1_Tbl[[#All],[$ EFT COMM]]))+   (SUMIF(Jan_Period_2_Tbl[[#All],[STAFF:]],$A8,Jan_Period_2_Tbl[[#All],[$ EFT COMM]])+
SUMIF(Feb_Period_2_Tbl[[#All],[STAFF:]],$A8,Feb_Period_2_Tbl[[#All],[$ EFT COMM]])+SUMIF(Mar_Period_2_Tbl[[#All],[STAFF:]],$A8,Mar_Period_2_Tbl[[#All],[$ EFT COMM]])+SUMIF(Apr_Period_2_Tbl[[#All],[STAFF:]],$A8,Apr_Period_2_Tbl[[#All],[$ EFT COMM]])+   SUMIF(May_Period_2_Tbl[[#All],[STAFF:]],$A8,May_Period_2_Tbl[[#All],[$ EFT COMM]])+   SUMIF(Jun_Period_2_Tbl[[#All],[STAFF:]],$A8,Jun_Period_2_Tbl[[#All],[$ EFT COMM]])+  SUMIF(Jul_Period_2_Tbl[[#All],[STAFF:]],$A8,Jul_Period_2_Tbl[[#All],[$ EFT COMM]])+  SUMIF(Aug_Period_2_Tbl[[#All],[STAFF:]],$A8,Aug_Period_2_Tbl[[#All],[$ EFT COMM]])+  SUMIF(Sep_Period_2_Tbl[[#All],[STAFF:]],$A8,Sep_Period_2_Tbl[[#All],[$ EFT COMM]])+  SUMIF(Oct_Period_2_Tbl[[#All],[STAFF:]],$A8,Oct_Period_2_Tbl[[#All],[$ EFT COMM]])+     SUMIF(Nov_Period_2_Tbl[[#All],[STAFF:]],$A8,Nov_Period_2_Tbl[[#All],[$ EFT COMM]])+  SUMIF(Dec_Period_2_Tbl[[#All],[STAFF:]],$A8,Dec_Period_2_Tbl[[#All],[$ EFT COMM]]))</f>
        <v>0</v>
      </c>
      <c r="N8" s="213">
        <f>(SUMIF(Jan_Period_1_Tbl[[#All],[STAFF:]],$A8,Jan_Period_1_Tbl[[#All],[$ CLASS PAY]])+
SUMIF(Feb_Period_1_Tbl[[#All],[STAFF:]],$A8,Feb_Period_1_Tbl[[#All],[$ CLASS PAY]])+SUMIF(Mar_Period_1_Tbl[[#All],[STAFF:]],$A8,Mar_Period_1_Tbl[[#All],[$ CLASS PAY]])+SUMIF(Apr_Period_1_Tbl[[#All],[STAFF:]],$A8,Apr_Period_1_Tbl[[#All],[$ CLASS PAY]])+   SUMIF(May_Period_1_Tbl[[#All],[STAFF:]],$A8,May_Period_1_Tbl[[#All],[$ CLASS PAY]])+   SUMIF(Jun_Period_1_Tbl[[#All],[STAFF:]],$A8,Jun_Period_1_Tbl[[#All],[$ CLASS PAY]])+  SUMIF(Jul_Period_1_Tbl[[#All],[STAFF:]],$A8,Jul_Period_1_Tbl[[#All],[$ CLASS PAY]])+  SUMIF(Aug_Period_1_Tbl[[#All],[STAFF:]],$A8,Aug_Period_1_Tbl[[#All],[$ CLASS PAY]])+  SUMIF(Sep_Period_1_Tbl[[#All],[STAFF:]],$A8,Sep_Period_1_Tbl[[#All],[$ CLASS PAY]])+  SUMIF(Oct_Period_1_Tbl[[#All],[STAFF:]],$A8,Oct_Period_1_Tbl[[#All],[$ CLASS PAY]])+     SUMIF(Nov_Period_1_Tbl[[#All],[STAFF:]],$A8,Nov_Period_1_Tbl[[#All],[$ CLASS PAY]])+  SUMIF(Dec_Period_1_Tbl[[#All],[STAFF:]],$A8,Dec_Period_1_Tbl[[#All],[$ CLASS PAY]]))+   (SUMIF(Jan_Period_2_Tbl[[#All],[STAFF:]],$A8,Jan_Period_2_Tbl[[#All],[$ CLASS PAY]])+
SUMIF(Feb_Period_2_Tbl[[#All],[STAFF:]],$A8,Feb_Period_2_Tbl[[#All],[$ CLASS PAY]])+SUMIF(Mar_Period_2_Tbl[[#All],[STAFF:]],$A8,Mar_Period_2_Tbl[[#All],[$ CLASS PAY]])+SUMIF(Apr_Period_2_Tbl[[#All],[STAFF:]],$A8,Apr_Period_2_Tbl[[#All],[$ CLASS PAY]])+   SUMIF(May_Period_2_Tbl[[#All],[STAFF:]],$A8,May_Period_2_Tbl[[#All],[$ CLASS PAY]])+   SUMIF(Jun_Period_2_Tbl[[#All],[STAFF:]],$A8,Jun_Period_2_Tbl[[#All],[$ CLASS PAY]])+  SUMIF(Jul_Period_2_Tbl[[#All],[STAFF:]],$A8,Jul_Period_2_Tbl[[#All],[$ CLASS PAY]])+  SUMIF(Aug_Period_2_Tbl[[#All],[STAFF:]],$A8,Aug_Period_2_Tbl[[#All],[$ CLASS PAY]])+  SUMIF(Sep_Period_2_Tbl[[#All],[STAFF:]],$A8,Sep_Period_2_Tbl[[#All],[$ CLASS PAY]])+  SUMIF(Oct_Period_2_Tbl[[#All],[STAFF:]],$A8,Oct_Period_2_Tbl[[#All],[$ CLASS PAY]])+     SUMIF(Nov_Period_2_Tbl[[#All],[STAFF:]],$A8,Nov_Period_2_Tbl[[#All],[$ CLASS PAY]])+  SUMIF(Dec_Period_2_Tbl[[#All],[STAFF:]],$A8,Dec_Period_2_Tbl[[#All],[$ CLASS PAY]]))</f>
        <v>0</v>
      </c>
      <c r="O8" s="214">
        <f>(SUMIF(Jan_Period_1_Tbl[[#All],[STAFF:]],$A8,Jan_Period_1_Tbl[[#All],[$ BONUS PAY]])+
SUMIF(Feb_Period_1_Tbl[[#All],[STAFF:]],$A8,Feb_Period_1_Tbl[[#All],[$ BONUS PAY]])+SUMIF(Mar_Period_1_Tbl[[#All],[STAFF:]],$A8,Mar_Period_1_Tbl[[#All],[$ BONUS PAY]])+SUMIF(Apr_Period_1_Tbl[[#All],[STAFF:]],$A8,Apr_Period_1_Tbl[[#All],[$ BONUS PAY]])+   SUMIF(May_Period_1_Tbl[[#All],[STAFF:]],$A8,May_Period_1_Tbl[[#All],[$ BONUS PAY]])+   SUMIF(Jun_Period_1_Tbl[[#All],[STAFF:]],$A8,Jun_Period_1_Tbl[[#All],[$ BONUS PAY]])+  SUMIF(Jul_Period_1_Tbl[[#All],[STAFF:]],$A8,Jul_Period_1_Tbl[[#All],[$ BONUS PAY]])+  SUMIF(Aug_Period_1_Tbl[[#All],[STAFF:]],$A8,Aug_Period_1_Tbl[[#All],[$ BONUS PAY]])+  SUMIF(Sep_Period_1_Tbl[[#All],[STAFF:]],$A8,Sep_Period_1_Tbl[[#All],[$ BONUS PAY]])+  SUMIF(Oct_Period_1_Tbl[[#All],[STAFF:]],$A8,Oct_Period_1_Tbl[[#All],[$ BONUS PAY]])+     SUMIF(Nov_Period_1_Tbl[[#All],[STAFF:]],$A8,Nov_Period_1_Tbl[[#All],[$ BONUS PAY]])+  SUMIF(Dec_Period_1_Tbl[[#All],[STAFF:]],$A8,Dec_Period_1_Tbl[[#All],[$ BONUS PAY]]))+   (SUMIF(Jan_Period_2_Tbl[[#All],[STAFF:]],$A8,Jan_Period_2_Tbl[[#All],[$ BONUS PAY]])+
SUMIF(Feb_Period_2_Tbl[[#All],[STAFF:]],$A8,Feb_Period_2_Tbl[[#All],[$ BONUS PAY]])+SUMIF(Mar_Period_2_Tbl[[#All],[STAFF:]],$A8,Mar_Period_2_Tbl[[#All],[$ BONUS PAY]])+SUMIF(Apr_Period_2_Tbl[[#All],[STAFF:]],$A8,Apr_Period_2_Tbl[[#All],[$ BONUS PAY]])+   SUMIF(May_Period_2_Tbl[[#All],[STAFF:]],$A8,May_Period_2_Tbl[[#All],[$ BONUS PAY]])+   SUMIF(Jun_Period_2_Tbl[[#All],[STAFF:]],$A8,Jun_Period_2_Tbl[[#All],[$ BONUS PAY]])+  SUMIF(Jul_Period_2_Tbl[[#All],[STAFF:]],$A8,Jul_Period_2_Tbl[[#All],[$ BONUS PAY]])+  SUMIF(Aug_Period_2_Tbl[[#All],[STAFF:]],$A8,Aug_Period_2_Tbl[[#All],[$ BONUS PAY]])+  SUMIF(Sep_Period_2_Tbl[[#All],[STAFF:]],$A8,Sep_Period_2_Tbl[[#All],[$ BONUS PAY]])+  SUMIF(Oct_Period_2_Tbl[[#All],[STAFF:]],$A8,Oct_Period_2_Tbl[[#All],[$ BONUS PAY]])+     SUMIF(Nov_Period_2_Tbl[[#All],[STAFF:]],$A8,Nov_Period_2_Tbl[[#All],[$ BONUS PAY]])+  SUMIF(Dec_Period_2_Tbl[[#All],[STAFF:]],$A8,Dec_Period_2_Tbl[[#All],[$ BONUS PAY]]))</f>
        <v>0</v>
      </c>
      <c r="P8" s="215">
        <f t="shared" si="0"/>
        <v>0</v>
      </c>
      <c r="Q8" s="149"/>
      <c r="R8" s="174">
        <f>(SUMIF(Jan_Period_1_Tbl[[#All],[STAFF:]],$A8,Jan_Period_1_Tbl[[#All],['# POINTS EARNED]])+
SUMIF(Feb_Period_1_Tbl[[#All],[STAFF:]],$A8,Feb_Period_1_Tbl[[#All],['# POINTS EARNED]])+SUMIF(Mar_Period_1_Tbl[[#All],[STAFF:]],$A8,Mar_Period_1_Tbl[[#All],['# POINTS EARNED]])+SUMIF(Apr_Period_1_Tbl[[#All],[STAFF:]],$A8,Apr_Period_1_Tbl[[#All],['# POINTS EARNED]])+   SUMIF(May_Period_1_Tbl[[#All],[STAFF:]],$A8,May_Period_1_Tbl[[#All],['# POINTS EARNED]])+   SUMIF(Jun_Period_1_Tbl[[#All],[STAFF:]],$A8,Jun_Period_1_Tbl[[#All],['# POINTS EARNED]])+  SUMIF(Jul_Period_1_Tbl[[#All],[STAFF:]],$A8,Jul_Period_1_Tbl[[#All],['# POINTS EARNED]])+  SUMIF(Aug_Period_1_Tbl[[#All],[STAFF:]],$A8,Aug_Period_1_Tbl[[#All],['# POINTS EARNED]])+  SUMIF(Sep_Period_1_Tbl[[#All],[STAFF:]],$A8,Sep_Period_1_Tbl[[#All],['# POINTS EARNED]])+  SUMIF(Oct_Period_1_Tbl[[#All],[STAFF:]],$A8,Oct_Period_1_Tbl[[#All],['# POINTS EARNED]])+     SUMIF(Nov_Period_1_Tbl[[#All],[STAFF:]],$A8,Nov_Period_1_Tbl[[#All],['# POINTS EARNED]])+  SUMIF(Dec_Period_1_Tbl[[#All],[STAFF:]],$A8,Dec_Period_1_Tbl[[#All],['# POINTS EARNED]]))+   (SUMIF(Jan_Period_2_Tbl[[#All],[STAFF:]],$A8,Jan_Period_2_Tbl[[#All],['# POINTS EARNED]])+
SUMIF(Feb_Period_2_Tbl[[#All],[STAFF:]],$A8,Feb_Period_2_Tbl[[#All],['# POINTS EARNED]])+SUMIF(Mar_Period_2_Tbl[[#All],[STAFF:]],$A8,Mar_Period_2_Tbl[[#All],['# POINTS EARNED]])+SUMIF(Apr_Period_2_Tbl[[#All],[STAFF:]],$A8,Apr_Period_2_Tbl[[#All],['# POINTS EARNED]])+   SUMIF(May_Period_2_Tbl[[#All],[STAFF:]],$A8,May_Period_2_Tbl[[#All],['# POINTS EARNED]])+   SUMIF(Jun_Period_2_Tbl[[#All],[STAFF:]],$A8,Jun_Period_2_Tbl[[#All],['# POINTS EARNED]])+  SUMIF(Jul_Period_2_Tbl[[#All],[STAFF:]],$A8,Jul_Period_2_Tbl[[#All],['# POINTS EARNED]])+  SUMIF(Aug_Period_2_Tbl[[#All],[STAFF:]],$A8,Aug_Period_2_Tbl[[#All],['# POINTS EARNED]])+  SUMIF(Sep_Period_2_Tbl[[#All],[STAFF:]],$A8,Sep_Period_2_Tbl[[#All],['# POINTS EARNED]])+  SUMIF(Oct_Period_2_Tbl[[#All],[STAFF:]],$A8,Oct_Period_2_Tbl[[#All],['# POINTS EARNED]])+     SUMIF(Nov_Period_2_Tbl[[#All],[STAFF:]],$A8,Nov_Period_2_Tbl[[#All],['# POINTS EARNED]])+  SUMIF(Dec_Period_2_Tbl[[#All],[STAFF:]],$A8,Dec_Period_2_Tbl[[#All],['# POINTS EARNED]]))</f>
        <v>0</v>
      </c>
      <c r="S8" s="174">
        <f>(SUMIF(Jan_Period_1_Tbl[[#All],[STAFF:]],$A8,Jan_Period_1_Tbl[[#All],['# POINTS USED]])+
SUMIF(Feb_Period_1_Tbl[[#All],[STAFF:]],$A8,Feb_Period_1_Tbl[[#All],['# POINTS USED]])+SUMIF(Mar_Period_1_Tbl[[#All],[STAFF:]],$A8,Mar_Period_1_Tbl[[#All],['# POINTS USED]])+SUMIF(Apr_Period_1_Tbl[[#All],[STAFF:]],$A8,Apr_Period_1_Tbl[[#All],['# POINTS USED]])+   SUMIF(May_Period_1_Tbl[[#All],[STAFF:]],$A8,May_Period_1_Tbl[[#All],['# POINTS USED]])+   SUMIF(Jun_Period_1_Tbl[[#All],[STAFF:]],$A8,Jun_Period_1_Tbl[[#All],['# POINTS USED]])+  SUMIF(Jul_Period_1_Tbl[[#All],[STAFF:]],$A8,Jul_Period_1_Tbl[[#All],['# POINTS USED]])+  SUMIF(Aug_Period_1_Tbl[[#All],[STAFF:]],$A8,Aug_Period_1_Tbl[[#All],['# POINTS USED]])+  SUMIF(Sep_Period_1_Tbl[[#All],[STAFF:]],$A8,Sep_Period_1_Tbl[[#All],['# POINTS USED]])+  SUMIF(Oct_Period_1_Tbl[[#All],[STAFF:]],$A8,Oct_Period_1_Tbl[[#All],['# POINTS USED]])+     SUMIF(Nov_Period_1_Tbl[[#All],[STAFF:]],$A8,Nov_Period_1_Tbl[[#All],['# POINTS USED]])+  SUMIF(Dec_Period_1_Tbl[[#All],[STAFF:]],$A8,Dec_Period_1_Tbl[[#All],['# POINTS USED]]))+   (SUMIF(Jan_Period_2_Tbl[[#All],[STAFF:]],$A8,Jan_Period_2_Tbl[[#All],['# POINTS USED]])+
SUMIF(Feb_Period_2_Tbl[[#All],[STAFF:]],$A8,Feb_Period_2_Tbl[[#All],['# POINTS USED]])+SUMIF(Mar_Period_2_Tbl[[#All],[STAFF:]],$A8,Mar_Period_2_Tbl[[#All],['# POINTS USED]])+SUMIF(Apr_Period_2_Tbl[[#All],[STAFF:]],$A8,Apr_Period_2_Tbl[[#All],['# POINTS USED]])+   SUMIF(May_Period_2_Tbl[[#All],[STAFF:]],$A8,May_Period_2_Tbl[[#All],['# POINTS USED]])+   SUMIF(Jun_Period_2_Tbl[[#All],[STAFF:]],$A8,Jun_Period_2_Tbl[[#All],['# POINTS USED]])+  SUMIF(Jul_Period_2_Tbl[[#All],[STAFF:]],$A8,Jul_Period_2_Tbl[[#All],['# POINTS USED]])+  SUMIF(Aug_Period_2_Tbl[[#All],[STAFF:]],$A8,Aug_Period_2_Tbl[[#All],['# POINTS USED]])+  SUMIF(Sep_Period_2_Tbl[[#All],[STAFF:]],$A8,Sep_Period_2_Tbl[[#All],['# POINTS USED]])+  SUMIF(Oct_Period_2_Tbl[[#All],[STAFF:]],$A8,Oct_Period_2_Tbl[[#All],['# POINTS USED]])+     SUMIF(Nov_Period_2_Tbl[[#All],[STAFF:]],$A8,Nov_Period_2_Tbl[[#All],['# POINTS USED]])+  SUMIF(Dec_Period_2_Tbl[[#All],[STAFF:]],$A8,Dec_Period_2_Tbl[[#All],['# POINTS USED]]))</f>
        <v>0</v>
      </c>
      <c r="T8" s="174">
        <f>(SUMIF(Jan_Period_1_Tbl[[#All],[STAFF:]],$A8,Jan_Period_1_Tbl[[#All],['# CLASSES LEAD]])+
SUMIF(Feb_Period_1_Tbl[[#All],[STAFF:]],$A8,Feb_Period_1_Tbl[[#All],['# CLASSES LEAD]])+SUMIF(Mar_Period_1_Tbl[[#All],[STAFF:]],$A8,Mar_Period_1_Tbl[[#All],['# CLASSES LEAD]])+SUMIF(Apr_Period_1_Tbl[[#All],[STAFF:]],$A8,Apr_Period_1_Tbl[[#All],['# CLASSES LEAD]])+   SUMIF(May_Period_1_Tbl[[#All],[STAFF:]],$A8,May_Period_1_Tbl[[#All],['# CLASSES LEAD]])+   SUMIF(Jun_Period_1_Tbl[[#All],[STAFF:]],$A8,Jun_Period_1_Tbl[[#All],['# CLASSES LEAD]])+  SUMIF(Jul_Period_1_Tbl[[#All],[STAFF:]],$A8,Jul_Period_1_Tbl[[#All],['# CLASSES LEAD]])+  SUMIF(Aug_Period_1_Tbl[[#All],[STAFF:]],$A8,Aug_Period_1_Tbl[[#All],['# CLASSES LEAD]])+  SUMIF(Sep_Period_1_Tbl[[#All],[STAFF:]],$A8,Sep_Period_1_Tbl[[#All],['# CLASSES LEAD]])+  SUMIF(Oct_Period_1_Tbl[[#All],[STAFF:]],$A8,Oct_Period_1_Tbl[[#All],['# CLASSES LEAD]])+     SUMIF(Nov_Period_1_Tbl[[#All],[STAFF:]],$A8,Nov_Period_1_Tbl[[#All],['# CLASSES LEAD]])+  SUMIF(Dec_Period_1_Tbl[[#All],[STAFF:]],$A8,Dec_Period_1_Tbl[[#All],['# CLASSES LEAD]]))+   (SUMIF(Jan_Period_2_Tbl[[#All],[STAFF:]],$A8,Jan_Period_2_Tbl[[#All],['# CLASSES LEAD]])+
SUMIF(Feb_Period_2_Tbl[[#All],[STAFF:]],$A8,Feb_Period_2_Tbl[[#All],['# CLASSES LEAD]])+SUMIF(Mar_Period_2_Tbl[[#All],[STAFF:]],$A8,Mar_Period_2_Tbl[[#All],['# CLASSES LEAD]])+SUMIF(Apr_Period_2_Tbl[[#All],[STAFF:]],$A8,Apr_Period_2_Tbl[[#All],['# CLASSES LEAD]])+   SUMIF(May_Period_2_Tbl[[#All],[STAFF:]],$A8,May_Period_2_Tbl[[#All],['# CLASSES LEAD]])+   SUMIF(Jun_Period_2_Tbl[[#All],[STAFF:]],$A8,Jun_Period_2_Tbl[[#All],['# CLASSES LEAD]])+  SUMIF(Jul_Period_2_Tbl[[#All],[STAFF:]],$A8,Jul_Period_2_Tbl[[#All],['# CLASSES LEAD]])+  SUMIF(Aug_Period_2_Tbl[[#All],[STAFF:]],$A8,Aug_Period_2_Tbl[[#All],['# CLASSES LEAD]])+  SUMIF(Sep_Period_2_Tbl[[#All],[STAFF:]],$A8,Sep_Period_2_Tbl[[#All],['# CLASSES LEAD]])+  SUMIF(Oct_Period_2_Tbl[[#All],[STAFF:]],$A8,Oct_Period_2_Tbl[[#All],['# CLASSES LEAD]])+     SUMIF(Nov_Period_2_Tbl[[#All],[STAFF:]],$A8,Nov_Period_2_Tbl[[#All],['# CLASSES LEAD]])+  SUMIF(Dec_Period_2_Tbl[[#All],[STAFF:]],$A8,Dec_Period_2_Tbl[[#All],['# CLASSES LEAD]]))</f>
        <v>0</v>
      </c>
      <c r="U8" s="174">
        <f>(SUMIF(Jan_Period_1_Tbl[[#All],[STAFF:]],$A8,Jan_Period_1_Tbl[[#All],['# CLASSES SHOW]])+
SUMIF(Feb_Period_1_Tbl[[#All],[STAFF:]],$A8,Feb_Period_1_Tbl[[#All],['# CLASSES SHOW]])+SUMIF(Mar_Period_1_Tbl[[#All],[STAFF:]],$A8,Mar_Period_1_Tbl[[#All],['# CLASSES SHOW]])+SUMIF(Apr_Period_1_Tbl[[#All],[STAFF:]],$A8,Apr_Period_1_Tbl[[#All],['# CLASSES SHOW]])+   SUMIF(May_Period_1_Tbl[[#All],[STAFF:]],$A8,May_Period_1_Tbl[[#All],['# CLASSES SHOW]])+   SUMIF(Jun_Period_1_Tbl[[#All],[STAFF:]],$A8,Jun_Period_1_Tbl[[#All],['# CLASSES SHOW]])+  SUMIF(Jul_Period_1_Tbl[[#All],[STAFF:]],$A8,Jul_Period_1_Tbl[[#All],['# CLASSES SHOW]])+  SUMIF(Aug_Period_1_Tbl[[#All],[STAFF:]],$A8,Aug_Period_1_Tbl[[#All],['# CLASSES SHOW]])+  SUMIF(Sep_Period_1_Tbl[[#All],[STAFF:]],$A8,Sep_Period_1_Tbl[[#All],['# CLASSES SHOW]])+  SUMIF(Oct_Period_1_Tbl[[#All],[STAFF:]],$A8,Oct_Period_1_Tbl[[#All],['# CLASSES SHOW]])+     SUMIF(Nov_Period_1_Tbl[[#All],[STAFF:]],$A8,Nov_Period_1_Tbl[[#All],['# CLASSES SHOW]])+  SUMIF(Dec_Period_1_Tbl[[#All],[STAFF:]],$A8,Dec_Period_1_Tbl[[#All],['# CLASSES SHOW]]))+   (SUMIF(Jan_Period_2_Tbl[[#All],[STAFF:]],$A8,Jan_Period_2_Tbl[[#All],['# CLASSES SHOW]])+
SUMIF(Feb_Period_2_Tbl[[#All],[STAFF:]],$A8,Feb_Period_2_Tbl[[#All],['# CLASSES SHOW]])+SUMIF(Mar_Period_2_Tbl[[#All],[STAFF:]],$A8,Mar_Period_2_Tbl[[#All],['# CLASSES SHOW]])+SUMIF(Apr_Period_2_Tbl[[#All],[STAFF:]],$A8,Apr_Period_2_Tbl[[#All],['# CLASSES SHOW]])+   SUMIF(May_Period_2_Tbl[[#All],[STAFF:]],$A8,May_Period_2_Tbl[[#All],['# CLASSES SHOW]])+   SUMIF(Jun_Period_2_Tbl[[#All],[STAFF:]],$A8,Jun_Period_2_Tbl[[#All],['# CLASSES SHOW]])+  SUMIF(Jul_Period_2_Tbl[[#All],[STAFF:]],$A8,Jul_Period_2_Tbl[[#All],['# CLASSES SHOW]])+  SUMIF(Aug_Period_2_Tbl[[#All],[STAFF:]],$A8,Aug_Period_2_Tbl[[#All],['# CLASSES SHOW]])+  SUMIF(Sep_Period_2_Tbl[[#All],[STAFF:]],$A8,Sep_Period_2_Tbl[[#All],['# CLASSES SHOW]])+  SUMIF(Oct_Period_2_Tbl[[#All],[STAFF:]],$A8,Oct_Period_2_Tbl[[#All],['# CLASSES SHOW]])+     SUMIF(Nov_Period_2_Tbl[[#All],[STAFF:]],$A8,Nov_Period_2_Tbl[[#All],['# CLASSES SHOW]])+  SUMIF(Dec_Period_2_Tbl[[#All],[STAFF:]],$A8,Dec_Period_2_Tbl[[#All],['# CLASSES SHOW]]))</f>
        <v>0</v>
      </c>
      <c r="V8" s="156"/>
      <c r="W8" s="156"/>
      <c r="X8" s="216">
        <f t="shared" si="1"/>
        <v>0</v>
      </c>
      <c r="Y8" s="216">
        <f t="shared" si="2"/>
        <v>0</v>
      </c>
      <c r="Z8" s="216">
        <f t="shared" si="3"/>
        <v>0</v>
      </c>
      <c r="AA8" s="216">
        <f t="shared" si="4"/>
        <v>0</v>
      </c>
      <c r="AB8" s="216">
        <f t="shared" si="5"/>
        <v>0</v>
      </c>
      <c r="AC8" s="216">
        <f t="shared" si="6"/>
        <v>0</v>
      </c>
      <c r="AD8" s="216">
        <f t="shared" si="7"/>
        <v>0</v>
      </c>
      <c r="AE8" s="149"/>
      <c r="AF8" s="149"/>
      <c r="AG8" s="149"/>
      <c r="AH8" s="149"/>
      <c r="AJ8" s="75" t="str">
        <f t="shared" si="8"/>
        <v>bDeactivate</v>
      </c>
      <c r="AK8" s="210"/>
      <c r="AL8" s="168">
        <f>IFERROR(VLOOKUP(B8,List!$A:$B,2,FALSE),-1)</f>
        <v>0</v>
      </c>
      <c r="AM8" s="168">
        <f>IFERROR(VLOOKUP(C8,List!$A:$B,2,FALSE),-1)</f>
        <v>1</v>
      </c>
      <c r="AN8" s="203" t="s">
        <v>153</v>
      </c>
    </row>
    <row r="9" spans="1:40" ht="15" hidden="1" customHeight="1" x14ac:dyDescent="0.25">
      <c r="A9" s="20"/>
      <c r="B9" s="186"/>
      <c r="C9" s="186"/>
      <c r="D9" s="187"/>
      <c r="E9" s="188">
        <f>(SUMIF(Jan_Period_1_Tbl[[#All],[STAFF:]],$A9,Jan_Period_1_Tbl[[#All],['# PTO USED]])+
SUMIF(Feb_Period_1_Tbl[[#All],[STAFF:]],$A9,Feb_Period_1_Tbl[[#All],['# PTO USED]])+SUMIF(Mar_Period_1_Tbl[[#All],[STAFF:]],$A9,Mar_Period_1_Tbl[[#All],['# PTO USED]])+SUMIF(Apr_Period_1_Tbl[[#All],[STAFF:]],$A9,Apr_Period_1_Tbl[[#All],['# PTO USED]])+   SUMIF(May_Period_1_Tbl[[#All],[STAFF:]],$A9,May_Period_1_Tbl[[#All],['# PTO USED]])+   SUMIF(Jun_Period_1_Tbl[[#All],[STAFF:]],$A9,Jun_Period_1_Tbl[[#All],['# PTO USED]])+  SUMIF(Jul_Period_1_Tbl[[#All],[STAFF:]],$A9,Jul_Period_1_Tbl[[#All],['# PTO USED]])+  SUMIF(Aug_Period_1_Tbl[[#All],[STAFF:]],$A9,Aug_Period_1_Tbl[[#All],['# PTO USED]])+  SUMIF(Sep_Period_1_Tbl[[#All],[STAFF:]],$A9,Sep_Period_1_Tbl[[#All],['# PTO USED]])+  SUMIF(Oct_Period_1_Tbl[[#All],[STAFF:]],$A9,Oct_Period_1_Tbl[[#All],['# PTO USED]])+     SUMIF(Nov_Period_1_Tbl[[#All],[STAFF:]],$A9,Nov_Period_1_Tbl[[#All],['# PTO USED]])+  SUMIF(Dec_Period_1_Tbl[[#All],[STAFF:]],$A9,Dec_Period_1_Tbl[[#All],['# PTO USED]]))+   (SUMIF(Jan_Period_2_Tbl[[#All],[STAFF:]],$A9,Jan_Period_2_Tbl[[#All],['# PTO USED]])+
SUMIF(Feb_Period_2_Tbl[[#All],[STAFF:]],$A9,Feb_Period_2_Tbl[[#All],['# PTO USED]])+SUMIF(Mar_Period_2_Tbl[[#All],[STAFF:]],$A9,Mar_Period_2_Tbl[[#All],['# PTO USED]])+SUMIF(Apr_Period_2_Tbl[[#All],[STAFF:]],$A9,Apr_Period_2_Tbl[[#All],['# PTO USED]])+   SUMIF(May_Period_2_Tbl[[#All],[STAFF:]],$A9,May_Period_2_Tbl[[#All],['# PTO USED]])+   SUMIF(Jun_Period_2_Tbl[[#All],[STAFF:]],$A9,Jun_Period_2_Tbl[[#All],['# PTO USED]])+  SUMIF(Jul_Period_2_Tbl[[#All],[STAFF:]],$A9,Jul_Period_2_Tbl[[#All],['# PTO USED]])+  SUMIF(Aug_Period_2_Tbl[[#All],[STAFF:]],$A9,Aug_Period_2_Tbl[[#All],['# PTO USED]])+  SUMIF(Sep_Period_2_Tbl[[#All],[STAFF:]],$A9,Sep_Period_2_Tbl[[#All],['# PTO USED]])+  SUMIF(Oct_Period_2_Tbl[[#All],[STAFF:]],$A9,Oct_Period_2_Tbl[[#All],['# PTO USED]])+     SUMIF(Nov_Period_2_Tbl[[#All],[STAFF:]],$A9,Nov_Period_2_Tbl[[#All],['# PTO USED]])+  SUMIF(Dec_Period_2_Tbl[[#All],[STAFF:]],$A9,Dec_Period_2_Tbl[[#All],['# PTO USED]]))</f>
        <v>0</v>
      </c>
      <c r="F9" s="189">
        <f>(SUMIF(Jan_Period_1_Tbl[[#All],[STAFF:]],$A9,Jan_Period_1_Tbl[[#All],['# HRS WORKED]])+
SUMIF(Feb_Period_1_Tbl[[#All],[STAFF:]],$A9,Feb_Period_1_Tbl[[#All],['# HRS WORKED]])+SUMIF(Mar_Period_1_Tbl[[#All],[STAFF:]],$A9,Mar_Period_1_Tbl[[#All],['# HRS WORKED]])+SUMIF(Apr_Period_1_Tbl[[#All],[STAFF:]],$A9,Apr_Period_1_Tbl[[#All],['# HRS WORKED]])+   SUMIF(May_Period_1_Tbl[[#All],[STAFF:]],$A9,May_Period_1_Tbl[[#All],['# HRS WORKED]])+   SUMIF(Jun_Period_1_Tbl[[#All],[STAFF:]],$A9,Jun_Period_1_Tbl[[#All],['# HRS WORKED]])+  SUMIF(Jul_Period_1_Tbl[[#All],[STAFF:]],$A9,Jul_Period_1_Tbl[[#All],['# HRS WORKED]])+  SUMIF(Aug_Period_1_Tbl[[#All],[STAFF:]],$A9,Aug_Period_1_Tbl[[#All],['# HRS WORKED]])+  SUMIF(Sep_Period_1_Tbl[[#All],[STAFF:]],$A9,Sep_Period_1_Tbl[[#All],['# HRS WORKED]])+  SUMIF(Oct_Period_1_Tbl[[#All],[STAFF:]],$A9,Oct_Period_1_Tbl[[#All],['# HRS WORKED]])+     SUMIF(Nov_Period_1_Tbl[[#All],[STAFF:]],$A9,Nov_Period_1_Tbl[[#All],['# HRS WORKED]])+  SUMIF(Dec_Period_1_Tbl[[#All],[STAFF:]],$A9,Dec_Period_1_Tbl[[#All],['# HRS WORKED]]))+   (SUMIF(Jan_Period_2_Tbl[[#All],[STAFF:]],$A9,Jan_Period_2_Tbl[[#All],['# HRS WORKED]])+
SUMIF(Feb_Period_2_Tbl[[#All],[STAFF:]],$A9,Feb_Period_2_Tbl[[#All],['# HRS WORKED]])+SUMIF(Mar_Period_2_Tbl[[#All],[STAFF:]],$A9,Mar_Period_2_Tbl[[#All],['# HRS WORKED]])+SUMIF(Apr_Period_2_Tbl[[#All],[STAFF:]],$A9,Apr_Period_2_Tbl[[#All],['# HRS WORKED]])+   SUMIF(May_Period_2_Tbl[[#All],[STAFF:]],$A9,May_Period_2_Tbl[[#All],['# HRS WORKED]])+   SUMIF(Jun_Period_2_Tbl[[#All],[STAFF:]],$A9,Jun_Period_2_Tbl[[#All],['# HRS WORKED]])+  SUMIF(Jul_Period_2_Tbl[[#All],[STAFF:]],$A9,Jul_Period_2_Tbl[[#All],['# HRS WORKED]])+  SUMIF(Aug_Period_2_Tbl[[#All],[STAFF:]],$A9,Aug_Period_2_Tbl[[#All],['# HRS WORKED]])+  SUMIF(Sep_Period_2_Tbl[[#All],[STAFF:]],$A9,Sep_Period_2_Tbl[[#All],['# HRS WORKED]])+  SUMIF(Oct_Period_2_Tbl[[#All],[STAFF:]],$A9,Oct_Period_2_Tbl[[#All],['# HRS WORKED]])+     SUMIF(Nov_Period_2_Tbl[[#All],[STAFF:]],$A9,Nov_Period_2_Tbl[[#All],['# HRS WORKED]])+  SUMIF(Dec_Period_2_Tbl[[#All],[STAFF:]],$A9,Dec_Period_2_Tbl[[#All],['# HRS WORKED]]))</f>
        <v>0</v>
      </c>
      <c r="G9" s="190">
        <f>(SUMIF(Jan_Period_1_Tbl[[#All],[STAFF:]],$A9,Jan_Period_1_Tbl[[#All],[$ Hourly WAGES]])+
SUMIF(Feb_Period_1_Tbl[[#All],[STAFF:]],$A9,Feb_Period_1_Tbl[[#All],[$ Hourly WAGES]])+SUMIF(Mar_Period_1_Tbl[[#All],[STAFF:]],$A9,Mar_Period_1_Tbl[[#All],[$ Hourly WAGES]])+SUMIF(Apr_Period_1_Tbl[[#All],[STAFF:]],$A9,Apr_Period_1_Tbl[[#All],[$ Hourly WAGES]])+   SUMIF(May_Period_1_Tbl[[#All],[STAFF:]],$A9,May_Period_1_Tbl[[#All],[$ Hourly WAGES]])+   SUMIF(Jun_Period_1_Tbl[[#All],[STAFF:]],$A9,Jun_Period_1_Tbl[[#All],[$ Hourly WAGES]])+  SUMIF(Jul_Period_1_Tbl[[#All],[STAFF:]],$A9,Jul_Period_1_Tbl[[#All],[$ Hourly WAGES]])+  SUMIF(Aug_Period_1_Tbl[[#All],[STAFF:]],$A9,Aug_Period_1_Tbl[[#All],[$ Hourly WAGES]])+  SUMIF(Sep_Period_1_Tbl[[#All],[STAFF:]],$A9,Sep_Period_1_Tbl[[#All],[$ Hourly WAGES]])+  SUMIF(Oct_Period_1_Tbl[[#All],[STAFF:]],$A9,Oct_Period_1_Tbl[[#All],[$ Hourly WAGES]])+     SUMIF(Nov_Period_1_Tbl[[#All],[STAFF:]],$A9,Nov_Period_1_Tbl[[#All],[$ Hourly WAGES]])+  SUMIF(Dec_Period_1_Tbl[[#All],[STAFF:]],$A9,Dec_Period_1_Tbl[[#All],[$ Hourly WAGES]]))+   (SUMIF(Jan_Period_2_Tbl[[#All],[STAFF:]],$A9,Jan_Period_2_Tbl[[#All],[$ Hourly WAGES]])+
SUMIF(Feb_Period_2_Tbl[[#All],[STAFF:]],$A9,Feb_Period_2_Tbl[[#All],[$ Hourly WAGES]])+SUMIF(Mar_Period_2_Tbl[[#All],[STAFF:]],$A9,Mar_Period_2_Tbl[[#All],[$ Hourly WAGES]])+SUMIF(Apr_Period_2_Tbl[[#All],[STAFF:]],$A9,Apr_Period_2_Tbl[[#All],[$ Hourly WAGES]])+   SUMIF(May_Period_2_Tbl[[#All],[STAFF:]],$A9,May_Period_2_Tbl[[#All],[$ Hourly WAGES]])+   SUMIF(Jun_Period_2_Tbl[[#All],[STAFF:]],$A9,Jun_Period_2_Tbl[[#All],[$ Hourly WAGES]])+  SUMIF(Jul_Period_2_Tbl[[#All],[STAFF:]],$A9,Jul_Period_2_Tbl[[#All],[$ Hourly WAGES]])+  SUMIF(Aug_Period_2_Tbl[[#All],[STAFF:]],$A9,Aug_Period_2_Tbl[[#All],[$ Hourly WAGES]])+  SUMIF(Sep_Period_2_Tbl[[#All],[STAFF:]],$A9,Sep_Period_2_Tbl[[#All],[$ Hourly WAGES]])+  SUMIF(Oct_Period_2_Tbl[[#All],[STAFF:]],$A9,Oct_Period_2_Tbl[[#All],[$ Hourly WAGES]])+     SUMIF(Nov_Period_2_Tbl[[#All],[STAFF:]],$A9,Nov_Period_2_Tbl[[#All],[$ Hourly WAGES]])+  SUMIF(Dec_Period_2_Tbl[[#All],[STAFF:]],$A9,Dec_Period_2_Tbl[[#All],[$ Hourly WAGES]]))</f>
        <v>0</v>
      </c>
      <c r="H9" s="190">
        <f>(SUMIF(Jan_Period_1_Tbl[[#All],[STAFF:]],$A9,Jan_Period_1_Tbl[[#All],[$ SALARY]])+
SUMIF(Feb_Period_1_Tbl[[#All],[STAFF:]],$A9,Feb_Period_1_Tbl[[#All],[$ SALARY]])+SUMIF(Mar_Period_1_Tbl[[#All],[STAFF:]],$A9,Mar_Period_1_Tbl[[#All],[$ SALARY]])+SUMIF(Apr_Period_1_Tbl[[#All],[STAFF:]],$A9,Apr_Period_1_Tbl[[#All],[$ SALARY]])+   SUMIF(May_Period_1_Tbl[[#All],[STAFF:]],$A9,May_Period_1_Tbl[[#All],[$ SALARY]])+   SUMIF(Jun_Period_1_Tbl[[#All],[STAFF:]],$A9,Jun_Period_1_Tbl[[#All],[$ SALARY]])+  SUMIF(Jul_Period_1_Tbl[[#All],[STAFF:]],$A9,Jul_Period_1_Tbl[[#All],[$ SALARY]])+  SUMIF(Aug_Period_1_Tbl[[#All],[STAFF:]],$A9,Aug_Period_1_Tbl[[#All],[$ SALARY]])+  SUMIF(Sep_Period_1_Tbl[[#All],[STAFF:]],$A9,Sep_Period_1_Tbl[[#All],[$ SALARY]])+  SUMIF(Oct_Period_1_Tbl[[#All],[STAFF:]],$A9,Oct_Period_1_Tbl[[#All],[$ SALARY]])+     SUMIF(Nov_Period_1_Tbl[[#All],[STAFF:]],$A9,Nov_Period_1_Tbl[[#All],[$ SALARY]])+  SUMIF(Dec_Period_1_Tbl[[#All],[STAFF:]],$A9,Dec_Period_1_Tbl[[#All],[$ SALARY]]))+   (SUMIF(Jan_Period_2_Tbl[[#All],[STAFF:]],$A9,Jan_Period_2_Tbl[[#All],[$ SALARY]])+
SUMIF(Feb_Period_2_Tbl[[#All],[STAFF:]],$A9,Feb_Period_2_Tbl[[#All],[$ SALARY]])+SUMIF(Mar_Period_2_Tbl[[#All],[STAFF:]],$A9,Mar_Period_2_Tbl[[#All],[$ SALARY]])+SUMIF(Apr_Period_2_Tbl[[#All],[STAFF:]],$A9,Apr_Period_2_Tbl[[#All],[$ SALARY]])+   SUMIF(May_Period_2_Tbl[[#All],[STAFF:]],$A9,May_Period_2_Tbl[[#All],[$ SALARY]])+   SUMIF(Jun_Period_2_Tbl[[#All],[STAFF:]],$A9,Jun_Period_2_Tbl[[#All],[$ SALARY]])+  SUMIF(Jul_Period_2_Tbl[[#All],[STAFF:]],$A9,Jul_Period_2_Tbl[[#All],[$ SALARY]])+  SUMIF(Aug_Period_2_Tbl[[#All],[STAFF:]],$A9,Aug_Period_2_Tbl[[#All],[$ SALARY]])+  SUMIF(Sep_Period_2_Tbl[[#All],[STAFF:]],$A9,Sep_Period_2_Tbl[[#All],[$ SALARY]])+  SUMIF(Oct_Period_2_Tbl[[#All],[STAFF:]],$A9,Oct_Period_2_Tbl[[#All],[$ SALARY]])+     SUMIF(Nov_Period_2_Tbl[[#All],[STAFF:]],$A9,Nov_Period_2_Tbl[[#All],[$ SALARY]])+  SUMIF(Dec_Period_2_Tbl[[#All],[STAFF:]],$A9,Dec_Period_2_Tbl[[#All],[$ SALARY]]))</f>
        <v>0</v>
      </c>
      <c r="I9" s="190">
        <f>(SUMIF(Jan_Period_1_Tbl[[#All],[STAFF:]],$A9,Jan_Period_1_Tbl[[#All],[$ SALARY PT]])+
SUMIF(Feb_Period_1_Tbl[[#All],[STAFF:]],$A9,Feb_Period_1_Tbl[[#All],[$ SALARY PT]])+SUMIF(Mar_Period_1_Tbl[[#All],[STAFF:]],$A9,Mar_Period_1_Tbl[[#All],[$ SALARY PT]])+SUMIF(Apr_Period_1_Tbl[[#All],[STAFF:]],$A9,Apr_Period_1_Tbl[[#All],[$ SALARY PT]])+   SUMIF(May_Period_1_Tbl[[#All],[STAFF:]],$A9,May_Period_1_Tbl[[#All],[$ SALARY PT]])+   SUMIF(Jun_Period_1_Tbl[[#All],[STAFF:]],$A9,Jun_Period_1_Tbl[[#All],[$ SALARY PT]])+  SUMIF(Jul_Period_1_Tbl[[#All],[STAFF:]],$A9,Jul_Period_1_Tbl[[#All],[$ SALARY PT]])+  SUMIF(Aug_Period_1_Tbl[[#All],[STAFF:]],$A9,Aug_Period_1_Tbl[[#All],[$ SALARY PT]])+  SUMIF(Sep_Period_1_Tbl[[#All],[STAFF:]],$A9,Sep_Period_1_Tbl[[#All],[$ SALARY PT]])+  SUMIF(Oct_Period_1_Tbl[[#All],[STAFF:]],$A9,Oct_Period_1_Tbl[[#All],[$ SALARY PT]])+     SUMIF(Nov_Period_1_Tbl[[#All],[STAFF:]],$A9,Nov_Period_1_Tbl[[#All],[$ SALARY PT]])+  SUMIF(Dec_Period_1_Tbl[[#All],[STAFF:]],$A9,Dec_Period_1_Tbl[[#All],[$ SALARY PT]]))+   (SUMIF(Jan_Period_2_Tbl[[#All],[STAFF:]],$A9,Jan_Period_2_Tbl[[#All],[$ SALARY PT]])+
SUMIF(Feb_Period_2_Tbl[[#All],[STAFF:]],$A9,Feb_Period_2_Tbl[[#All],[$ SALARY PT]])+SUMIF(Mar_Period_2_Tbl[[#All],[STAFF:]],$A9,Mar_Period_2_Tbl[[#All],[$ SALARY PT]])+SUMIF(Apr_Period_2_Tbl[[#All],[STAFF:]],$A9,Apr_Period_2_Tbl[[#All],[$ SALARY PT]])+   SUMIF(May_Period_2_Tbl[[#All],[STAFF:]],$A9,May_Period_2_Tbl[[#All],[$ SALARY PT]])+   SUMIF(Jun_Period_2_Tbl[[#All],[STAFF:]],$A9,Jun_Period_2_Tbl[[#All],[$ SALARY PT]])+  SUMIF(Jul_Period_2_Tbl[[#All],[STAFF:]],$A9,Jul_Period_2_Tbl[[#All],[$ SALARY PT]])+  SUMIF(Aug_Period_2_Tbl[[#All],[STAFF:]],$A9,Aug_Period_2_Tbl[[#All],[$ SALARY PT]])+  SUMIF(Sep_Period_2_Tbl[[#All],[STAFF:]],$A9,Sep_Period_2_Tbl[[#All],[$ SALARY PT]])+  SUMIF(Oct_Period_2_Tbl[[#All],[STAFF:]],$A9,Oct_Period_2_Tbl[[#All],[$ SALARY PT]])+     SUMIF(Nov_Period_2_Tbl[[#All],[STAFF:]],$A9,Nov_Period_2_Tbl[[#All],[$ SALARY PT]])+  SUMIF(Dec_Period_2_Tbl[[#All],[STAFF:]],$A9,Dec_Period_2_Tbl[[#All],[$ SALARY PT]]))</f>
        <v>0</v>
      </c>
      <c r="J9" s="190">
        <f>(SUMIF(Jan_Period_1_Tbl[[#All],[STAFF:]],$A9,Jan_Period_1_Tbl[[#All],[$ FREE PT]])+
SUMIF(Feb_Period_1_Tbl[[#All],[STAFF:]],$A9,Feb_Period_1_Tbl[[#All],[$ FREE PT]])+SUMIF(Mar_Period_1_Tbl[[#All],[STAFF:]],$A9,Mar_Period_1_Tbl[[#All],[$ FREE PT]])+SUMIF(Apr_Period_1_Tbl[[#All],[STAFF:]],$A9,Apr_Period_1_Tbl[[#All],[$ FREE PT]])+   SUMIF(May_Period_1_Tbl[[#All],[STAFF:]],$A9,May_Period_1_Tbl[[#All],[$ FREE PT]])+   SUMIF(Jun_Period_1_Tbl[[#All],[STAFF:]],$A9,Jun_Period_1_Tbl[[#All],[$ FREE PT]])+  SUMIF(Jul_Period_1_Tbl[[#All],[STAFF:]],$A9,Jul_Period_1_Tbl[[#All],[$ FREE PT]])+  SUMIF(Aug_Period_1_Tbl[[#All],[STAFF:]],$A9,Aug_Period_1_Tbl[[#All],[$ FREE PT]])+  SUMIF(Sep_Period_1_Tbl[[#All],[STAFF:]],$A9,Sep_Period_1_Tbl[[#All],[$ FREE PT]])+  SUMIF(Oct_Period_1_Tbl[[#All],[STAFF:]],$A9,Oct_Period_1_Tbl[[#All],[$ FREE PT]])+     SUMIF(Nov_Period_1_Tbl[[#All],[STAFF:]],$A9,Nov_Period_1_Tbl[[#All],[$ FREE PT]])+  SUMIF(Dec_Period_1_Tbl[[#All],[STAFF:]],$A9,Dec_Period_1_Tbl[[#All],[$ FREE PT]]))+   (SUMIF(Jan_Period_2_Tbl[[#All],[STAFF:]],$A9,Jan_Period_2_Tbl[[#All],[$ FREE PT]])+
SUMIF(Feb_Period_2_Tbl[[#All],[STAFF:]],$A9,Feb_Period_2_Tbl[[#All],[$ FREE PT]])+SUMIF(Mar_Period_2_Tbl[[#All],[STAFF:]],$A9,Mar_Period_2_Tbl[[#All],[$ FREE PT]])+SUMIF(Apr_Period_2_Tbl[[#All],[STAFF:]],$A9,Apr_Period_2_Tbl[[#All],[$ FREE PT]])+   SUMIF(May_Period_2_Tbl[[#All],[STAFF:]],$A9,May_Period_2_Tbl[[#All],[$ FREE PT]])+   SUMIF(Jun_Period_2_Tbl[[#All],[STAFF:]],$A9,Jun_Period_2_Tbl[[#All],[$ FREE PT]])+  SUMIF(Jul_Period_2_Tbl[[#All],[STAFF:]],$A9,Jul_Period_2_Tbl[[#All],[$ FREE PT]])+  SUMIF(Aug_Period_2_Tbl[[#All],[STAFF:]],$A9,Aug_Period_2_Tbl[[#All],[$ FREE PT]])+  SUMIF(Sep_Period_2_Tbl[[#All],[STAFF:]],$A9,Sep_Period_2_Tbl[[#All],[$ FREE PT]])+  SUMIF(Oct_Period_2_Tbl[[#All],[STAFF:]],$A9,Oct_Period_2_Tbl[[#All],[$ FREE PT]])+     SUMIF(Nov_Period_2_Tbl[[#All],[STAFF:]],$A9,Nov_Period_2_Tbl[[#All],[$ FREE PT]])+  SUMIF(Dec_Period_2_Tbl[[#All],[STAFF:]],$A9,Dec_Period_2_Tbl[[#All],[$ FREE PT]]))</f>
        <v>0</v>
      </c>
      <c r="K9" s="190">
        <f>(SUMIF(Jan_Period_1_Tbl[[#All],[STAFF:]],$A9,Jan_Period_1_Tbl[[#All],[$ PAID PT]])+
SUMIF(Feb_Period_1_Tbl[[#All],[STAFF:]],$A9,Feb_Period_1_Tbl[[#All],[$ PAID PT]])+SUMIF(Mar_Period_1_Tbl[[#All],[STAFF:]],$A9,Mar_Period_1_Tbl[[#All],[$ PAID PT]])+SUMIF(Apr_Period_1_Tbl[[#All],[STAFF:]],$A9,Apr_Period_1_Tbl[[#All],[$ PAID PT]])+   SUMIF(May_Period_1_Tbl[[#All],[STAFF:]],$A9,May_Period_1_Tbl[[#All],[$ PAID PT]])+   SUMIF(Jun_Period_1_Tbl[[#All],[STAFF:]],$A9,Jun_Period_1_Tbl[[#All],[$ PAID PT]])+  SUMIF(Jul_Period_1_Tbl[[#All],[STAFF:]],$A9,Jul_Period_1_Tbl[[#All],[$ PAID PT]])+  SUMIF(Aug_Period_1_Tbl[[#All],[STAFF:]],$A9,Aug_Period_1_Tbl[[#All],[$ PAID PT]])+  SUMIF(Sep_Period_1_Tbl[[#All],[STAFF:]],$A9,Sep_Period_1_Tbl[[#All],[$ PAID PT]])+  SUMIF(Oct_Period_1_Tbl[[#All],[STAFF:]],$A9,Oct_Period_1_Tbl[[#All],[$ PAID PT]])+     SUMIF(Nov_Period_1_Tbl[[#All],[STAFF:]],$A9,Nov_Period_1_Tbl[[#All],[$ PAID PT]])+  SUMIF(Dec_Period_1_Tbl[[#All],[STAFF:]],$A9,Dec_Period_1_Tbl[[#All],[$ PAID PT]]))+   (SUMIF(Jan_Period_2_Tbl[[#All],[STAFF:]],$A9,Jan_Period_2_Tbl[[#All],[$ PAID PT]])+
SUMIF(Feb_Period_2_Tbl[[#All],[STAFF:]],$A9,Feb_Period_2_Tbl[[#All],[$ PAID PT]])+SUMIF(Mar_Period_2_Tbl[[#All],[STAFF:]],$A9,Mar_Period_2_Tbl[[#All],[$ PAID PT]])+SUMIF(Apr_Period_2_Tbl[[#All],[STAFF:]],$A9,Apr_Period_2_Tbl[[#All],[$ PAID PT]])+   SUMIF(May_Period_2_Tbl[[#All],[STAFF:]],$A9,May_Period_2_Tbl[[#All],[$ PAID PT]])+   SUMIF(Jun_Period_2_Tbl[[#All],[STAFF:]],$A9,Jun_Period_2_Tbl[[#All],[$ PAID PT]])+  SUMIF(Jul_Period_2_Tbl[[#All],[STAFF:]],$A9,Jul_Period_2_Tbl[[#All],[$ PAID PT]])+  SUMIF(Aug_Period_2_Tbl[[#All],[STAFF:]],$A9,Aug_Period_2_Tbl[[#All],[$ PAID PT]])+  SUMIF(Sep_Period_2_Tbl[[#All],[STAFF:]],$A9,Sep_Period_2_Tbl[[#All],[$ PAID PT]])+  SUMIF(Oct_Period_2_Tbl[[#All],[STAFF:]],$A9,Oct_Period_2_Tbl[[#All],[$ PAID PT]])+     SUMIF(Nov_Period_2_Tbl[[#All],[STAFF:]],$A9,Nov_Period_2_Tbl[[#All],[$ PAID PT]])+  SUMIF(Dec_Period_2_Tbl[[#All],[STAFF:]],$A9,Dec_Period_2_Tbl[[#All],[$ PAID PT]]))</f>
        <v>0</v>
      </c>
      <c r="L9" s="190">
        <f>(SUMIF(Jan_Period_1_Tbl[[#All],[STAFF:]],$A9,Jan_Period_1_Tbl[[#All],[$ PT COMM]])+
SUMIF(Feb_Period_1_Tbl[[#All],[STAFF:]],$A9,Feb_Period_1_Tbl[[#All],[$ PT COMM]])+SUMIF(Mar_Period_1_Tbl[[#All],[STAFF:]],$A9,Mar_Period_1_Tbl[[#All],[$ PT COMM]])+SUMIF(Apr_Period_1_Tbl[[#All],[STAFF:]],$A9,Apr_Period_1_Tbl[[#All],[$ PT COMM]])+   SUMIF(May_Period_1_Tbl[[#All],[STAFF:]],$A9,May_Period_1_Tbl[[#All],[$ PT COMM]])+   SUMIF(Jun_Period_1_Tbl[[#All],[STAFF:]],$A9,Jun_Period_1_Tbl[[#All],[$ PT COMM]])+  SUMIF(Jul_Period_1_Tbl[[#All],[STAFF:]],$A9,Jul_Period_1_Tbl[[#All],[$ PT COMM]])+  SUMIF(Aug_Period_1_Tbl[[#All],[STAFF:]],$A9,Aug_Period_1_Tbl[[#All],[$ PT COMM]])+  SUMIF(Sep_Period_1_Tbl[[#All],[STAFF:]],$A9,Sep_Period_1_Tbl[[#All],[$ PT COMM]])+  SUMIF(Oct_Period_1_Tbl[[#All],[STAFF:]],$A9,Oct_Period_1_Tbl[[#All],[$ PT COMM]])+     SUMIF(Nov_Period_1_Tbl[[#All],[STAFF:]],$A9,Nov_Period_1_Tbl[[#All],[$ PT COMM]])+  SUMIF(Dec_Period_1_Tbl[[#All],[STAFF:]],$A9,Dec_Period_1_Tbl[[#All],[$ PT COMM]]))+   (SUMIF(Jan_Period_2_Tbl[[#All],[STAFF:]],$A9,Jan_Period_2_Tbl[[#All],[$ PT COMM]])+
SUMIF(Feb_Period_2_Tbl[[#All],[STAFF:]],$A9,Feb_Period_2_Tbl[[#All],[$ PT COMM]])+SUMIF(Mar_Period_2_Tbl[[#All],[STAFF:]],$A9,Mar_Period_2_Tbl[[#All],[$ PT COMM]])+SUMIF(Apr_Period_2_Tbl[[#All],[STAFF:]],$A9,Apr_Period_2_Tbl[[#All],[$ PT COMM]])+   SUMIF(May_Period_2_Tbl[[#All],[STAFF:]],$A9,May_Period_2_Tbl[[#All],[$ PT COMM]])+   SUMIF(Jun_Period_2_Tbl[[#All],[STAFF:]],$A9,Jun_Period_2_Tbl[[#All],[$ PT COMM]])+  SUMIF(Jul_Period_2_Tbl[[#All],[STAFF:]],$A9,Jul_Period_2_Tbl[[#All],[$ PT COMM]])+  SUMIF(Aug_Period_2_Tbl[[#All],[STAFF:]],$A9,Aug_Period_2_Tbl[[#All],[$ PT COMM]])+  SUMIF(Sep_Period_2_Tbl[[#All],[STAFF:]],$A9,Sep_Period_2_Tbl[[#All],[$ PT COMM]])+  SUMIF(Oct_Period_2_Tbl[[#All],[STAFF:]],$A9,Oct_Period_2_Tbl[[#All],[$ PT COMM]])+     SUMIF(Nov_Period_2_Tbl[[#All],[STAFF:]],$A9,Nov_Period_2_Tbl[[#All],[$ PT COMM]])+  SUMIF(Dec_Period_2_Tbl[[#All],[STAFF:]],$A9,Dec_Period_2_Tbl[[#All],[$ PT COMM]]))</f>
        <v>0</v>
      </c>
      <c r="M9" s="190">
        <f>(SUMIF(Jan_Period_1_Tbl[[#All],[STAFF:]],$A9,Jan_Period_1_Tbl[[#All],[$ EFT COMM]])+
SUMIF(Feb_Period_1_Tbl[[#All],[STAFF:]],$A9,Feb_Period_1_Tbl[[#All],[$ EFT COMM]])+SUMIF(Mar_Period_1_Tbl[[#All],[STAFF:]],$A9,Mar_Period_1_Tbl[[#All],[$ EFT COMM]])+SUMIF(Apr_Period_1_Tbl[[#All],[STAFF:]],$A9,Apr_Period_1_Tbl[[#All],[$ EFT COMM]])+   SUMIF(May_Period_1_Tbl[[#All],[STAFF:]],$A9,May_Period_1_Tbl[[#All],[$ EFT COMM]])+   SUMIF(Jun_Period_1_Tbl[[#All],[STAFF:]],$A9,Jun_Period_1_Tbl[[#All],[$ EFT COMM]])+  SUMIF(Jul_Period_1_Tbl[[#All],[STAFF:]],$A9,Jul_Period_1_Tbl[[#All],[$ EFT COMM]])+  SUMIF(Aug_Period_1_Tbl[[#All],[STAFF:]],$A9,Aug_Period_1_Tbl[[#All],[$ EFT COMM]])+  SUMIF(Sep_Period_1_Tbl[[#All],[STAFF:]],$A9,Sep_Period_1_Tbl[[#All],[$ EFT COMM]])+  SUMIF(Oct_Period_1_Tbl[[#All],[STAFF:]],$A9,Oct_Period_1_Tbl[[#All],[$ EFT COMM]])+     SUMIF(Nov_Period_1_Tbl[[#All],[STAFF:]],$A9,Nov_Period_1_Tbl[[#All],[$ EFT COMM]])+  SUMIF(Dec_Period_1_Tbl[[#All],[STAFF:]],$A9,Dec_Period_1_Tbl[[#All],[$ EFT COMM]]))+   (SUMIF(Jan_Period_2_Tbl[[#All],[STAFF:]],$A9,Jan_Period_2_Tbl[[#All],[$ EFT COMM]])+
SUMIF(Feb_Period_2_Tbl[[#All],[STAFF:]],$A9,Feb_Period_2_Tbl[[#All],[$ EFT COMM]])+SUMIF(Mar_Period_2_Tbl[[#All],[STAFF:]],$A9,Mar_Period_2_Tbl[[#All],[$ EFT COMM]])+SUMIF(Apr_Period_2_Tbl[[#All],[STAFF:]],$A9,Apr_Period_2_Tbl[[#All],[$ EFT COMM]])+   SUMIF(May_Period_2_Tbl[[#All],[STAFF:]],$A9,May_Period_2_Tbl[[#All],[$ EFT COMM]])+   SUMIF(Jun_Period_2_Tbl[[#All],[STAFF:]],$A9,Jun_Period_2_Tbl[[#All],[$ EFT COMM]])+  SUMIF(Jul_Period_2_Tbl[[#All],[STAFF:]],$A9,Jul_Period_2_Tbl[[#All],[$ EFT COMM]])+  SUMIF(Aug_Period_2_Tbl[[#All],[STAFF:]],$A9,Aug_Period_2_Tbl[[#All],[$ EFT COMM]])+  SUMIF(Sep_Period_2_Tbl[[#All],[STAFF:]],$A9,Sep_Period_2_Tbl[[#All],[$ EFT COMM]])+  SUMIF(Oct_Period_2_Tbl[[#All],[STAFF:]],$A9,Oct_Period_2_Tbl[[#All],[$ EFT COMM]])+     SUMIF(Nov_Period_2_Tbl[[#All],[STAFF:]],$A9,Nov_Period_2_Tbl[[#All],[$ EFT COMM]])+  SUMIF(Dec_Period_2_Tbl[[#All],[STAFF:]],$A9,Dec_Period_2_Tbl[[#All],[$ EFT COMM]]))</f>
        <v>0</v>
      </c>
      <c r="N9" s="190">
        <f>(SUMIF(Jan_Period_1_Tbl[[#All],[STAFF:]],$A9,Jan_Period_1_Tbl[[#All],[$ CLASS PAY]])+
SUMIF(Feb_Period_1_Tbl[[#All],[STAFF:]],$A9,Feb_Period_1_Tbl[[#All],[$ CLASS PAY]])+SUMIF(Mar_Period_1_Tbl[[#All],[STAFF:]],$A9,Mar_Period_1_Tbl[[#All],[$ CLASS PAY]])+SUMIF(Apr_Period_1_Tbl[[#All],[STAFF:]],$A9,Apr_Period_1_Tbl[[#All],[$ CLASS PAY]])+   SUMIF(May_Period_1_Tbl[[#All],[STAFF:]],$A9,May_Period_1_Tbl[[#All],[$ CLASS PAY]])+   SUMIF(Jun_Period_1_Tbl[[#All],[STAFF:]],$A9,Jun_Period_1_Tbl[[#All],[$ CLASS PAY]])+  SUMIF(Jul_Period_1_Tbl[[#All],[STAFF:]],$A9,Jul_Period_1_Tbl[[#All],[$ CLASS PAY]])+  SUMIF(Aug_Period_1_Tbl[[#All],[STAFF:]],$A9,Aug_Period_1_Tbl[[#All],[$ CLASS PAY]])+  SUMIF(Sep_Period_1_Tbl[[#All],[STAFF:]],$A9,Sep_Period_1_Tbl[[#All],[$ CLASS PAY]])+  SUMIF(Oct_Period_1_Tbl[[#All],[STAFF:]],$A9,Oct_Period_1_Tbl[[#All],[$ CLASS PAY]])+     SUMIF(Nov_Period_1_Tbl[[#All],[STAFF:]],$A9,Nov_Period_1_Tbl[[#All],[$ CLASS PAY]])+  SUMIF(Dec_Period_1_Tbl[[#All],[STAFF:]],$A9,Dec_Period_1_Tbl[[#All],[$ CLASS PAY]]))+   (SUMIF(Jan_Period_2_Tbl[[#All],[STAFF:]],$A9,Jan_Period_2_Tbl[[#All],[$ CLASS PAY]])+
SUMIF(Feb_Period_2_Tbl[[#All],[STAFF:]],$A9,Feb_Period_2_Tbl[[#All],[$ CLASS PAY]])+SUMIF(Mar_Period_2_Tbl[[#All],[STAFF:]],$A9,Mar_Period_2_Tbl[[#All],[$ CLASS PAY]])+SUMIF(Apr_Period_2_Tbl[[#All],[STAFF:]],$A9,Apr_Period_2_Tbl[[#All],[$ CLASS PAY]])+   SUMIF(May_Period_2_Tbl[[#All],[STAFF:]],$A9,May_Period_2_Tbl[[#All],[$ CLASS PAY]])+   SUMIF(Jun_Period_2_Tbl[[#All],[STAFF:]],$A9,Jun_Period_2_Tbl[[#All],[$ CLASS PAY]])+  SUMIF(Jul_Period_2_Tbl[[#All],[STAFF:]],$A9,Jul_Period_2_Tbl[[#All],[$ CLASS PAY]])+  SUMIF(Aug_Period_2_Tbl[[#All],[STAFF:]],$A9,Aug_Period_2_Tbl[[#All],[$ CLASS PAY]])+  SUMIF(Sep_Period_2_Tbl[[#All],[STAFF:]],$A9,Sep_Period_2_Tbl[[#All],[$ CLASS PAY]])+  SUMIF(Oct_Period_2_Tbl[[#All],[STAFF:]],$A9,Oct_Period_2_Tbl[[#All],[$ CLASS PAY]])+     SUMIF(Nov_Period_2_Tbl[[#All],[STAFF:]],$A9,Nov_Period_2_Tbl[[#All],[$ CLASS PAY]])+  SUMIF(Dec_Period_2_Tbl[[#All],[STAFF:]],$A9,Dec_Period_2_Tbl[[#All],[$ CLASS PAY]]))</f>
        <v>0</v>
      </c>
      <c r="O9" s="191">
        <f>(SUMIF(Jan_Period_1_Tbl[[#All],[STAFF:]],$A9,Jan_Period_1_Tbl[[#All],[$ BONUS PAY]])+
SUMIF(Feb_Period_1_Tbl[[#All],[STAFF:]],$A9,Feb_Period_1_Tbl[[#All],[$ BONUS PAY]])+SUMIF(Mar_Period_1_Tbl[[#All],[STAFF:]],$A9,Mar_Period_1_Tbl[[#All],[$ BONUS PAY]])+SUMIF(Apr_Period_1_Tbl[[#All],[STAFF:]],$A9,Apr_Period_1_Tbl[[#All],[$ BONUS PAY]])+   SUMIF(May_Period_1_Tbl[[#All],[STAFF:]],$A9,May_Period_1_Tbl[[#All],[$ BONUS PAY]])+   SUMIF(Jun_Period_1_Tbl[[#All],[STAFF:]],$A9,Jun_Period_1_Tbl[[#All],[$ BONUS PAY]])+  SUMIF(Jul_Period_1_Tbl[[#All],[STAFF:]],$A9,Jul_Period_1_Tbl[[#All],[$ BONUS PAY]])+  SUMIF(Aug_Period_1_Tbl[[#All],[STAFF:]],$A9,Aug_Period_1_Tbl[[#All],[$ BONUS PAY]])+  SUMIF(Sep_Period_1_Tbl[[#All],[STAFF:]],$A9,Sep_Period_1_Tbl[[#All],[$ BONUS PAY]])+  SUMIF(Oct_Period_1_Tbl[[#All],[STAFF:]],$A9,Oct_Period_1_Tbl[[#All],[$ BONUS PAY]])+     SUMIF(Nov_Period_1_Tbl[[#All],[STAFF:]],$A9,Nov_Period_1_Tbl[[#All],[$ BONUS PAY]])+  SUMIF(Dec_Period_1_Tbl[[#All],[STAFF:]],$A9,Dec_Period_1_Tbl[[#All],[$ BONUS PAY]]))+   (SUMIF(Jan_Period_2_Tbl[[#All],[STAFF:]],$A9,Jan_Period_2_Tbl[[#All],[$ BONUS PAY]])+
SUMIF(Feb_Period_2_Tbl[[#All],[STAFF:]],$A9,Feb_Period_2_Tbl[[#All],[$ BONUS PAY]])+SUMIF(Mar_Period_2_Tbl[[#All],[STAFF:]],$A9,Mar_Period_2_Tbl[[#All],[$ BONUS PAY]])+SUMIF(Apr_Period_2_Tbl[[#All],[STAFF:]],$A9,Apr_Period_2_Tbl[[#All],[$ BONUS PAY]])+   SUMIF(May_Period_2_Tbl[[#All],[STAFF:]],$A9,May_Period_2_Tbl[[#All],[$ BONUS PAY]])+   SUMIF(Jun_Period_2_Tbl[[#All],[STAFF:]],$A9,Jun_Period_2_Tbl[[#All],[$ BONUS PAY]])+  SUMIF(Jul_Period_2_Tbl[[#All],[STAFF:]],$A9,Jul_Period_2_Tbl[[#All],[$ BONUS PAY]])+  SUMIF(Aug_Period_2_Tbl[[#All],[STAFF:]],$A9,Aug_Period_2_Tbl[[#All],[$ BONUS PAY]])+  SUMIF(Sep_Period_2_Tbl[[#All],[STAFF:]],$A9,Sep_Period_2_Tbl[[#All],[$ BONUS PAY]])+  SUMIF(Oct_Period_2_Tbl[[#All],[STAFF:]],$A9,Oct_Period_2_Tbl[[#All],[$ BONUS PAY]])+     SUMIF(Nov_Period_2_Tbl[[#All],[STAFF:]],$A9,Nov_Period_2_Tbl[[#All],[$ BONUS PAY]])+  SUMIF(Dec_Period_2_Tbl[[#All],[STAFF:]],$A9,Dec_Period_2_Tbl[[#All],[$ BONUS PAY]]))</f>
        <v>0</v>
      </c>
      <c r="P9" s="179">
        <f t="shared" si="0"/>
        <v>0</v>
      </c>
      <c r="Q9" s="149"/>
      <c r="R9" s="161">
        <f>(SUMIF(Jan_Period_1_Tbl[[#All],[STAFF:]],$A9,Jan_Period_1_Tbl[[#All],['# POINTS EARNED]])+
SUMIF(Feb_Period_1_Tbl[[#All],[STAFF:]],$A9,Feb_Period_1_Tbl[[#All],['# POINTS EARNED]])+SUMIF(Mar_Period_1_Tbl[[#All],[STAFF:]],$A9,Mar_Period_1_Tbl[[#All],['# POINTS EARNED]])+SUMIF(Apr_Period_1_Tbl[[#All],[STAFF:]],$A9,Apr_Period_1_Tbl[[#All],['# POINTS EARNED]])+   SUMIF(May_Period_1_Tbl[[#All],[STAFF:]],$A9,May_Period_1_Tbl[[#All],['# POINTS EARNED]])+   SUMIF(Jun_Period_1_Tbl[[#All],[STAFF:]],$A9,Jun_Period_1_Tbl[[#All],['# POINTS EARNED]])+  SUMIF(Jul_Period_1_Tbl[[#All],[STAFF:]],$A9,Jul_Period_1_Tbl[[#All],['# POINTS EARNED]])+  SUMIF(Aug_Period_1_Tbl[[#All],[STAFF:]],$A9,Aug_Period_1_Tbl[[#All],['# POINTS EARNED]])+  SUMIF(Sep_Period_1_Tbl[[#All],[STAFF:]],$A9,Sep_Period_1_Tbl[[#All],['# POINTS EARNED]])+  SUMIF(Oct_Period_1_Tbl[[#All],[STAFF:]],$A9,Oct_Period_1_Tbl[[#All],['# POINTS EARNED]])+     SUMIF(Nov_Period_1_Tbl[[#All],[STAFF:]],$A9,Nov_Period_1_Tbl[[#All],['# POINTS EARNED]])+  SUMIF(Dec_Period_1_Tbl[[#All],[STAFF:]],$A9,Dec_Period_1_Tbl[[#All],['# POINTS EARNED]]))+   (SUMIF(Jan_Period_2_Tbl[[#All],[STAFF:]],$A9,Jan_Period_2_Tbl[[#All],['# POINTS EARNED]])+
SUMIF(Feb_Period_2_Tbl[[#All],[STAFF:]],$A9,Feb_Period_2_Tbl[[#All],['# POINTS EARNED]])+SUMIF(Mar_Period_2_Tbl[[#All],[STAFF:]],$A9,Mar_Period_2_Tbl[[#All],['# POINTS EARNED]])+SUMIF(Apr_Period_2_Tbl[[#All],[STAFF:]],$A9,Apr_Period_2_Tbl[[#All],['# POINTS EARNED]])+   SUMIF(May_Period_2_Tbl[[#All],[STAFF:]],$A9,May_Period_2_Tbl[[#All],['# POINTS EARNED]])+   SUMIF(Jun_Period_2_Tbl[[#All],[STAFF:]],$A9,Jun_Period_2_Tbl[[#All],['# POINTS EARNED]])+  SUMIF(Jul_Period_2_Tbl[[#All],[STAFF:]],$A9,Jul_Period_2_Tbl[[#All],['# POINTS EARNED]])+  SUMIF(Aug_Period_2_Tbl[[#All],[STAFF:]],$A9,Aug_Period_2_Tbl[[#All],['# POINTS EARNED]])+  SUMIF(Sep_Period_2_Tbl[[#All],[STAFF:]],$A9,Sep_Period_2_Tbl[[#All],['# POINTS EARNED]])+  SUMIF(Oct_Period_2_Tbl[[#All],[STAFF:]],$A9,Oct_Period_2_Tbl[[#All],['# POINTS EARNED]])+     SUMIF(Nov_Period_2_Tbl[[#All],[STAFF:]],$A9,Nov_Period_2_Tbl[[#All],['# POINTS EARNED]])+  SUMIF(Dec_Period_2_Tbl[[#All],[STAFF:]],$A9,Dec_Period_2_Tbl[[#All],['# POINTS EARNED]]))</f>
        <v>0</v>
      </c>
      <c r="S9" s="161">
        <f>(SUMIF(Jan_Period_1_Tbl[[#All],[STAFF:]],$A9,Jan_Period_1_Tbl[[#All],['# POINTS USED]])+
SUMIF(Feb_Period_1_Tbl[[#All],[STAFF:]],$A9,Feb_Period_1_Tbl[[#All],['# POINTS USED]])+SUMIF(Mar_Period_1_Tbl[[#All],[STAFF:]],$A9,Mar_Period_1_Tbl[[#All],['# POINTS USED]])+SUMIF(Apr_Period_1_Tbl[[#All],[STAFF:]],$A9,Apr_Period_1_Tbl[[#All],['# POINTS USED]])+   SUMIF(May_Period_1_Tbl[[#All],[STAFF:]],$A9,May_Period_1_Tbl[[#All],['# POINTS USED]])+   SUMIF(Jun_Period_1_Tbl[[#All],[STAFF:]],$A9,Jun_Period_1_Tbl[[#All],['# POINTS USED]])+  SUMIF(Jul_Period_1_Tbl[[#All],[STAFF:]],$A9,Jul_Period_1_Tbl[[#All],['# POINTS USED]])+  SUMIF(Aug_Period_1_Tbl[[#All],[STAFF:]],$A9,Aug_Period_1_Tbl[[#All],['# POINTS USED]])+  SUMIF(Sep_Period_1_Tbl[[#All],[STAFF:]],$A9,Sep_Period_1_Tbl[[#All],['# POINTS USED]])+  SUMIF(Oct_Period_1_Tbl[[#All],[STAFF:]],$A9,Oct_Period_1_Tbl[[#All],['# POINTS USED]])+     SUMIF(Nov_Period_1_Tbl[[#All],[STAFF:]],$A9,Nov_Period_1_Tbl[[#All],['# POINTS USED]])+  SUMIF(Dec_Period_1_Tbl[[#All],[STAFF:]],$A9,Dec_Period_1_Tbl[[#All],['# POINTS USED]]))+   (SUMIF(Jan_Period_2_Tbl[[#All],[STAFF:]],$A9,Jan_Period_2_Tbl[[#All],['# POINTS USED]])+
SUMIF(Feb_Period_2_Tbl[[#All],[STAFF:]],$A9,Feb_Period_2_Tbl[[#All],['# POINTS USED]])+SUMIF(Mar_Period_2_Tbl[[#All],[STAFF:]],$A9,Mar_Period_2_Tbl[[#All],['# POINTS USED]])+SUMIF(Apr_Period_2_Tbl[[#All],[STAFF:]],$A9,Apr_Period_2_Tbl[[#All],['# POINTS USED]])+   SUMIF(May_Period_2_Tbl[[#All],[STAFF:]],$A9,May_Period_2_Tbl[[#All],['# POINTS USED]])+   SUMIF(Jun_Period_2_Tbl[[#All],[STAFF:]],$A9,Jun_Period_2_Tbl[[#All],['# POINTS USED]])+  SUMIF(Jul_Period_2_Tbl[[#All],[STAFF:]],$A9,Jul_Period_2_Tbl[[#All],['# POINTS USED]])+  SUMIF(Aug_Period_2_Tbl[[#All],[STAFF:]],$A9,Aug_Period_2_Tbl[[#All],['# POINTS USED]])+  SUMIF(Sep_Period_2_Tbl[[#All],[STAFF:]],$A9,Sep_Period_2_Tbl[[#All],['# POINTS USED]])+  SUMIF(Oct_Period_2_Tbl[[#All],[STAFF:]],$A9,Oct_Period_2_Tbl[[#All],['# POINTS USED]])+     SUMIF(Nov_Period_2_Tbl[[#All],[STAFF:]],$A9,Nov_Period_2_Tbl[[#All],['# POINTS USED]])+  SUMIF(Dec_Period_2_Tbl[[#All],[STAFF:]],$A9,Dec_Period_2_Tbl[[#All],['# POINTS USED]]))</f>
        <v>0</v>
      </c>
      <c r="T9" s="161">
        <f>(SUMIF(Jan_Period_1_Tbl[[#All],[STAFF:]],$A9,Jan_Period_1_Tbl[[#All],['# CLASSES LEAD]])+
SUMIF(Feb_Period_1_Tbl[[#All],[STAFF:]],$A9,Feb_Period_1_Tbl[[#All],['# CLASSES LEAD]])+SUMIF(Mar_Period_1_Tbl[[#All],[STAFF:]],$A9,Mar_Period_1_Tbl[[#All],['# CLASSES LEAD]])+SUMIF(Apr_Period_1_Tbl[[#All],[STAFF:]],$A9,Apr_Period_1_Tbl[[#All],['# CLASSES LEAD]])+   SUMIF(May_Period_1_Tbl[[#All],[STAFF:]],$A9,May_Period_1_Tbl[[#All],['# CLASSES LEAD]])+   SUMIF(Jun_Period_1_Tbl[[#All],[STAFF:]],$A9,Jun_Period_1_Tbl[[#All],['# CLASSES LEAD]])+  SUMIF(Jul_Period_1_Tbl[[#All],[STAFF:]],$A9,Jul_Period_1_Tbl[[#All],['# CLASSES LEAD]])+  SUMIF(Aug_Period_1_Tbl[[#All],[STAFF:]],$A9,Aug_Period_1_Tbl[[#All],['# CLASSES LEAD]])+  SUMIF(Sep_Period_1_Tbl[[#All],[STAFF:]],$A9,Sep_Period_1_Tbl[[#All],['# CLASSES LEAD]])+  SUMIF(Oct_Period_1_Tbl[[#All],[STAFF:]],$A9,Oct_Period_1_Tbl[[#All],['# CLASSES LEAD]])+     SUMIF(Nov_Period_1_Tbl[[#All],[STAFF:]],$A9,Nov_Period_1_Tbl[[#All],['# CLASSES LEAD]])+  SUMIF(Dec_Period_1_Tbl[[#All],[STAFF:]],$A9,Dec_Period_1_Tbl[[#All],['# CLASSES LEAD]]))+   (SUMIF(Jan_Period_2_Tbl[[#All],[STAFF:]],$A9,Jan_Period_2_Tbl[[#All],['# CLASSES LEAD]])+
SUMIF(Feb_Period_2_Tbl[[#All],[STAFF:]],$A9,Feb_Period_2_Tbl[[#All],['# CLASSES LEAD]])+SUMIF(Mar_Period_2_Tbl[[#All],[STAFF:]],$A9,Mar_Period_2_Tbl[[#All],['# CLASSES LEAD]])+SUMIF(Apr_Period_2_Tbl[[#All],[STAFF:]],$A9,Apr_Period_2_Tbl[[#All],['# CLASSES LEAD]])+   SUMIF(May_Period_2_Tbl[[#All],[STAFF:]],$A9,May_Period_2_Tbl[[#All],['# CLASSES LEAD]])+   SUMIF(Jun_Period_2_Tbl[[#All],[STAFF:]],$A9,Jun_Period_2_Tbl[[#All],['# CLASSES LEAD]])+  SUMIF(Jul_Period_2_Tbl[[#All],[STAFF:]],$A9,Jul_Period_2_Tbl[[#All],['# CLASSES LEAD]])+  SUMIF(Aug_Period_2_Tbl[[#All],[STAFF:]],$A9,Aug_Period_2_Tbl[[#All],['# CLASSES LEAD]])+  SUMIF(Sep_Period_2_Tbl[[#All],[STAFF:]],$A9,Sep_Period_2_Tbl[[#All],['# CLASSES LEAD]])+  SUMIF(Oct_Period_2_Tbl[[#All],[STAFF:]],$A9,Oct_Period_2_Tbl[[#All],['# CLASSES LEAD]])+     SUMIF(Nov_Period_2_Tbl[[#All],[STAFF:]],$A9,Nov_Period_2_Tbl[[#All],['# CLASSES LEAD]])+  SUMIF(Dec_Period_2_Tbl[[#All],[STAFF:]],$A9,Dec_Period_2_Tbl[[#All],['# CLASSES LEAD]]))</f>
        <v>0</v>
      </c>
      <c r="U9" s="161">
        <f>(SUMIF(Jan_Period_1_Tbl[[#All],[STAFF:]],$A9,Jan_Period_1_Tbl[[#All],['# CLASSES SHOW]])+
SUMIF(Feb_Period_1_Tbl[[#All],[STAFF:]],$A9,Feb_Period_1_Tbl[[#All],['# CLASSES SHOW]])+SUMIF(Mar_Period_1_Tbl[[#All],[STAFF:]],$A9,Mar_Period_1_Tbl[[#All],['# CLASSES SHOW]])+SUMIF(Apr_Period_1_Tbl[[#All],[STAFF:]],$A9,Apr_Period_1_Tbl[[#All],['# CLASSES SHOW]])+   SUMIF(May_Period_1_Tbl[[#All],[STAFF:]],$A9,May_Period_1_Tbl[[#All],['# CLASSES SHOW]])+   SUMIF(Jun_Period_1_Tbl[[#All],[STAFF:]],$A9,Jun_Period_1_Tbl[[#All],['# CLASSES SHOW]])+  SUMIF(Jul_Period_1_Tbl[[#All],[STAFF:]],$A9,Jul_Period_1_Tbl[[#All],['# CLASSES SHOW]])+  SUMIF(Aug_Period_1_Tbl[[#All],[STAFF:]],$A9,Aug_Period_1_Tbl[[#All],['# CLASSES SHOW]])+  SUMIF(Sep_Period_1_Tbl[[#All],[STAFF:]],$A9,Sep_Period_1_Tbl[[#All],['# CLASSES SHOW]])+  SUMIF(Oct_Period_1_Tbl[[#All],[STAFF:]],$A9,Oct_Period_1_Tbl[[#All],['# CLASSES SHOW]])+     SUMIF(Nov_Period_1_Tbl[[#All],[STAFF:]],$A9,Nov_Period_1_Tbl[[#All],['# CLASSES SHOW]])+  SUMIF(Dec_Period_1_Tbl[[#All],[STAFF:]],$A9,Dec_Period_1_Tbl[[#All],['# CLASSES SHOW]]))+   (SUMIF(Jan_Period_2_Tbl[[#All],[STAFF:]],$A9,Jan_Period_2_Tbl[[#All],['# CLASSES SHOW]])+
SUMIF(Feb_Period_2_Tbl[[#All],[STAFF:]],$A9,Feb_Period_2_Tbl[[#All],['# CLASSES SHOW]])+SUMIF(Mar_Period_2_Tbl[[#All],[STAFF:]],$A9,Mar_Period_2_Tbl[[#All],['# CLASSES SHOW]])+SUMIF(Apr_Period_2_Tbl[[#All],[STAFF:]],$A9,Apr_Period_2_Tbl[[#All],['# CLASSES SHOW]])+   SUMIF(May_Period_2_Tbl[[#All],[STAFF:]],$A9,May_Period_2_Tbl[[#All],['# CLASSES SHOW]])+   SUMIF(Jun_Period_2_Tbl[[#All],[STAFF:]],$A9,Jun_Period_2_Tbl[[#All],['# CLASSES SHOW]])+  SUMIF(Jul_Period_2_Tbl[[#All],[STAFF:]],$A9,Jul_Period_2_Tbl[[#All],['# CLASSES SHOW]])+  SUMIF(Aug_Period_2_Tbl[[#All],[STAFF:]],$A9,Aug_Period_2_Tbl[[#All],['# CLASSES SHOW]])+  SUMIF(Sep_Period_2_Tbl[[#All],[STAFF:]],$A9,Sep_Period_2_Tbl[[#All],['# CLASSES SHOW]])+  SUMIF(Oct_Period_2_Tbl[[#All],[STAFF:]],$A9,Oct_Period_2_Tbl[[#All],['# CLASSES SHOW]])+     SUMIF(Nov_Period_2_Tbl[[#All],[STAFF:]],$A9,Nov_Period_2_Tbl[[#All],['# CLASSES SHOW]])+  SUMIF(Dec_Period_2_Tbl[[#All],[STAFF:]],$A9,Dec_Period_2_Tbl[[#All],['# CLASSES SHOW]]))</f>
        <v>0</v>
      </c>
      <c r="V9" s="156"/>
      <c r="W9" s="156"/>
      <c r="X9" s="159">
        <f t="shared" si="1"/>
        <v>0</v>
      </c>
      <c r="Y9" s="159">
        <f t="shared" si="2"/>
        <v>0</v>
      </c>
      <c r="Z9" s="159">
        <f t="shared" si="3"/>
        <v>0</v>
      </c>
      <c r="AA9" s="159">
        <f t="shared" si="4"/>
        <v>0</v>
      </c>
      <c r="AB9" s="159">
        <f t="shared" si="5"/>
        <v>0</v>
      </c>
      <c r="AC9" s="159">
        <f t="shared" si="6"/>
        <v>0</v>
      </c>
      <c r="AD9" s="159">
        <f t="shared" si="7"/>
        <v>0</v>
      </c>
      <c r="AE9" s="149"/>
      <c r="AF9" s="149"/>
      <c r="AG9" s="149"/>
      <c r="AH9" s="149"/>
      <c r="AJ9" s="75" t="str">
        <f t="shared" si="8"/>
        <v>zBlank</v>
      </c>
      <c r="AK9" s="210"/>
      <c r="AL9" s="168">
        <f>IFERROR(VLOOKUP(B9,List!$A:$B,2,FALSE),-1)</f>
        <v>-1</v>
      </c>
      <c r="AM9" s="168">
        <f>IFERROR(VLOOKUP(C9,List!$A:$B,2,FALSE),-1)</f>
        <v>-1</v>
      </c>
    </row>
    <row r="10" spans="1:40" ht="15" hidden="1" customHeight="1" x14ac:dyDescent="0.25">
      <c r="A10" s="20"/>
      <c r="B10" s="186"/>
      <c r="C10" s="186"/>
      <c r="D10" s="187"/>
      <c r="E10" s="188">
        <f>(SUMIF(Jan_Period_1_Tbl[[#All],[STAFF:]],$A10,Jan_Period_1_Tbl[[#All],['# PTO USED]])+
SUMIF(Feb_Period_1_Tbl[[#All],[STAFF:]],$A10,Feb_Period_1_Tbl[[#All],['# PTO USED]])+SUMIF(Mar_Period_1_Tbl[[#All],[STAFF:]],$A10,Mar_Period_1_Tbl[[#All],['# PTO USED]])+SUMIF(Apr_Period_1_Tbl[[#All],[STAFF:]],$A10,Apr_Period_1_Tbl[[#All],['# PTO USED]])+   SUMIF(May_Period_1_Tbl[[#All],[STAFF:]],$A10,May_Period_1_Tbl[[#All],['# PTO USED]])+   SUMIF(Jun_Period_1_Tbl[[#All],[STAFF:]],$A10,Jun_Period_1_Tbl[[#All],['# PTO USED]])+  SUMIF(Jul_Period_1_Tbl[[#All],[STAFF:]],$A10,Jul_Period_1_Tbl[[#All],['# PTO USED]])+  SUMIF(Aug_Period_1_Tbl[[#All],[STAFF:]],$A10,Aug_Period_1_Tbl[[#All],['# PTO USED]])+  SUMIF(Sep_Period_1_Tbl[[#All],[STAFF:]],$A10,Sep_Period_1_Tbl[[#All],['# PTO USED]])+  SUMIF(Oct_Period_1_Tbl[[#All],[STAFF:]],$A10,Oct_Period_1_Tbl[[#All],['# PTO USED]])+     SUMIF(Nov_Period_1_Tbl[[#All],[STAFF:]],$A10,Nov_Period_1_Tbl[[#All],['# PTO USED]])+  SUMIF(Dec_Period_1_Tbl[[#All],[STAFF:]],$A10,Dec_Period_1_Tbl[[#All],['# PTO USED]]))+   (SUMIF(Jan_Period_2_Tbl[[#All],[STAFF:]],$A10,Jan_Period_2_Tbl[[#All],['# PTO USED]])+
SUMIF(Feb_Period_2_Tbl[[#All],[STAFF:]],$A10,Feb_Period_2_Tbl[[#All],['# PTO USED]])+SUMIF(Mar_Period_2_Tbl[[#All],[STAFF:]],$A10,Mar_Period_2_Tbl[[#All],['# PTO USED]])+SUMIF(Apr_Period_2_Tbl[[#All],[STAFF:]],$A10,Apr_Period_2_Tbl[[#All],['# PTO USED]])+   SUMIF(May_Period_2_Tbl[[#All],[STAFF:]],$A10,May_Period_2_Tbl[[#All],['# PTO USED]])+   SUMIF(Jun_Period_2_Tbl[[#All],[STAFF:]],$A10,Jun_Period_2_Tbl[[#All],['# PTO USED]])+  SUMIF(Jul_Period_2_Tbl[[#All],[STAFF:]],$A10,Jul_Period_2_Tbl[[#All],['# PTO USED]])+  SUMIF(Aug_Period_2_Tbl[[#All],[STAFF:]],$A10,Aug_Period_2_Tbl[[#All],['# PTO USED]])+  SUMIF(Sep_Period_2_Tbl[[#All],[STAFF:]],$A10,Sep_Period_2_Tbl[[#All],['# PTO USED]])+  SUMIF(Oct_Period_2_Tbl[[#All],[STAFF:]],$A10,Oct_Period_2_Tbl[[#All],['# PTO USED]])+     SUMIF(Nov_Period_2_Tbl[[#All],[STAFF:]],$A10,Nov_Period_2_Tbl[[#All],['# PTO USED]])+  SUMIF(Dec_Period_2_Tbl[[#All],[STAFF:]],$A10,Dec_Period_2_Tbl[[#All],['# PTO USED]]))</f>
        <v>0</v>
      </c>
      <c r="F10" s="189">
        <f>(SUMIF(Jan_Period_1_Tbl[[#All],[STAFF:]],$A10,Jan_Period_1_Tbl[[#All],['# HRS WORKED]])+
SUMIF(Feb_Period_1_Tbl[[#All],[STAFF:]],$A10,Feb_Period_1_Tbl[[#All],['# HRS WORKED]])+SUMIF(Mar_Period_1_Tbl[[#All],[STAFF:]],$A10,Mar_Period_1_Tbl[[#All],['# HRS WORKED]])+SUMIF(Apr_Period_1_Tbl[[#All],[STAFF:]],$A10,Apr_Period_1_Tbl[[#All],['# HRS WORKED]])+   SUMIF(May_Period_1_Tbl[[#All],[STAFF:]],$A10,May_Period_1_Tbl[[#All],['# HRS WORKED]])+   SUMIF(Jun_Period_1_Tbl[[#All],[STAFF:]],$A10,Jun_Period_1_Tbl[[#All],['# HRS WORKED]])+  SUMIF(Jul_Period_1_Tbl[[#All],[STAFF:]],$A10,Jul_Period_1_Tbl[[#All],['# HRS WORKED]])+  SUMIF(Aug_Period_1_Tbl[[#All],[STAFF:]],$A10,Aug_Period_1_Tbl[[#All],['# HRS WORKED]])+  SUMIF(Sep_Period_1_Tbl[[#All],[STAFF:]],$A10,Sep_Period_1_Tbl[[#All],['# HRS WORKED]])+  SUMIF(Oct_Period_1_Tbl[[#All],[STAFF:]],$A10,Oct_Period_1_Tbl[[#All],['# HRS WORKED]])+     SUMIF(Nov_Period_1_Tbl[[#All],[STAFF:]],$A10,Nov_Period_1_Tbl[[#All],['# HRS WORKED]])+  SUMIF(Dec_Period_1_Tbl[[#All],[STAFF:]],$A10,Dec_Period_1_Tbl[[#All],['# HRS WORKED]]))+   (SUMIF(Jan_Period_2_Tbl[[#All],[STAFF:]],$A10,Jan_Period_2_Tbl[[#All],['# HRS WORKED]])+
SUMIF(Feb_Period_2_Tbl[[#All],[STAFF:]],$A10,Feb_Period_2_Tbl[[#All],['# HRS WORKED]])+SUMIF(Mar_Period_2_Tbl[[#All],[STAFF:]],$A10,Mar_Period_2_Tbl[[#All],['# HRS WORKED]])+SUMIF(Apr_Period_2_Tbl[[#All],[STAFF:]],$A10,Apr_Period_2_Tbl[[#All],['# HRS WORKED]])+   SUMIF(May_Period_2_Tbl[[#All],[STAFF:]],$A10,May_Period_2_Tbl[[#All],['# HRS WORKED]])+   SUMIF(Jun_Period_2_Tbl[[#All],[STAFF:]],$A10,Jun_Period_2_Tbl[[#All],['# HRS WORKED]])+  SUMIF(Jul_Period_2_Tbl[[#All],[STAFF:]],$A10,Jul_Period_2_Tbl[[#All],['# HRS WORKED]])+  SUMIF(Aug_Period_2_Tbl[[#All],[STAFF:]],$A10,Aug_Period_2_Tbl[[#All],['# HRS WORKED]])+  SUMIF(Sep_Period_2_Tbl[[#All],[STAFF:]],$A10,Sep_Period_2_Tbl[[#All],['# HRS WORKED]])+  SUMIF(Oct_Period_2_Tbl[[#All],[STAFF:]],$A10,Oct_Period_2_Tbl[[#All],['# HRS WORKED]])+     SUMIF(Nov_Period_2_Tbl[[#All],[STAFF:]],$A10,Nov_Period_2_Tbl[[#All],['# HRS WORKED]])+  SUMIF(Dec_Period_2_Tbl[[#All],[STAFF:]],$A10,Dec_Period_2_Tbl[[#All],['# HRS WORKED]]))</f>
        <v>0</v>
      </c>
      <c r="G10" s="190">
        <f>(SUMIF(Jan_Period_1_Tbl[[#All],[STAFF:]],$A10,Jan_Period_1_Tbl[[#All],[$ Hourly WAGES]])+
SUMIF(Feb_Period_1_Tbl[[#All],[STAFF:]],$A10,Feb_Period_1_Tbl[[#All],[$ Hourly WAGES]])+SUMIF(Mar_Period_1_Tbl[[#All],[STAFF:]],$A10,Mar_Period_1_Tbl[[#All],[$ Hourly WAGES]])+SUMIF(Apr_Period_1_Tbl[[#All],[STAFF:]],$A10,Apr_Period_1_Tbl[[#All],[$ Hourly WAGES]])+   SUMIF(May_Period_1_Tbl[[#All],[STAFF:]],$A10,May_Period_1_Tbl[[#All],[$ Hourly WAGES]])+   SUMIF(Jun_Period_1_Tbl[[#All],[STAFF:]],$A10,Jun_Period_1_Tbl[[#All],[$ Hourly WAGES]])+  SUMIF(Jul_Period_1_Tbl[[#All],[STAFF:]],$A10,Jul_Period_1_Tbl[[#All],[$ Hourly WAGES]])+  SUMIF(Aug_Period_1_Tbl[[#All],[STAFF:]],$A10,Aug_Period_1_Tbl[[#All],[$ Hourly WAGES]])+  SUMIF(Sep_Period_1_Tbl[[#All],[STAFF:]],$A10,Sep_Period_1_Tbl[[#All],[$ Hourly WAGES]])+  SUMIF(Oct_Period_1_Tbl[[#All],[STAFF:]],$A10,Oct_Period_1_Tbl[[#All],[$ Hourly WAGES]])+     SUMIF(Nov_Period_1_Tbl[[#All],[STAFF:]],$A10,Nov_Period_1_Tbl[[#All],[$ Hourly WAGES]])+  SUMIF(Dec_Period_1_Tbl[[#All],[STAFF:]],$A10,Dec_Period_1_Tbl[[#All],[$ Hourly WAGES]]))+   (SUMIF(Jan_Period_2_Tbl[[#All],[STAFF:]],$A10,Jan_Period_2_Tbl[[#All],[$ Hourly WAGES]])+
SUMIF(Feb_Period_2_Tbl[[#All],[STAFF:]],$A10,Feb_Period_2_Tbl[[#All],[$ Hourly WAGES]])+SUMIF(Mar_Period_2_Tbl[[#All],[STAFF:]],$A10,Mar_Period_2_Tbl[[#All],[$ Hourly WAGES]])+SUMIF(Apr_Period_2_Tbl[[#All],[STAFF:]],$A10,Apr_Period_2_Tbl[[#All],[$ Hourly WAGES]])+   SUMIF(May_Period_2_Tbl[[#All],[STAFF:]],$A10,May_Period_2_Tbl[[#All],[$ Hourly WAGES]])+   SUMIF(Jun_Period_2_Tbl[[#All],[STAFF:]],$A10,Jun_Period_2_Tbl[[#All],[$ Hourly WAGES]])+  SUMIF(Jul_Period_2_Tbl[[#All],[STAFF:]],$A10,Jul_Period_2_Tbl[[#All],[$ Hourly WAGES]])+  SUMIF(Aug_Period_2_Tbl[[#All],[STAFF:]],$A10,Aug_Period_2_Tbl[[#All],[$ Hourly WAGES]])+  SUMIF(Sep_Period_2_Tbl[[#All],[STAFF:]],$A10,Sep_Period_2_Tbl[[#All],[$ Hourly WAGES]])+  SUMIF(Oct_Period_2_Tbl[[#All],[STAFF:]],$A10,Oct_Period_2_Tbl[[#All],[$ Hourly WAGES]])+     SUMIF(Nov_Period_2_Tbl[[#All],[STAFF:]],$A10,Nov_Period_2_Tbl[[#All],[$ Hourly WAGES]])+  SUMIF(Dec_Period_2_Tbl[[#All],[STAFF:]],$A10,Dec_Period_2_Tbl[[#All],[$ Hourly WAGES]]))</f>
        <v>0</v>
      </c>
      <c r="H10" s="190">
        <f>(SUMIF(Jan_Period_1_Tbl[[#All],[STAFF:]],$A10,Jan_Period_1_Tbl[[#All],[$ SALARY]])+
SUMIF(Feb_Period_1_Tbl[[#All],[STAFF:]],$A10,Feb_Period_1_Tbl[[#All],[$ SALARY]])+SUMIF(Mar_Period_1_Tbl[[#All],[STAFF:]],$A10,Mar_Period_1_Tbl[[#All],[$ SALARY]])+SUMIF(Apr_Period_1_Tbl[[#All],[STAFF:]],$A10,Apr_Period_1_Tbl[[#All],[$ SALARY]])+   SUMIF(May_Period_1_Tbl[[#All],[STAFF:]],$A10,May_Period_1_Tbl[[#All],[$ SALARY]])+   SUMIF(Jun_Period_1_Tbl[[#All],[STAFF:]],$A10,Jun_Period_1_Tbl[[#All],[$ SALARY]])+  SUMIF(Jul_Period_1_Tbl[[#All],[STAFF:]],$A10,Jul_Period_1_Tbl[[#All],[$ SALARY]])+  SUMIF(Aug_Period_1_Tbl[[#All],[STAFF:]],$A10,Aug_Period_1_Tbl[[#All],[$ SALARY]])+  SUMIF(Sep_Period_1_Tbl[[#All],[STAFF:]],$A10,Sep_Period_1_Tbl[[#All],[$ SALARY]])+  SUMIF(Oct_Period_1_Tbl[[#All],[STAFF:]],$A10,Oct_Period_1_Tbl[[#All],[$ SALARY]])+     SUMIF(Nov_Period_1_Tbl[[#All],[STAFF:]],$A10,Nov_Period_1_Tbl[[#All],[$ SALARY]])+  SUMIF(Dec_Period_1_Tbl[[#All],[STAFF:]],$A10,Dec_Period_1_Tbl[[#All],[$ SALARY]]))+   (SUMIF(Jan_Period_2_Tbl[[#All],[STAFF:]],$A10,Jan_Period_2_Tbl[[#All],[$ SALARY]])+
SUMIF(Feb_Period_2_Tbl[[#All],[STAFF:]],$A10,Feb_Period_2_Tbl[[#All],[$ SALARY]])+SUMIF(Mar_Period_2_Tbl[[#All],[STAFF:]],$A10,Mar_Period_2_Tbl[[#All],[$ SALARY]])+SUMIF(Apr_Period_2_Tbl[[#All],[STAFF:]],$A10,Apr_Period_2_Tbl[[#All],[$ SALARY]])+   SUMIF(May_Period_2_Tbl[[#All],[STAFF:]],$A10,May_Period_2_Tbl[[#All],[$ SALARY]])+   SUMIF(Jun_Period_2_Tbl[[#All],[STAFF:]],$A10,Jun_Period_2_Tbl[[#All],[$ SALARY]])+  SUMIF(Jul_Period_2_Tbl[[#All],[STAFF:]],$A10,Jul_Period_2_Tbl[[#All],[$ SALARY]])+  SUMIF(Aug_Period_2_Tbl[[#All],[STAFF:]],$A10,Aug_Period_2_Tbl[[#All],[$ SALARY]])+  SUMIF(Sep_Period_2_Tbl[[#All],[STAFF:]],$A10,Sep_Period_2_Tbl[[#All],[$ SALARY]])+  SUMIF(Oct_Period_2_Tbl[[#All],[STAFF:]],$A10,Oct_Period_2_Tbl[[#All],[$ SALARY]])+     SUMIF(Nov_Period_2_Tbl[[#All],[STAFF:]],$A10,Nov_Period_2_Tbl[[#All],[$ SALARY]])+  SUMIF(Dec_Period_2_Tbl[[#All],[STAFF:]],$A10,Dec_Period_2_Tbl[[#All],[$ SALARY]]))</f>
        <v>0</v>
      </c>
      <c r="I10" s="190">
        <f>(SUMIF(Jan_Period_1_Tbl[[#All],[STAFF:]],$A10,Jan_Period_1_Tbl[[#All],[$ SALARY PT]])+
SUMIF(Feb_Period_1_Tbl[[#All],[STAFF:]],$A10,Feb_Period_1_Tbl[[#All],[$ SALARY PT]])+SUMIF(Mar_Period_1_Tbl[[#All],[STAFF:]],$A10,Mar_Period_1_Tbl[[#All],[$ SALARY PT]])+SUMIF(Apr_Period_1_Tbl[[#All],[STAFF:]],$A10,Apr_Period_1_Tbl[[#All],[$ SALARY PT]])+   SUMIF(May_Period_1_Tbl[[#All],[STAFF:]],$A10,May_Period_1_Tbl[[#All],[$ SALARY PT]])+   SUMIF(Jun_Period_1_Tbl[[#All],[STAFF:]],$A10,Jun_Period_1_Tbl[[#All],[$ SALARY PT]])+  SUMIF(Jul_Period_1_Tbl[[#All],[STAFF:]],$A10,Jul_Period_1_Tbl[[#All],[$ SALARY PT]])+  SUMIF(Aug_Period_1_Tbl[[#All],[STAFF:]],$A10,Aug_Period_1_Tbl[[#All],[$ SALARY PT]])+  SUMIF(Sep_Period_1_Tbl[[#All],[STAFF:]],$A10,Sep_Period_1_Tbl[[#All],[$ SALARY PT]])+  SUMIF(Oct_Period_1_Tbl[[#All],[STAFF:]],$A10,Oct_Period_1_Tbl[[#All],[$ SALARY PT]])+     SUMIF(Nov_Period_1_Tbl[[#All],[STAFF:]],$A10,Nov_Period_1_Tbl[[#All],[$ SALARY PT]])+  SUMIF(Dec_Period_1_Tbl[[#All],[STAFF:]],$A10,Dec_Period_1_Tbl[[#All],[$ SALARY PT]]))+   (SUMIF(Jan_Period_2_Tbl[[#All],[STAFF:]],$A10,Jan_Period_2_Tbl[[#All],[$ SALARY PT]])+
SUMIF(Feb_Period_2_Tbl[[#All],[STAFF:]],$A10,Feb_Period_2_Tbl[[#All],[$ SALARY PT]])+SUMIF(Mar_Period_2_Tbl[[#All],[STAFF:]],$A10,Mar_Period_2_Tbl[[#All],[$ SALARY PT]])+SUMIF(Apr_Period_2_Tbl[[#All],[STAFF:]],$A10,Apr_Period_2_Tbl[[#All],[$ SALARY PT]])+   SUMIF(May_Period_2_Tbl[[#All],[STAFF:]],$A10,May_Period_2_Tbl[[#All],[$ SALARY PT]])+   SUMIF(Jun_Period_2_Tbl[[#All],[STAFF:]],$A10,Jun_Period_2_Tbl[[#All],[$ SALARY PT]])+  SUMIF(Jul_Period_2_Tbl[[#All],[STAFF:]],$A10,Jul_Period_2_Tbl[[#All],[$ SALARY PT]])+  SUMIF(Aug_Period_2_Tbl[[#All],[STAFF:]],$A10,Aug_Period_2_Tbl[[#All],[$ SALARY PT]])+  SUMIF(Sep_Period_2_Tbl[[#All],[STAFF:]],$A10,Sep_Period_2_Tbl[[#All],[$ SALARY PT]])+  SUMIF(Oct_Period_2_Tbl[[#All],[STAFF:]],$A10,Oct_Period_2_Tbl[[#All],[$ SALARY PT]])+     SUMIF(Nov_Period_2_Tbl[[#All],[STAFF:]],$A10,Nov_Period_2_Tbl[[#All],[$ SALARY PT]])+  SUMIF(Dec_Period_2_Tbl[[#All],[STAFF:]],$A10,Dec_Period_2_Tbl[[#All],[$ SALARY PT]]))</f>
        <v>0</v>
      </c>
      <c r="J10" s="190">
        <f>(SUMIF(Jan_Period_1_Tbl[[#All],[STAFF:]],$A10,Jan_Period_1_Tbl[[#All],[$ FREE PT]])+
SUMIF(Feb_Period_1_Tbl[[#All],[STAFF:]],$A10,Feb_Period_1_Tbl[[#All],[$ FREE PT]])+SUMIF(Mar_Period_1_Tbl[[#All],[STAFF:]],$A10,Mar_Period_1_Tbl[[#All],[$ FREE PT]])+SUMIF(Apr_Period_1_Tbl[[#All],[STAFF:]],$A10,Apr_Period_1_Tbl[[#All],[$ FREE PT]])+   SUMIF(May_Period_1_Tbl[[#All],[STAFF:]],$A10,May_Period_1_Tbl[[#All],[$ FREE PT]])+   SUMIF(Jun_Period_1_Tbl[[#All],[STAFF:]],$A10,Jun_Period_1_Tbl[[#All],[$ FREE PT]])+  SUMIF(Jul_Period_1_Tbl[[#All],[STAFF:]],$A10,Jul_Period_1_Tbl[[#All],[$ FREE PT]])+  SUMIF(Aug_Period_1_Tbl[[#All],[STAFF:]],$A10,Aug_Period_1_Tbl[[#All],[$ FREE PT]])+  SUMIF(Sep_Period_1_Tbl[[#All],[STAFF:]],$A10,Sep_Period_1_Tbl[[#All],[$ FREE PT]])+  SUMIF(Oct_Period_1_Tbl[[#All],[STAFF:]],$A10,Oct_Period_1_Tbl[[#All],[$ FREE PT]])+     SUMIF(Nov_Period_1_Tbl[[#All],[STAFF:]],$A10,Nov_Period_1_Tbl[[#All],[$ FREE PT]])+  SUMIF(Dec_Period_1_Tbl[[#All],[STAFF:]],$A10,Dec_Period_1_Tbl[[#All],[$ FREE PT]]))+   (SUMIF(Jan_Period_2_Tbl[[#All],[STAFF:]],$A10,Jan_Period_2_Tbl[[#All],[$ FREE PT]])+
SUMIF(Feb_Period_2_Tbl[[#All],[STAFF:]],$A10,Feb_Period_2_Tbl[[#All],[$ FREE PT]])+SUMIF(Mar_Period_2_Tbl[[#All],[STAFF:]],$A10,Mar_Period_2_Tbl[[#All],[$ FREE PT]])+SUMIF(Apr_Period_2_Tbl[[#All],[STAFF:]],$A10,Apr_Period_2_Tbl[[#All],[$ FREE PT]])+   SUMIF(May_Period_2_Tbl[[#All],[STAFF:]],$A10,May_Period_2_Tbl[[#All],[$ FREE PT]])+   SUMIF(Jun_Period_2_Tbl[[#All],[STAFF:]],$A10,Jun_Period_2_Tbl[[#All],[$ FREE PT]])+  SUMIF(Jul_Period_2_Tbl[[#All],[STAFF:]],$A10,Jul_Period_2_Tbl[[#All],[$ FREE PT]])+  SUMIF(Aug_Period_2_Tbl[[#All],[STAFF:]],$A10,Aug_Period_2_Tbl[[#All],[$ FREE PT]])+  SUMIF(Sep_Period_2_Tbl[[#All],[STAFF:]],$A10,Sep_Period_2_Tbl[[#All],[$ FREE PT]])+  SUMIF(Oct_Period_2_Tbl[[#All],[STAFF:]],$A10,Oct_Period_2_Tbl[[#All],[$ FREE PT]])+     SUMIF(Nov_Period_2_Tbl[[#All],[STAFF:]],$A10,Nov_Period_2_Tbl[[#All],[$ FREE PT]])+  SUMIF(Dec_Period_2_Tbl[[#All],[STAFF:]],$A10,Dec_Period_2_Tbl[[#All],[$ FREE PT]]))</f>
        <v>0</v>
      </c>
      <c r="K10" s="190">
        <f>(SUMIF(Jan_Period_1_Tbl[[#All],[STAFF:]],$A10,Jan_Period_1_Tbl[[#All],[$ PAID PT]])+
SUMIF(Feb_Period_1_Tbl[[#All],[STAFF:]],$A10,Feb_Period_1_Tbl[[#All],[$ PAID PT]])+SUMIF(Mar_Period_1_Tbl[[#All],[STAFF:]],$A10,Mar_Period_1_Tbl[[#All],[$ PAID PT]])+SUMIF(Apr_Period_1_Tbl[[#All],[STAFF:]],$A10,Apr_Period_1_Tbl[[#All],[$ PAID PT]])+   SUMIF(May_Period_1_Tbl[[#All],[STAFF:]],$A10,May_Period_1_Tbl[[#All],[$ PAID PT]])+   SUMIF(Jun_Period_1_Tbl[[#All],[STAFF:]],$A10,Jun_Period_1_Tbl[[#All],[$ PAID PT]])+  SUMIF(Jul_Period_1_Tbl[[#All],[STAFF:]],$A10,Jul_Period_1_Tbl[[#All],[$ PAID PT]])+  SUMIF(Aug_Period_1_Tbl[[#All],[STAFF:]],$A10,Aug_Period_1_Tbl[[#All],[$ PAID PT]])+  SUMIF(Sep_Period_1_Tbl[[#All],[STAFF:]],$A10,Sep_Period_1_Tbl[[#All],[$ PAID PT]])+  SUMIF(Oct_Period_1_Tbl[[#All],[STAFF:]],$A10,Oct_Period_1_Tbl[[#All],[$ PAID PT]])+     SUMIF(Nov_Period_1_Tbl[[#All],[STAFF:]],$A10,Nov_Period_1_Tbl[[#All],[$ PAID PT]])+  SUMIF(Dec_Period_1_Tbl[[#All],[STAFF:]],$A10,Dec_Period_1_Tbl[[#All],[$ PAID PT]]))+   (SUMIF(Jan_Period_2_Tbl[[#All],[STAFF:]],$A10,Jan_Period_2_Tbl[[#All],[$ PAID PT]])+
SUMIF(Feb_Period_2_Tbl[[#All],[STAFF:]],$A10,Feb_Period_2_Tbl[[#All],[$ PAID PT]])+SUMIF(Mar_Period_2_Tbl[[#All],[STAFF:]],$A10,Mar_Period_2_Tbl[[#All],[$ PAID PT]])+SUMIF(Apr_Period_2_Tbl[[#All],[STAFF:]],$A10,Apr_Period_2_Tbl[[#All],[$ PAID PT]])+   SUMIF(May_Period_2_Tbl[[#All],[STAFF:]],$A10,May_Period_2_Tbl[[#All],[$ PAID PT]])+   SUMIF(Jun_Period_2_Tbl[[#All],[STAFF:]],$A10,Jun_Period_2_Tbl[[#All],[$ PAID PT]])+  SUMIF(Jul_Period_2_Tbl[[#All],[STAFF:]],$A10,Jul_Period_2_Tbl[[#All],[$ PAID PT]])+  SUMIF(Aug_Period_2_Tbl[[#All],[STAFF:]],$A10,Aug_Period_2_Tbl[[#All],[$ PAID PT]])+  SUMIF(Sep_Period_2_Tbl[[#All],[STAFF:]],$A10,Sep_Period_2_Tbl[[#All],[$ PAID PT]])+  SUMIF(Oct_Period_2_Tbl[[#All],[STAFF:]],$A10,Oct_Period_2_Tbl[[#All],[$ PAID PT]])+     SUMIF(Nov_Period_2_Tbl[[#All],[STAFF:]],$A10,Nov_Period_2_Tbl[[#All],[$ PAID PT]])+  SUMIF(Dec_Period_2_Tbl[[#All],[STAFF:]],$A10,Dec_Period_2_Tbl[[#All],[$ PAID PT]]))</f>
        <v>0</v>
      </c>
      <c r="L10" s="190">
        <f>(SUMIF(Jan_Period_1_Tbl[[#All],[STAFF:]],$A10,Jan_Period_1_Tbl[[#All],[$ PT COMM]])+
SUMIF(Feb_Period_1_Tbl[[#All],[STAFF:]],$A10,Feb_Period_1_Tbl[[#All],[$ PT COMM]])+SUMIF(Mar_Period_1_Tbl[[#All],[STAFF:]],$A10,Mar_Period_1_Tbl[[#All],[$ PT COMM]])+SUMIF(Apr_Period_1_Tbl[[#All],[STAFF:]],$A10,Apr_Period_1_Tbl[[#All],[$ PT COMM]])+   SUMIF(May_Period_1_Tbl[[#All],[STAFF:]],$A10,May_Period_1_Tbl[[#All],[$ PT COMM]])+   SUMIF(Jun_Period_1_Tbl[[#All],[STAFF:]],$A10,Jun_Period_1_Tbl[[#All],[$ PT COMM]])+  SUMIF(Jul_Period_1_Tbl[[#All],[STAFF:]],$A10,Jul_Period_1_Tbl[[#All],[$ PT COMM]])+  SUMIF(Aug_Period_1_Tbl[[#All],[STAFF:]],$A10,Aug_Period_1_Tbl[[#All],[$ PT COMM]])+  SUMIF(Sep_Period_1_Tbl[[#All],[STAFF:]],$A10,Sep_Period_1_Tbl[[#All],[$ PT COMM]])+  SUMIF(Oct_Period_1_Tbl[[#All],[STAFF:]],$A10,Oct_Period_1_Tbl[[#All],[$ PT COMM]])+     SUMIF(Nov_Period_1_Tbl[[#All],[STAFF:]],$A10,Nov_Period_1_Tbl[[#All],[$ PT COMM]])+  SUMIF(Dec_Period_1_Tbl[[#All],[STAFF:]],$A10,Dec_Period_1_Tbl[[#All],[$ PT COMM]]))+   (SUMIF(Jan_Period_2_Tbl[[#All],[STAFF:]],$A10,Jan_Period_2_Tbl[[#All],[$ PT COMM]])+
SUMIF(Feb_Period_2_Tbl[[#All],[STAFF:]],$A10,Feb_Period_2_Tbl[[#All],[$ PT COMM]])+SUMIF(Mar_Period_2_Tbl[[#All],[STAFF:]],$A10,Mar_Period_2_Tbl[[#All],[$ PT COMM]])+SUMIF(Apr_Period_2_Tbl[[#All],[STAFF:]],$A10,Apr_Period_2_Tbl[[#All],[$ PT COMM]])+   SUMIF(May_Period_2_Tbl[[#All],[STAFF:]],$A10,May_Period_2_Tbl[[#All],[$ PT COMM]])+   SUMIF(Jun_Period_2_Tbl[[#All],[STAFF:]],$A10,Jun_Period_2_Tbl[[#All],[$ PT COMM]])+  SUMIF(Jul_Period_2_Tbl[[#All],[STAFF:]],$A10,Jul_Period_2_Tbl[[#All],[$ PT COMM]])+  SUMIF(Aug_Period_2_Tbl[[#All],[STAFF:]],$A10,Aug_Period_2_Tbl[[#All],[$ PT COMM]])+  SUMIF(Sep_Period_2_Tbl[[#All],[STAFF:]],$A10,Sep_Period_2_Tbl[[#All],[$ PT COMM]])+  SUMIF(Oct_Period_2_Tbl[[#All],[STAFF:]],$A10,Oct_Period_2_Tbl[[#All],[$ PT COMM]])+     SUMIF(Nov_Period_2_Tbl[[#All],[STAFF:]],$A10,Nov_Period_2_Tbl[[#All],[$ PT COMM]])+  SUMIF(Dec_Period_2_Tbl[[#All],[STAFF:]],$A10,Dec_Period_2_Tbl[[#All],[$ PT COMM]]))</f>
        <v>0</v>
      </c>
      <c r="M10" s="190">
        <f>(SUMIF(Jan_Period_1_Tbl[[#All],[STAFF:]],$A10,Jan_Period_1_Tbl[[#All],[$ EFT COMM]])+
SUMIF(Feb_Period_1_Tbl[[#All],[STAFF:]],$A10,Feb_Period_1_Tbl[[#All],[$ EFT COMM]])+SUMIF(Mar_Period_1_Tbl[[#All],[STAFF:]],$A10,Mar_Period_1_Tbl[[#All],[$ EFT COMM]])+SUMIF(Apr_Period_1_Tbl[[#All],[STAFF:]],$A10,Apr_Period_1_Tbl[[#All],[$ EFT COMM]])+   SUMIF(May_Period_1_Tbl[[#All],[STAFF:]],$A10,May_Period_1_Tbl[[#All],[$ EFT COMM]])+   SUMIF(Jun_Period_1_Tbl[[#All],[STAFF:]],$A10,Jun_Period_1_Tbl[[#All],[$ EFT COMM]])+  SUMIF(Jul_Period_1_Tbl[[#All],[STAFF:]],$A10,Jul_Period_1_Tbl[[#All],[$ EFT COMM]])+  SUMIF(Aug_Period_1_Tbl[[#All],[STAFF:]],$A10,Aug_Period_1_Tbl[[#All],[$ EFT COMM]])+  SUMIF(Sep_Period_1_Tbl[[#All],[STAFF:]],$A10,Sep_Period_1_Tbl[[#All],[$ EFT COMM]])+  SUMIF(Oct_Period_1_Tbl[[#All],[STAFF:]],$A10,Oct_Period_1_Tbl[[#All],[$ EFT COMM]])+     SUMIF(Nov_Period_1_Tbl[[#All],[STAFF:]],$A10,Nov_Period_1_Tbl[[#All],[$ EFT COMM]])+  SUMIF(Dec_Period_1_Tbl[[#All],[STAFF:]],$A10,Dec_Period_1_Tbl[[#All],[$ EFT COMM]]))+   (SUMIF(Jan_Period_2_Tbl[[#All],[STAFF:]],$A10,Jan_Period_2_Tbl[[#All],[$ EFT COMM]])+
SUMIF(Feb_Period_2_Tbl[[#All],[STAFF:]],$A10,Feb_Period_2_Tbl[[#All],[$ EFT COMM]])+SUMIF(Mar_Period_2_Tbl[[#All],[STAFF:]],$A10,Mar_Period_2_Tbl[[#All],[$ EFT COMM]])+SUMIF(Apr_Period_2_Tbl[[#All],[STAFF:]],$A10,Apr_Period_2_Tbl[[#All],[$ EFT COMM]])+   SUMIF(May_Period_2_Tbl[[#All],[STAFF:]],$A10,May_Period_2_Tbl[[#All],[$ EFT COMM]])+   SUMIF(Jun_Period_2_Tbl[[#All],[STAFF:]],$A10,Jun_Period_2_Tbl[[#All],[$ EFT COMM]])+  SUMIF(Jul_Period_2_Tbl[[#All],[STAFF:]],$A10,Jul_Period_2_Tbl[[#All],[$ EFT COMM]])+  SUMIF(Aug_Period_2_Tbl[[#All],[STAFF:]],$A10,Aug_Period_2_Tbl[[#All],[$ EFT COMM]])+  SUMIF(Sep_Period_2_Tbl[[#All],[STAFF:]],$A10,Sep_Period_2_Tbl[[#All],[$ EFT COMM]])+  SUMIF(Oct_Period_2_Tbl[[#All],[STAFF:]],$A10,Oct_Period_2_Tbl[[#All],[$ EFT COMM]])+     SUMIF(Nov_Period_2_Tbl[[#All],[STAFF:]],$A10,Nov_Period_2_Tbl[[#All],[$ EFT COMM]])+  SUMIF(Dec_Period_2_Tbl[[#All],[STAFF:]],$A10,Dec_Period_2_Tbl[[#All],[$ EFT COMM]]))</f>
        <v>0</v>
      </c>
      <c r="N10" s="190">
        <f>(SUMIF(Jan_Period_1_Tbl[[#All],[STAFF:]],$A10,Jan_Period_1_Tbl[[#All],[$ CLASS PAY]])+
SUMIF(Feb_Period_1_Tbl[[#All],[STAFF:]],$A10,Feb_Period_1_Tbl[[#All],[$ CLASS PAY]])+SUMIF(Mar_Period_1_Tbl[[#All],[STAFF:]],$A10,Mar_Period_1_Tbl[[#All],[$ CLASS PAY]])+SUMIF(Apr_Period_1_Tbl[[#All],[STAFF:]],$A10,Apr_Period_1_Tbl[[#All],[$ CLASS PAY]])+   SUMIF(May_Period_1_Tbl[[#All],[STAFF:]],$A10,May_Period_1_Tbl[[#All],[$ CLASS PAY]])+   SUMIF(Jun_Period_1_Tbl[[#All],[STAFF:]],$A10,Jun_Period_1_Tbl[[#All],[$ CLASS PAY]])+  SUMIF(Jul_Period_1_Tbl[[#All],[STAFF:]],$A10,Jul_Period_1_Tbl[[#All],[$ CLASS PAY]])+  SUMIF(Aug_Period_1_Tbl[[#All],[STAFF:]],$A10,Aug_Period_1_Tbl[[#All],[$ CLASS PAY]])+  SUMIF(Sep_Period_1_Tbl[[#All],[STAFF:]],$A10,Sep_Period_1_Tbl[[#All],[$ CLASS PAY]])+  SUMIF(Oct_Period_1_Tbl[[#All],[STAFF:]],$A10,Oct_Period_1_Tbl[[#All],[$ CLASS PAY]])+     SUMIF(Nov_Period_1_Tbl[[#All],[STAFF:]],$A10,Nov_Period_1_Tbl[[#All],[$ CLASS PAY]])+  SUMIF(Dec_Period_1_Tbl[[#All],[STAFF:]],$A10,Dec_Period_1_Tbl[[#All],[$ CLASS PAY]]))+   (SUMIF(Jan_Period_2_Tbl[[#All],[STAFF:]],$A10,Jan_Period_2_Tbl[[#All],[$ CLASS PAY]])+
SUMIF(Feb_Period_2_Tbl[[#All],[STAFF:]],$A10,Feb_Period_2_Tbl[[#All],[$ CLASS PAY]])+SUMIF(Mar_Period_2_Tbl[[#All],[STAFF:]],$A10,Mar_Period_2_Tbl[[#All],[$ CLASS PAY]])+SUMIF(Apr_Period_2_Tbl[[#All],[STAFF:]],$A10,Apr_Period_2_Tbl[[#All],[$ CLASS PAY]])+   SUMIF(May_Period_2_Tbl[[#All],[STAFF:]],$A10,May_Period_2_Tbl[[#All],[$ CLASS PAY]])+   SUMIF(Jun_Period_2_Tbl[[#All],[STAFF:]],$A10,Jun_Period_2_Tbl[[#All],[$ CLASS PAY]])+  SUMIF(Jul_Period_2_Tbl[[#All],[STAFF:]],$A10,Jul_Period_2_Tbl[[#All],[$ CLASS PAY]])+  SUMIF(Aug_Period_2_Tbl[[#All],[STAFF:]],$A10,Aug_Period_2_Tbl[[#All],[$ CLASS PAY]])+  SUMIF(Sep_Period_2_Tbl[[#All],[STAFF:]],$A10,Sep_Period_2_Tbl[[#All],[$ CLASS PAY]])+  SUMIF(Oct_Period_2_Tbl[[#All],[STAFF:]],$A10,Oct_Period_2_Tbl[[#All],[$ CLASS PAY]])+     SUMIF(Nov_Period_2_Tbl[[#All],[STAFF:]],$A10,Nov_Period_2_Tbl[[#All],[$ CLASS PAY]])+  SUMIF(Dec_Period_2_Tbl[[#All],[STAFF:]],$A10,Dec_Period_2_Tbl[[#All],[$ CLASS PAY]]))</f>
        <v>0</v>
      </c>
      <c r="O10" s="191">
        <f>(SUMIF(Jan_Period_1_Tbl[[#All],[STAFF:]],$A10,Jan_Period_1_Tbl[[#All],[$ BONUS PAY]])+
SUMIF(Feb_Period_1_Tbl[[#All],[STAFF:]],$A10,Feb_Period_1_Tbl[[#All],[$ BONUS PAY]])+SUMIF(Mar_Period_1_Tbl[[#All],[STAFF:]],$A10,Mar_Period_1_Tbl[[#All],[$ BONUS PAY]])+SUMIF(Apr_Period_1_Tbl[[#All],[STAFF:]],$A10,Apr_Period_1_Tbl[[#All],[$ BONUS PAY]])+   SUMIF(May_Period_1_Tbl[[#All],[STAFF:]],$A10,May_Period_1_Tbl[[#All],[$ BONUS PAY]])+   SUMIF(Jun_Period_1_Tbl[[#All],[STAFF:]],$A10,Jun_Period_1_Tbl[[#All],[$ BONUS PAY]])+  SUMIF(Jul_Period_1_Tbl[[#All],[STAFF:]],$A10,Jul_Period_1_Tbl[[#All],[$ BONUS PAY]])+  SUMIF(Aug_Period_1_Tbl[[#All],[STAFF:]],$A10,Aug_Period_1_Tbl[[#All],[$ BONUS PAY]])+  SUMIF(Sep_Period_1_Tbl[[#All],[STAFF:]],$A10,Sep_Period_1_Tbl[[#All],[$ BONUS PAY]])+  SUMIF(Oct_Period_1_Tbl[[#All],[STAFF:]],$A10,Oct_Period_1_Tbl[[#All],[$ BONUS PAY]])+     SUMIF(Nov_Period_1_Tbl[[#All],[STAFF:]],$A10,Nov_Period_1_Tbl[[#All],[$ BONUS PAY]])+  SUMIF(Dec_Period_1_Tbl[[#All],[STAFF:]],$A10,Dec_Period_1_Tbl[[#All],[$ BONUS PAY]]))+   (SUMIF(Jan_Period_2_Tbl[[#All],[STAFF:]],$A10,Jan_Period_2_Tbl[[#All],[$ BONUS PAY]])+
SUMIF(Feb_Period_2_Tbl[[#All],[STAFF:]],$A10,Feb_Period_2_Tbl[[#All],[$ BONUS PAY]])+SUMIF(Mar_Period_2_Tbl[[#All],[STAFF:]],$A10,Mar_Period_2_Tbl[[#All],[$ BONUS PAY]])+SUMIF(Apr_Period_2_Tbl[[#All],[STAFF:]],$A10,Apr_Period_2_Tbl[[#All],[$ BONUS PAY]])+   SUMIF(May_Period_2_Tbl[[#All],[STAFF:]],$A10,May_Period_2_Tbl[[#All],[$ BONUS PAY]])+   SUMIF(Jun_Period_2_Tbl[[#All],[STAFF:]],$A10,Jun_Period_2_Tbl[[#All],[$ BONUS PAY]])+  SUMIF(Jul_Period_2_Tbl[[#All],[STAFF:]],$A10,Jul_Period_2_Tbl[[#All],[$ BONUS PAY]])+  SUMIF(Aug_Period_2_Tbl[[#All],[STAFF:]],$A10,Aug_Period_2_Tbl[[#All],[$ BONUS PAY]])+  SUMIF(Sep_Period_2_Tbl[[#All],[STAFF:]],$A10,Sep_Period_2_Tbl[[#All],[$ BONUS PAY]])+  SUMIF(Oct_Period_2_Tbl[[#All],[STAFF:]],$A10,Oct_Period_2_Tbl[[#All],[$ BONUS PAY]])+     SUMIF(Nov_Period_2_Tbl[[#All],[STAFF:]],$A10,Nov_Period_2_Tbl[[#All],[$ BONUS PAY]])+  SUMIF(Dec_Period_2_Tbl[[#All],[STAFF:]],$A10,Dec_Period_2_Tbl[[#All],[$ BONUS PAY]]))</f>
        <v>0</v>
      </c>
      <c r="P10" s="179">
        <f t="shared" si="0"/>
        <v>0</v>
      </c>
      <c r="Q10" s="149"/>
      <c r="R10" s="160">
        <f>(SUMIF(Jan_Period_1_Tbl[[#All],[STAFF:]],$A10,Jan_Period_1_Tbl[[#All],['# POINTS EARNED]])+
SUMIF(Feb_Period_1_Tbl[[#All],[STAFF:]],$A10,Feb_Period_1_Tbl[[#All],['# POINTS EARNED]])+SUMIF(Mar_Period_1_Tbl[[#All],[STAFF:]],$A10,Mar_Period_1_Tbl[[#All],['# POINTS EARNED]])+SUMIF(Apr_Period_1_Tbl[[#All],[STAFF:]],$A10,Apr_Period_1_Tbl[[#All],['# POINTS EARNED]])+   SUMIF(May_Period_1_Tbl[[#All],[STAFF:]],$A10,May_Period_1_Tbl[[#All],['# POINTS EARNED]])+   SUMIF(Jun_Period_1_Tbl[[#All],[STAFF:]],$A10,Jun_Period_1_Tbl[[#All],['# POINTS EARNED]])+  SUMIF(Jul_Period_1_Tbl[[#All],[STAFF:]],$A10,Jul_Period_1_Tbl[[#All],['# POINTS EARNED]])+  SUMIF(Aug_Period_1_Tbl[[#All],[STAFF:]],$A10,Aug_Period_1_Tbl[[#All],['# POINTS EARNED]])+  SUMIF(Sep_Period_1_Tbl[[#All],[STAFF:]],$A10,Sep_Period_1_Tbl[[#All],['# POINTS EARNED]])+  SUMIF(Oct_Period_1_Tbl[[#All],[STAFF:]],$A10,Oct_Period_1_Tbl[[#All],['# POINTS EARNED]])+     SUMIF(Nov_Period_1_Tbl[[#All],[STAFF:]],$A10,Nov_Period_1_Tbl[[#All],['# POINTS EARNED]])+  SUMIF(Dec_Period_1_Tbl[[#All],[STAFF:]],$A10,Dec_Period_1_Tbl[[#All],['# POINTS EARNED]]))+   (SUMIF(Jan_Period_2_Tbl[[#All],[STAFF:]],$A10,Jan_Period_2_Tbl[[#All],['# POINTS EARNED]])+
SUMIF(Feb_Period_2_Tbl[[#All],[STAFF:]],$A10,Feb_Period_2_Tbl[[#All],['# POINTS EARNED]])+SUMIF(Mar_Period_2_Tbl[[#All],[STAFF:]],$A10,Mar_Period_2_Tbl[[#All],['# POINTS EARNED]])+SUMIF(Apr_Period_2_Tbl[[#All],[STAFF:]],$A10,Apr_Period_2_Tbl[[#All],['# POINTS EARNED]])+   SUMIF(May_Period_2_Tbl[[#All],[STAFF:]],$A10,May_Period_2_Tbl[[#All],['# POINTS EARNED]])+   SUMIF(Jun_Period_2_Tbl[[#All],[STAFF:]],$A10,Jun_Period_2_Tbl[[#All],['# POINTS EARNED]])+  SUMIF(Jul_Period_2_Tbl[[#All],[STAFF:]],$A10,Jul_Period_2_Tbl[[#All],['# POINTS EARNED]])+  SUMIF(Aug_Period_2_Tbl[[#All],[STAFF:]],$A10,Aug_Period_2_Tbl[[#All],['# POINTS EARNED]])+  SUMIF(Sep_Period_2_Tbl[[#All],[STAFF:]],$A10,Sep_Period_2_Tbl[[#All],['# POINTS EARNED]])+  SUMIF(Oct_Period_2_Tbl[[#All],[STAFF:]],$A10,Oct_Period_2_Tbl[[#All],['# POINTS EARNED]])+     SUMIF(Nov_Period_2_Tbl[[#All],[STAFF:]],$A10,Nov_Period_2_Tbl[[#All],['# POINTS EARNED]])+  SUMIF(Dec_Period_2_Tbl[[#All],[STAFF:]],$A10,Dec_Period_2_Tbl[[#All],['# POINTS EARNED]]))</f>
        <v>0</v>
      </c>
      <c r="S10" s="160">
        <f>(SUMIF(Jan_Period_1_Tbl[[#All],[STAFF:]],$A10,Jan_Period_1_Tbl[[#All],['# POINTS USED]])+
SUMIF(Feb_Period_1_Tbl[[#All],[STAFF:]],$A10,Feb_Period_1_Tbl[[#All],['# POINTS USED]])+SUMIF(Mar_Period_1_Tbl[[#All],[STAFF:]],$A10,Mar_Period_1_Tbl[[#All],['# POINTS USED]])+SUMIF(Apr_Period_1_Tbl[[#All],[STAFF:]],$A10,Apr_Period_1_Tbl[[#All],['# POINTS USED]])+   SUMIF(May_Period_1_Tbl[[#All],[STAFF:]],$A10,May_Period_1_Tbl[[#All],['# POINTS USED]])+   SUMIF(Jun_Period_1_Tbl[[#All],[STAFF:]],$A10,Jun_Period_1_Tbl[[#All],['# POINTS USED]])+  SUMIF(Jul_Period_1_Tbl[[#All],[STAFF:]],$A10,Jul_Period_1_Tbl[[#All],['# POINTS USED]])+  SUMIF(Aug_Period_1_Tbl[[#All],[STAFF:]],$A10,Aug_Period_1_Tbl[[#All],['# POINTS USED]])+  SUMIF(Sep_Period_1_Tbl[[#All],[STAFF:]],$A10,Sep_Period_1_Tbl[[#All],['# POINTS USED]])+  SUMIF(Oct_Period_1_Tbl[[#All],[STAFF:]],$A10,Oct_Period_1_Tbl[[#All],['# POINTS USED]])+     SUMIF(Nov_Period_1_Tbl[[#All],[STAFF:]],$A10,Nov_Period_1_Tbl[[#All],['# POINTS USED]])+  SUMIF(Dec_Period_1_Tbl[[#All],[STAFF:]],$A10,Dec_Period_1_Tbl[[#All],['# POINTS USED]]))+   (SUMIF(Jan_Period_2_Tbl[[#All],[STAFF:]],$A10,Jan_Period_2_Tbl[[#All],['# POINTS USED]])+
SUMIF(Feb_Period_2_Tbl[[#All],[STAFF:]],$A10,Feb_Period_2_Tbl[[#All],['# POINTS USED]])+SUMIF(Mar_Period_2_Tbl[[#All],[STAFF:]],$A10,Mar_Period_2_Tbl[[#All],['# POINTS USED]])+SUMIF(Apr_Period_2_Tbl[[#All],[STAFF:]],$A10,Apr_Period_2_Tbl[[#All],['# POINTS USED]])+   SUMIF(May_Period_2_Tbl[[#All],[STAFF:]],$A10,May_Period_2_Tbl[[#All],['# POINTS USED]])+   SUMIF(Jun_Period_2_Tbl[[#All],[STAFF:]],$A10,Jun_Period_2_Tbl[[#All],['# POINTS USED]])+  SUMIF(Jul_Period_2_Tbl[[#All],[STAFF:]],$A10,Jul_Period_2_Tbl[[#All],['# POINTS USED]])+  SUMIF(Aug_Period_2_Tbl[[#All],[STAFF:]],$A10,Aug_Period_2_Tbl[[#All],['# POINTS USED]])+  SUMIF(Sep_Period_2_Tbl[[#All],[STAFF:]],$A10,Sep_Period_2_Tbl[[#All],['# POINTS USED]])+  SUMIF(Oct_Period_2_Tbl[[#All],[STAFF:]],$A10,Oct_Period_2_Tbl[[#All],['# POINTS USED]])+     SUMIF(Nov_Period_2_Tbl[[#All],[STAFF:]],$A10,Nov_Period_2_Tbl[[#All],['# POINTS USED]])+  SUMIF(Dec_Period_2_Tbl[[#All],[STAFF:]],$A10,Dec_Period_2_Tbl[[#All],['# POINTS USED]]))</f>
        <v>0</v>
      </c>
      <c r="T10" s="160">
        <f>(SUMIF(Jan_Period_1_Tbl[[#All],[STAFF:]],$A10,Jan_Period_1_Tbl[[#All],['# CLASSES LEAD]])+
SUMIF(Feb_Period_1_Tbl[[#All],[STAFF:]],$A10,Feb_Period_1_Tbl[[#All],['# CLASSES LEAD]])+SUMIF(Mar_Period_1_Tbl[[#All],[STAFF:]],$A10,Mar_Period_1_Tbl[[#All],['# CLASSES LEAD]])+SUMIF(Apr_Period_1_Tbl[[#All],[STAFF:]],$A10,Apr_Period_1_Tbl[[#All],['# CLASSES LEAD]])+   SUMIF(May_Period_1_Tbl[[#All],[STAFF:]],$A10,May_Period_1_Tbl[[#All],['# CLASSES LEAD]])+   SUMIF(Jun_Period_1_Tbl[[#All],[STAFF:]],$A10,Jun_Period_1_Tbl[[#All],['# CLASSES LEAD]])+  SUMIF(Jul_Period_1_Tbl[[#All],[STAFF:]],$A10,Jul_Period_1_Tbl[[#All],['# CLASSES LEAD]])+  SUMIF(Aug_Period_1_Tbl[[#All],[STAFF:]],$A10,Aug_Period_1_Tbl[[#All],['# CLASSES LEAD]])+  SUMIF(Sep_Period_1_Tbl[[#All],[STAFF:]],$A10,Sep_Period_1_Tbl[[#All],['# CLASSES LEAD]])+  SUMIF(Oct_Period_1_Tbl[[#All],[STAFF:]],$A10,Oct_Period_1_Tbl[[#All],['# CLASSES LEAD]])+     SUMIF(Nov_Period_1_Tbl[[#All],[STAFF:]],$A10,Nov_Period_1_Tbl[[#All],['# CLASSES LEAD]])+  SUMIF(Dec_Period_1_Tbl[[#All],[STAFF:]],$A10,Dec_Period_1_Tbl[[#All],['# CLASSES LEAD]]))+   (SUMIF(Jan_Period_2_Tbl[[#All],[STAFF:]],$A10,Jan_Period_2_Tbl[[#All],['# CLASSES LEAD]])+
SUMIF(Feb_Period_2_Tbl[[#All],[STAFF:]],$A10,Feb_Period_2_Tbl[[#All],['# CLASSES LEAD]])+SUMIF(Mar_Period_2_Tbl[[#All],[STAFF:]],$A10,Mar_Period_2_Tbl[[#All],['# CLASSES LEAD]])+SUMIF(Apr_Period_2_Tbl[[#All],[STAFF:]],$A10,Apr_Period_2_Tbl[[#All],['# CLASSES LEAD]])+   SUMIF(May_Period_2_Tbl[[#All],[STAFF:]],$A10,May_Period_2_Tbl[[#All],['# CLASSES LEAD]])+   SUMIF(Jun_Period_2_Tbl[[#All],[STAFF:]],$A10,Jun_Period_2_Tbl[[#All],['# CLASSES LEAD]])+  SUMIF(Jul_Period_2_Tbl[[#All],[STAFF:]],$A10,Jul_Period_2_Tbl[[#All],['# CLASSES LEAD]])+  SUMIF(Aug_Period_2_Tbl[[#All],[STAFF:]],$A10,Aug_Period_2_Tbl[[#All],['# CLASSES LEAD]])+  SUMIF(Sep_Period_2_Tbl[[#All],[STAFF:]],$A10,Sep_Period_2_Tbl[[#All],['# CLASSES LEAD]])+  SUMIF(Oct_Period_2_Tbl[[#All],[STAFF:]],$A10,Oct_Period_2_Tbl[[#All],['# CLASSES LEAD]])+     SUMIF(Nov_Period_2_Tbl[[#All],[STAFF:]],$A10,Nov_Period_2_Tbl[[#All],['# CLASSES LEAD]])+  SUMIF(Dec_Period_2_Tbl[[#All],[STAFF:]],$A10,Dec_Period_2_Tbl[[#All],['# CLASSES LEAD]]))</f>
        <v>0</v>
      </c>
      <c r="U10" s="160">
        <f>(SUMIF(Jan_Period_1_Tbl[[#All],[STAFF:]],$A10,Jan_Period_1_Tbl[[#All],['# CLASSES SHOW]])+
SUMIF(Feb_Period_1_Tbl[[#All],[STAFF:]],$A10,Feb_Period_1_Tbl[[#All],['# CLASSES SHOW]])+SUMIF(Mar_Period_1_Tbl[[#All],[STAFF:]],$A10,Mar_Period_1_Tbl[[#All],['# CLASSES SHOW]])+SUMIF(Apr_Period_1_Tbl[[#All],[STAFF:]],$A10,Apr_Period_1_Tbl[[#All],['# CLASSES SHOW]])+   SUMIF(May_Period_1_Tbl[[#All],[STAFF:]],$A10,May_Period_1_Tbl[[#All],['# CLASSES SHOW]])+   SUMIF(Jun_Period_1_Tbl[[#All],[STAFF:]],$A10,Jun_Period_1_Tbl[[#All],['# CLASSES SHOW]])+  SUMIF(Jul_Period_1_Tbl[[#All],[STAFF:]],$A10,Jul_Period_1_Tbl[[#All],['# CLASSES SHOW]])+  SUMIF(Aug_Period_1_Tbl[[#All],[STAFF:]],$A10,Aug_Period_1_Tbl[[#All],['# CLASSES SHOW]])+  SUMIF(Sep_Period_1_Tbl[[#All],[STAFF:]],$A10,Sep_Period_1_Tbl[[#All],['# CLASSES SHOW]])+  SUMIF(Oct_Period_1_Tbl[[#All],[STAFF:]],$A10,Oct_Period_1_Tbl[[#All],['# CLASSES SHOW]])+     SUMIF(Nov_Period_1_Tbl[[#All],[STAFF:]],$A10,Nov_Period_1_Tbl[[#All],['# CLASSES SHOW]])+  SUMIF(Dec_Period_1_Tbl[[#All],[STAFF:]],$A10,Dec_Period_1_Tbl[[#All],['# CLASSES SHOW]]))+   (SUMIF(Jan_Period_2_Tbl[[#All],[STAFF:]],$A10,Jan_Period_2_Tbl[[#All],['# CLASSES SHOW]])+
SUMIF(Feb_Period_2_Tbl[[#All],[STAFF:]],$A10,Feb_Period_2_Tbl[[#All],['# CLASSES SHOW]])+SUMIF(Mar_Period_2_Tbl[[#All],[STAFF:]],$A10,Mar_Period_2_Tbl[[#All],['# CLASSES SHOW]])+SUMIF(Apr_Period_2_Tbl[[#All],[STAFF:]],$A10,Apr_Period_2_Tbl[[#All],['# CLASSES SHOW]])+   SUMIF(May_Period_2_Tbl[[#All],[STAFF:]],$A10,May_Period_2_Tbl[[#All],['# CLASSES SHOW]])+   SUMIF(Jun_Period_2_Tbl[[#All],[STAFF:]],$A10,Jun_Period_2_Tbl[[#All],['# CLASSES SHOW]])+  SUMIF(Jul_Period_2_Tbl[[#All],[STAFF:]],$A10,Jul_Period_2_Tbl[[#All],['# CLASSES SHOW]])+  SUMIF(Aug_Period_2_Tbl[[#All],[STAFF:]],$A10,Aug_Period_2_Tbl[[#All],['# CLASSES SHOW]])+  SUMIF(Sep_Period_2_Tbl[[#All],[STAFF:]],$A10,Sep_Period_2_Tbl[[#All],['# CLASSES SHOW]])+  SUMIF(Oct_Period_2_Tbl[[#All],[STAFF:]],$A10,Oct_Period_2_Tbl[[#All],['# CLASSES SHOW]])+     SUMIF(Nov_Period_2_Tbl[[#All],[STAFF:]],$A10,Nov_Period_2_Tbl[[#All],['# CLASSES SHOW]])+  SUMIF(Dec_Period_2_Tbl[[#All],[STAFF:]],$A10,Dec_Period_2_Tbl[[#All],['# CLASSES SHOW]]))</f>
        <v>0</v>
      </c>
      <c r="V10" s="156"/>
      <c r="W10" s="156"/>
      <c r="X10" s="155">
        <f t="shared" si="1"/>
        <v>0</v>
      </c>
      <c r="Y10" s="155">
        <f t="shared" si="2"/>
        <v>0</v>
      </c>
      <c r="Z10" s="155">
        <f t="shared" si="3"/>
        <v>0</v>
      </c>
      <c r="AA10" s="155">
        <f t="shared" si="4"/>
        <v>0</v>
      </c>
      <c r="AB10" s="155">
        <f t="shared" si="5"/>
        <v>0</v>
      </c>
      <c r="AC10" s="155">
        <f t="shared" si="6"/>
        <v>0</v>
      </c>
      <c r="AD10" s="155">
        <f t="shared" si="7"/>
        <v>0</v>
      </c>
      <c r="AE10" s="149"/>
      <c r="AF10" s="149"/>
      <c r="AG10" s="149"/>
      <c r="AH10" s="149"/>
      <c r="AJ10" s="75" t="str">
        <f t="shared" si="8"/>
        <v>zBlank</v>
      </c>
      <c r="AK10" s="210"/>
      <c r="AL10" s="168">
        <f>IFERROR(VLOOKUP(B10,List!$A:$B,2,FALSE),-1)</f>
        <v>-1</v>
      </c>
      <c r="AM10" s="168">
        <f>IFERROR(VLOOKUP(C10,List!$A:$B,2,FALSE),-1)</f>
        <v>-1</v>
      </c>
    </row>
    <row r="11" spans="1:40" ht="15" hidden="1" customHeight="1" x14ac:dyDescent="0.25">
      <c r="A11" s="20"/>
      <c r="B11" s="186"/>
      <c r="C11" s="186"/>
      <c r="D11" s="187"/>
      <c r="E11" s="188">
        <f>(SUMIF(Jan_Period_1_Tbl[[#All],[STAFF:]],$A11,Jan_Period_1_Tbl[[#All],['# PTO USED]])+
SUMIF(Feb_Period_1_Tbl[[#All],[STAFF:]],$A11,Feb_Period_1_Tbl[[#All],['# PTO USED]])+SUMIF(Mar_Period_1_Tbl[[#All],[STAFF:]],$A11,Mar_Period_1_Tbl[[#All],['# PTO USED]])+SUMIF(Apr_Period_1_Tbl[[#All],[STAFF:]],$A11,Apr_Period_1_Tbl[[#All],['# PTO USED]])+   SUMIF(May_Period_1_Tbl[[#All],[STAFF:]],$A11,May_Period_1_Tbl[[#All],['# PTO USED]])+   SUMIF(Jun_Period_1_Tbl[[#All],[STAFF:]],$A11,Jun_Period_1_Tbl[[#All],['# PTO USED]])+  SUMIF(Jul_Period_1_Tbl[[#All],[STAFF:]],$A11,Jul_Period_1_Tbl[[#All],['# PTO USED]])+  SUMIF(Aug_Period_1_Tbl[[#All],[STAFF:]],$A11,Aug_Period_1_Tbl[[#All],['# PTO USED]])+  SUMIF(Sep_Period_1_Tbl[[#All],[STAFF:]],$A11,Sep_Period_1_Tbl[[#All],['# PTO USED]])+  SUMIF(Oct_Period_1_Tbl[[#All],[STAFF:]],$A11,Oct_Period_1_Tbl[[#All],['# PTO USED]])+     SUMIF(Nov_Period_1_Tbl[[#All],[STAFF:]],$A11,Nov_Period_1_Tbl[[#All],['# PTO USED]])+  SUMIF(Dec_Period_1_Tbl[[#All],[STAFF:]],$A11,Dec_Period_1_Tbl[[#All],['# PTO USED]]))+   (SUMIF(Jan_Period_2_Tbl[[#All],[STAFF:]],$A11,Jan_Period_2_Tbl[[#All],['# PTO USED]])+
SUMIF(Feb_Period_2_Tbl[[#All],[STAFF:]],$A11,Feb_Period_2_Tbl[[#All],['# PTO USED]])+SUMIF(Mar_Period_2_Tbl[[#All],[STAFF:]],$A11,Mar_Period_2_Tbl[[#All],['# PTO USED]])+SUMIF(Apr_Period_2_Tbl[[#All],[STAFF:]],$A11,Apr_Period_2_Tbl[[#All],['# PTO USED]])+   SUMIF(May_Period_2_Tbl[[#All],[STAFF:]],$A11,May_Period_2_Tbl[[#All],['# PTO USED]])+   SUMIF(Jun_Period_2_Tbl[[#All],[STAFF:]],$A11,Jun_Period_2_Tbl[[#All],['# PTO USED]])+  SUMIF(Jul_Period_2_Tbl[[#All],[STAFF:]],$A11,Jul_Period_2_Tbl[[#All],['# PTO USED]])+  SUMIF(Aug_Period_2_Tbl[[#All],[STAFF:]],$A11,Aug_Period_2_Tbl[[#All],['# PTO USED]])+  SUMIF(Sep_Period_2_Tbl[[#All],[STAFF:]],$A11,Sep_Period_2_Tbl[[#All],['# PTO USED]])+  SUMIF(Oct_Period_2_Tbl[[#All],[STAFF:]],$A11,Oct_Period_2_Tbl[[#All],['# PTO USED]])+     SUMIF(Nov_Period_2_Tbl[[#All],[STAFF:]],$A11,Nov_Period_2_Tbl[[#All],['# PTO USED]])+  SUMIF(Dec_Period_2_Tbl[[#All],[STAFF:]],$A11,Dec_Period_2_Tbl[[#All],['# PTO USED]]))</f>
        <v>0</v>
      </c>
      <c r="F11" s="189">
        <f>(SUMIF(Jan_Period_1_Tbl[[#All],[STAFF:]],$A11,Jan_Period_1_Tbl[[#All],['# HRS WORKED]])+
SUMIF(Feb_Period_1_Tbl[[#All],[STAFF:]],$A11,Feb_Period_1_Tbl[[#All],['# HRS WORKED]])+SUMIF(Mar_Period_1_Tbl[[#All],[STAFF:]],$A11,Mar_Period_1_Tbl[[#All],['# HRS WORKED]])+SUMIF(Apr_Period_1_Tbl[[#All],[STAFF:]],$A11,Apr_Period_1_Tbl[[#All],['# HRS WORKED]])+   SUMIF(May_Period_1_Tbl[[#All],[STAFF:]],$A11,May_Period_1_Tbl[[#All],['# HRS WORKED]])+   SUMIF(Jun_Period_1_Tbl[[#All],[STAFF:]],$A11,Jun_Period_1_Tbl[[#All],['# HRS WORKED]])+  SUMIF(Jul_Period_1_Tbl[[#All],[STAFF:]],$A11,Jul_Period_1_Tbl[[#All],['# HRS WORKED]])+  SUMIF(Aug_Period_1_Tbl[[#All],[STAFF:]],$A11,Aug_Period_1_Tbl[[#All],['# HRS WORKED]])+  SUMIF(Sep_Period_1_Tbl[[#All],[STAFF:]],$A11,Sep_Period_1_Tbl[[#All],['# HRS WORKED]])+  SUMIF(Oct_Period_1_Tbl[[#All],[STAFF:]],$A11,Oct_Period_1_Tbl[[#All],['# HRS WORKED]])+     SUMIF(Nov_Period_1_Tbl[[#All],[STAFF:]],$A11,Nov_Period_1_Tbl[[#All],['# HRS WORKED]])+  SUMIF(Dec_Period_1_Tbl[[#All],[STAFF:]],$A11,Dec_Period_1_Tbl[[#All],['# HRS WORKED]]))+   (SUMIF(Jan_Period_2_Tbl[[#All],[STAFF:]],$A11,Jan_Period_2_Tbl[[#All],['# HRS WORKED]])+
SUMIF(Feb_Period_2_Tbl[[#All],[STAFF:]],$A11,Feb_Period_2_Tbl[[#All],['# HRS WORKED]])+SUMIF(Mar_Period_2_Tbl[[#All],[STAFF:]],$A11,Mar_Period_2_Tbl[[#All],['# HRS WORKED]])+SUMIF(Apr_Period_2_Tbl[[#All],[STAFF:]],$A11,Apr_Period_2_Tbl[[#All],['# HRS WORKED]])+   SUMIF(May_Period_2_Tbl[[#All],[STAFF:]],$A11,May_Period_2_Tbl[[#All],['# HRS WORKED]])+   SUMIF(Jun_Period_2_Tbl[[#All],[STAFF:]],$A11,Jun_Period_2_Tbl[[#All],['# HRS WORKED]])+  SUMIF(Jul_Period_2_Tbl[[#All],[STAFF:]],$A11,Jul_Period_2_Tbl[[#All],['# HRS WORKED]])+  SUMIF(Aug_Period_2_Tbl[[#All],[STAFF:]],$A11,Aug_Period_2_Tbl[[#All],['# HRS WORKED]])+  SUMIF(Sep_Period_2_Tbl[[#All],[STAFF:]],$A11,Sep_Period_2_Tbl[[#All],['# HRS WORKED]])+  SUMIF(Oct_Period_2_Tbl[[#All],[STAFF:]],$A11,Oct_Period_2_Tbl[[#All],['# HRS WORKED]])+     SUMIF(Nov_Period_2_Tbl[[#All],[STAFF:]],$A11,Nov_Period_2_Tbl[[#All],['# HRS WORKED]])+  SUMIF(Dec_Period_2_Tbl[[#All],[STAFF:]],$A11,Dec_Period_2_Tbl[[#All],['# HRS WORKED]]))</f>
        <v>0</v>
      </c>
      <c r="G11" s="190">
        <f>(SUMIF(Jan_Period_1_Tbl[[#All],[STAFF:]],$A11,Jan_Period_1_Tbl[[#All],[$ Hourly WAGES]])+
SUMIF(Feb_Period_1_Tbl[[#All],[STAFF:]],$A11,Feb_Period_1_Tbl[[#All],[$ Hourly WAGES]])+SUMIF(Mar_Period_1_Tbl[[#All],[STAFF:]],$A11,Mar_Period_1_Tbl[[#All],[$ Hourly WAGES]])+SUMIF(Apr_Period_1_Tbl[[#All],[STAFF:]],$A11,Apr_Period_1_Tbl[[#All],[$ Hourly WAGES]])+   SUMIF(May_Period_1_Tbl[[#All],[STAFF:]],$A11,May_Period_1_Tbl[[#All],[$ Hourly WAGES]])+   SUMIF(Jun_Period_1_Tbl[[#All],[STAFF:]],$A11,Jun_Period_1_Tbl[[#All],[$ Hourly WAGES]])+  SUMIF(Jul_Period_1_Tbl[[#All],[STAFF:]],$A11,Jul_Period_1_Tbl[[#All],[$ Hourly WAGES]])+  SUMIF(Aug_Period_1_Tbl[[#All],[STAFF:]],$A11,Aug_Period_1_Tbl[[#All],[$ Hourly WAGES]])+  SUMIF(Sep_Period_1_Tbl[[#All],[STAFF:]],$A11,Sep_Period_1_Tbl[[#All],[$ Hourly WAGES]])+  SUMIF(Oct_Period_1_Tbl[[#All],[STAFF:]],$A11,Oct_Period_1_Tbl[[#All],[$ Hourly WAGES]])+     SUMIF(Nov_Period_1_Tbl[[#All],[STAFF:]],$A11,Nov_Period_1_Tbl[[#All],[$ Hourly WAGES]])+  SUMIF(Dec_Period_1_Tbl[[#All],[STAFF:]],$A11,Dec_Period_1_Tbl[[#All],[$ Hourly WAGES]]))+   (SUMIF(Jan_Period_2_Tbl[[#All],[STAFF:]],$A11,Jan_Period_2_Tbl[[#All],[$ Hourly WAGES]])+
SUMIF(Feb_Period_2_Tbl[[#All],[STAFF:]],$A11,Feb_Period_2_Tbl[[#All],[$ Hourly WAGES]])+SUMIF(Mar_Period_2_Tbl[[#All],[STAFF:]],$A11,Mar_Period_2_Tbl[[#All],[$ Hourly WAGES]])+SUMIF(Apr_Period_2_Tbl[[#All],[STAFF:]],$A11,Apr_Period_2_Tbl[[#All],[$ Hourly WAGES]])+   SUMIF(May_Period_2_Tbl[[#All],[STAFF:]],$A11,May_Period_2_Tbl[[#All],[$ Hourly WAGES]])+   SUMIF(Jun_Period_2_Tbl[[#All],[STAFF:]],$A11,Jun_Period_2_Tbl[[#All],[$ Hourly WAGES]])+  SUMIF(Jul_Period_2_Tbl[[#All],[STAFF:]],$A11,Jul_Period_2_Tbl[[#All],[$ Hourly WAGES]])+  SUMIF(Aug_Period_2_Tbl[[#All],[STAFF:]],$A11,Aug_Period_2_Tbl[[#All],[$ Hourly WAGES]])+  SUMIF(Sep_Period_2_Tbl[[#All],[STAFF:]],$A11,Sep_Period_2_Tbl[[#All],[$ Hourly WAGES]])+  SUMIF(Oct_Period_2_Tbl[[#All],[STAFF:]],$A11,Oct_Period_2_Tbl[[#All],[$ Hourly WAGES]])+     SUMIF(Nov_Period_2_Tbl[[#All],[STAFF:]],$A11,Nov_Period_2_Tbl[[#All],[$ Hourly WAGES]])+  SUMIF(Dec_Period_2_Tbl[[#All],[STAFF:]],$A11,Dec_Period_2_Tbl[[#All],[$ Hourly WAGES]]))</f>
        <v>0</v>
      </c>
      <c r="H11" s="190">
        <f>(SUMIF(Jan_Period_1_Tbl[[#All],[STAFF:]],$A11,Jan_Period_1_Tbl[[#All],[$ SALARY]])+
SUMIF(Feb_Period_1_Tbl[[#All],[STAFF:]],$A11,Feb_Period_1_Tbl[[#All],[$ SALARY]])+SUMIF(Mar_Period_1_Tbl[[#All],[STAFF:]],$A11,Mar_Period_1_Tbl[[#All],[$ SALARY]])+SUMIF(Apr_Period_1_Tbl[[#All],[STAFF:]],$A11,Apr_Period_1_Tbl[[#All],[$ SALARY]])+   SUMIF(May_Period_1_Tbl[[#All],[STAFF:]],$A11,May_Period_1_Tbl[[#All],[$ SALARY]])+   SUMIF(Jun_Period_1_Tbl[[#All],[STAFF:]],$A11,Jun_Period_1_Tbl[[#All],[$ SALARY]])+  SUMIF(Jul_Period_1_Tbl[[#All],[STAFF:]],$A11,Jul_Period_1_Tbl[[#All],[$ SALARY]])+  SUMIF(Aug_Period_1_Tbl[[#All],[STAFF:]],$A11,Aug_Period_1_Tbl[[#All],[$ SALARY]])+  SUMIF(Sep_Period_1_Tbl[[#All],[STAFF:]],$A11,Sep_Period_1_Tbl[[#All],[$ SALARY]])+  SUMIF(Oct_Period_1_Tbl[[#All],[STAFF:]],$A11,Oct_Period_1_Tbl[[#All],[$ SALARY]])+     SUMIF(Nov_Period_1_Tbl[[#All],[STAFF:]],$A11,Nov_Period_1_Tbl[[#All],[$ SALARY]])+  SUMIF(Dec_Period_1_Tbl[[#All],[STAFF:]],$A11,Dec_Period_1_Tbl[[#All],[$ SALARY]]))+   (SUMIF(Jan_Period_2_Tbl[[#All],[STAFF:]],$A11,Jan_Period_2_Tbl[[#All],[$ SALARY]])+
SUMIF(Feb_Period_2_Tbl[[#All],[STAFF:]],$A11,Feb_Period_2_Tbl[[#All],[$ SALARY]])+SUMIF(Mar_Period_2_Tbl[[#All],[STAFF:]],$A11,Mar_Period_2_Tbl[[#All],[$ SALARY]])+SUMIF(Apr_Period_2_Tbl[[#All],[STAFF:]],$A11,Apr_Period_2_Tbl[[#All],[$ SALARY]])+   SUMIF(May_Period_2_Tbl[[#All],[STAFF:]],$A11,May_Period_2_Tbl[[#All],[$ SALARY]])+   SUMIF(Jun_Period_2_Tbl[[#All],[STAFF:]],$A11,Jun_Period_2_Tbl[[#All],[$ SALARY]])+  SUMIF(Jul_Period_2_Tbl[[#All],[STAFF:]],$A11,Jul_Period_2_Tbl[[#All],[$ SALARY]])+  SUMIF(Aug_Period_2_Tbl[[#All],[STAFF:]],$A11,Aug_Period_2_Tbl[[#All],[$ SALARY]])+  SUMIF(Sep_Period_2_Tbl[[#All],[STAFF:]],$A11,Sep_Period_2_Tbl[[#All],[$ SALARY]])+  SUMIF(Oct_Period_2_Tbl[[#All],[STAFF:]],$A11,Oct_Period_2_Tbl[[#All],[$ SALARY]])+     SUMIF(Nov_Period_2_Tbl[[#All],[STAFF:]],$A11,Nov_Period_2_Tbl[[#All],[$ SALARY]])+  SUMIF(Dec_Period_2_Tbl[[#All],[STAFF:]],$A11,Dec_Period_2_Tbl[[#All],[$ SALARY]]))</f>
        <v>0</v>
      </c>
      <c r="I11" s="190">
        <f>(SUMIF(Jan_Period_1_Tbl[[#All],[STAFF:]],$A11,Jan_Period_1_Tbl[[#All],[$ SALARY PT]])+
SUMIF(Feb_Period_1_Tbl[[#All],[STAFF:]],$A11,Feb_Period_1_Tbl[[#All],[$ SALARY PT]])+SUMIF(Mar_Period_1_Tbl[[#All],[STAFF:]],$A11,Mar_Period_1_Tbl[[#All],[$ SALARY PT]])+SUMIF(Apr_Period_1_Tbl[[#All],[STAFF:]],$A11,Apr_Period_1_Tbl[[#All],[$ SALARY PT]])+   SUMIF(May_Period_1_Tbl[[#All],[STAFF:]],$A11,May_Period_1_Tbl[[#All],[$ SALARY PT]])+   SUMIF(Jun_Period_1_Tbl[[#All],[STAFF:]],$A11,Jun_Period_1_Tbl[[#All],[$ SALARY PT]])+  SUMIF(Jul_Period_1_Tbl[[#All],[STAFF:]],$A11,Jul_Period_1_Tbl[[#All],[$ SALARY PT]])+  SUMIF(Aug_Period_1_Tbl[[#All],[STAFF:]],$A11,Aug_Period_1_Tbl[[#All],[$ SALARY PT]])+  SUMIF(Sep_Period_1_Tbl[[#All],[STAFF:]],$A11,Sep_Period_1_Tbl[[#All],[$ SALARY PT]])+  SUMIF(Oct_Period_1_Tbl[[#All],[STAFF:]],$A11,Oct_Period_1_Tbl[[#All],[$ SALARY PT]])+     SUMIF(Nov_Period_1_Tbl[[#All],[STAFF:]],$A11,Nov_Period_1_Tbl[[#All],[$ SALARY PT]])+  SUMIF(Dec_Period_1_Tbl[[#All],[STAFF:]],$A11,Dec_Period_1_Tbl[[#All],[$ SALARY PT]]))+   (SUMIF(Jan_Period_2_Tbl[[#All],[STAFF:]],$A11,Jan_Period_2_Tbl[[#All],[$ SALARY PT]])+
SUMIF(Feb_Period_2_Tbl[[#All],[STAFF:]],$A11,Feb_Period_2_Tbl[[#All],[$ SALARY PT]])+SUMIF(Mar_Period_2_Tbl[[#All],[STAFF:]],$A11,Mar_Period_2_Tbl[[#All],[$ SALARY PT]])+SUMIF(Apr_Period_2_Tbl[[#All],[STAFF:]],$A11,Apr_Period_2_Tbl[[#All],[$ SALARY PT]])+   SUMIF(May_Period_2_Tbl[[#All],[STAFF:]],$A11,May_Period_2_Tbl[[#All],[$ SALARY PT]])+   SUMIF(Jun_Period_2_Tbl[[#All],[STAFF:]],$A11,Jun_Period_2_Tbl[[#All],[$ SALARY PT]])+  SUMIF(Jul_Period_2_Tbl[[#All],[STAFF:]],$A11,Jul_Period_2_Tbl[[#All],[$ SALARY PT]])+  SUMIF(Aug_Period_2_Tbl[[#All],[STAFF:]],$A11,Aug_Period_2_Tbl[[#All],[$ SALARY PT]])+  SUMIF(Sep_Period_2_Tbl[[#All],[STAFF:]],$A11,Sep_Period_2_Tbl[[#All],[$ SALARY PT]])+  SUMIF(Oct_Period_2_Tbl[[#All],[STAFF:]],$A11,Oct_Period_2_Tbl[[#All],[$ SALARY PT]])+     SUMIF(Nov_Period_2_Tbl[[#All],[STAFF:]],$A11,Nov_Period_2_Tbl[[#All],[$ SALARY PT]])+  SUMIF(Dec_Period_2_Tbl[[#All],[STAFF:]],$A11,Dec_Period_2_Tbl[[#All],[$ SALARY PT]]))</f>
        <v>0</v>
      </c>
      <c r="J11" s="190">
        <f>(SUMIF(Jan_Period_1_Tbl[[#All],[STAFF:]],$A11,Jan_Period_1_Tbl[[#All],[$ FREE PT]])+
SUMIF(Feb_Period_1_Tbl[[#All],[STAFF:]],$A11,Feb_Period_1_Tbl[[#All],[$ FREE PT]])+SUMIF(Mar_Period_1_Tbl[[#All],[STAFF:]],$A11,Mar_Period_1_Tbl[[#All],[$ FREE PT]])+SUMIF(Apr_Period_1_Tbl[[#All],[STAFF:]],$A11,Apr_Period_1_Tbl[[#All],[$ FREE PT]])+   SUMIF(May_Period_1_Tbl[[#All],[STAFF:]],$A11,May_Period_1_Tbl[[#All],[$ FREE PT]])+   SUMIF(Jun_Period_1_Tbl[[#All],[STAFF:]],$A11,Jun_Period_1_Tbl[[#All],[$ FREE PT]])+  SUMIF(Jul_Period_1_Tbl[[#All],[STAFF:]],$A11,Jul_Period_1_Tbl[[#All],[$ FREE PT]])+  SUMIF(Aug_Period_1_Tbl[[#All],[STAFF:]],$A11,Aug_Period_1_Tbl[[#All],[$ FREE PT]])+  SUMIF(Sep_Period_1_Tbl[[#All],[STAFF:]],$A11,Sep_Period_1_Tbl[[#All],[$ FREE PT]])+  SUMIF(Oct_Period_1_Tbl[[#All],[STAFF:]],$A11,Oct_Period_1_Tbl[[#All],[$ FREE PT]])+     SUMIF(Nov_Period_1_Tbl[[#All],[STAFF:]],$A11,Nov_Period_1_Tbl[[#All],[$ FREE PT]])+  SUMIF(Dec_Period_1_Tbl[[#All],[STAFF:]],$A11,Dec_Period_1_Tbl[[#All],[$ FREE PT]]))+   (SUMIF(Jan_Period_2_Tbl[[#All],[STAFF:]],$A11,Jan_Period_2_Tbl[[#All],[$ FREE PT]])+
SUMIF(Feb_Period_2_Tbl[[#All],[STAFF:]],$A11,Feb_Period_2_Tbl[[#All],[$ FREE PT]])+SUMIF(Mar_Period_2_Tbl[[#All],[STAFF:]],$A11,Mar_Period_2_Tbl[[#All],[$ FREE PT]])+SUMIF(Apr_Period_2_Tbl[[#All],[STAFF:]],$A11,Apr_Period_2_Tbl[[#All],[$ FREE PT]])+   SUMIF(May_Period_2_Tbl[[#All],[STAFF:]],$A11,May_Period_2_Tbl[[#All],[$ FREE PT]])+   SUMIF(Jun_Period_2_Tbl[[#All],[STAFF:]],$A11,Jun_Period_2_Tbl[[#All],[$ FREE PT]])+  SUMIF(Jul_Period_2_Tbl[[#All],[STAFF:]],$A11,Jul_Period_2_Tbl[[#All],[$ FREE PT]])+  SUMIF(Aug_Period_2_Tbl[[#All],[STAFF:]],$A11,Aug_Period_2_Tbl[[#All],[$ FREE PT]])+  SUMIF(Sep_Period_2_Tbl[[#All],[STAFF:]],$A11,Sep_Period_2_Tbl[[#All],[$ FREE PT]])+  SUMIF(Oct_Period_2_Tbl[[#All],[STAFF:]],$A11,Oct_Period_2_Tbl[[#All],[$ FREE PT]])+     SUMIF(Nov_Period_2_Tbl[[#All],[STAFF:]],$A11,Nov_Period_2_Tbl[[#All],[$ FREE PT]])+  SUMIF(Dec_Period_2_Tbl[[#All],[STAFF:]],$A11,Dec_Period_2_Tbl[[#All],[$ FREE PT]]))</f>
        <v>0</v>
      </c>
      <c r="K11" s="190">
        <f>(SUMIF(Jan_Period_1_Tbl[[#All],[STAFF:]],$A11,Jan_Period_1_Tbl[[#All],[$ PAID PT]])+
SUMIF(Feb_Period_1_Tbl[[#All],[STAFF:]],$A11,Feb_Period_1_Tbl[[#All],[$ PAID PT]])+SUMIF(Mar_Period_1_Tbl[[#All],[STAFF:]],$A11,Mar_Period_1_Tbl[[#All],[$ PAID PT]])+SUMIF(Apr_Period_1_Tbl[[#All],[STAFF:]],$A11,Apr_Period_1_Tbl[[#All],[$ PAID PT]])+   SUMIF(May_Period_1_Tbl[[#All],[STAFF:]],$A11,May_Period_1_Tbl[[#All],[$ PAID PT]])+   SUMIF(Jun_Period_1_Tbl[[#All],[STAFF:]],$A11,Jun_Period_1_Tbl[[#All],[$ PAID PT]])+  SUMIF(Jul_Period_1_Tbl[[#All],[STAFF:]],$A11,Jul_Period_1_Tbl[[#All],[$ PAID PT]])+  SUMIF(Aug_Period_1_Tbl[[#All],[STAFF:]],$A11,Aug_Period_1_Tbl[[#All],[$ PAID PT]])+  SUMIF(Sep_Period_1_Tbl[[#All],[STAFF:]],$A11,Sep_Period_1_Tbl[[#All],[$ PAID PT]])+  SUMIF(Oct_Period_1_Tbl[[#All],[STAFF:]],$A11,Oct_Period_1_Tbl[[#All],[$ PAID PT]])+     SUMIF(Nov_Period_1_Tbl[[#All],[STAFF:]],$A11,Nov_Period_1_Tbl[[#All],[$ PAID PT]])+  SUMIF(Dec_Period_1_Tbl[[#All],[STAFF:]],$A11,Dec_Period_1_Tbl[[#All],[$ PAID PT]]))+   (SUMIF(Jan_Period_2_Tbl[[#All],[STAFF:]],$A11,Jan_Period_2_Tbl[[#All],[$ PAID PT]])+
SUMIF(Feb_Period_2_Tbl[[#All],[STAFF:]],$A11,Feb_Period_2_Tbl[[#All],[$ PAID PT]])+SUMIF(Mar_Period_2_Tbl[[#All],[STAFF:]],$A11,Mar_Period_2_Tbl[[#All],[$ PAID PT]])+SUMIF(Apr_Period_2_Tbl[[#All],[STAFF:]],$A11,Apr_Period_2_Tbl[[#All],[$ PAID PT]])+   SUMIF(May_Period_2_Tbl[[#All],[STAFF:]],$A11,May_Period_2_Tbl[[#All],[$ PAID PT]])+   SUMIF(Jun_Period_2_Tbl[[#All],[STAFF:]],$A11,Jun_Period_2_Tbl[[#All],[$ PAID PT]])+  SUMIF(Jul_Period_2_Tbl[[#All],[STAFF:]],$A11,Jul_Period_2_Tbl[[#All],[$ PAID PT]])+  SUMIF(Aug_Period_2_Tbl[[#All],[STAFF:]],$A11,Aug_Period_2_Tbl[[#All],[$ PAID PT]])+  SUMIF(Sep_Period_2_Tbl[[#All],[STAFF:]],$A11,Sep_Period_2_Tbl[[#All],[$ PAID PT]])+  SUMIF(Oct_Period_2_Tbl[[#All],[STAFF:]],$A11,Oct_Period_2_Tbl[[#All],[$ PAID PT]])+     SUMIF(Nov_Period_2_Tbl[[#All],[STAFF:]],$A11,Nov_Period_2_Tbl[[#All],[$ PAID PT]])+  SUMIF(Dec_Period_2_Tbl[[#All],[STAFF:]],$A11,Dec_Period_2_Tbl[[#All],[$ PAID PT]]))</f>
        <v>0</v>
      </c>
      <c r="L11" s="190">
        <f>(SUMIF(Jan_Period_1_Tbl[[#All],[STAFF:]],$A11,Jan_Period_1_Tbl[[#All],[$ PT COMM]])+
SUMIF(Feb_Period_1_Tbl[[#All],[STAFF:]],$A11,Feb_Period_1_Tbl[[#All],[$ PT COMM]])+SUMIF(Mar_Period_1_Tbl[[#All],[STAFF:]],$A11,Mar_Period_1_Tbl[[#All],[$ PT COMM]])+SUMIF(Apr_Period_1_Tbl[[#All],[STAFF:]],$A11,Apr_Period_1_Tbl[[#All],[$ PT COMM]])+   SUMIF(May_Period_1_Tbl[[#All],[STAFF:]],$A11,May_Period_1_Tbl[[#All],[$ PT COMM]])+   SUMIF(Jun_Period_1_Tbl[[#All],[STAFF:]],$A11,Jun_Period_1_Tbl[[#All],[$ PT COMM]])+  SUMIF(Jul_Period_1_Tbl[[#All],[STAFF:]],$A11,Jul_Period_1_Tbl[[#All],[$ PT COMM]])+  SUMIF(Aug_Period_1_Tbl[[#All],[STAFF:]],$A11,Aug_Period_1_Tbl[[#All],[$ PT COMM]])+  SUMIF(Sep_Period_1_Tbl[[#All],[STAFF:]],$A11,Sep_Period_1_Tbl[[#All],[$ PT COMM]])+  SUMIF(Oct_Period_1_Tbl[[#All],[STAFF:]],$A11,Oct_Period_1_Tbl[[#All],[$ PT COMM]])+     SUMIF(Nov_Period_1_Tbl[[#All],[STAFF:]],$A11,Nov_Period_1_Tbl[[#All],[$ PT COMM]])+  SUMIF(Dec_Period_1_Tbl[[#All],[STAFF:]],$A11,Dec_Period_1_Tbl[[#All],[$ PT COMM]]))+   (SUMIF(Jan_Period_2_Tbl[[#All],[STAFF:]],$A11,Jan_Period_2_Tbl[[#All],[$ PT COMM]])+
SUMIF(Feb_Period_2_Tbl[[#All],[STAFF:]],$A11,Feb_Period_2_Tbl[[#All],[$ PT COMM]])+SUMIF(Mar_Period_2_Tbl[[#All],[STAFF:]],$A11,Mar_Period_2_Tbl[[#All],[$ PT COMM]])+SUMIF(Apr_Period_2_Tbl[[#All],[STAFF:]],$A11,Apr_Period_2_Tbl[[#All],[$ PT COMM]])+   SUMIF(May_Period_2_Tbl[[#All],[STAFF:]],$A11,May_Period_2_Tbl[[#All],[$ PT COMM]])+   SUMIF(Jun_Period_2_Tbl[[#All],[STAFF:]],$A11,Jun_Period_2_Tbl[[#All],[$ PT COMM]])+  SUMIF(Jul_Period_2_Tbl[[#All],[STAFF:]],$A11,Jul_Period_2_Tbl[[#All],[$ PT COMM]])+  SUMIF(Aug_Period_2_Tbl[[#All],[STAFF:]],$A11,Aug_Period_2_Tbl[[#All],[$ PT COMM]])+  SUMIF(Sep_Period_2_Tbl[[#All],[STAFF:]],$A11,Sep_Period_2_Tbl[[#All],[$ PT COMM]])+  SUMIF(Oct_Period_2_Tbl[[#All],[STAFF:]],$A11,Oct_Period_2_Tbl[[#All],[$ PT COMM]])+     SUMIF(Nov_Period_2_Tbl[[#All],[STAFF:]],$A11,Nov_Period_2_Tbl[[#All],[$ PT COMM]])+  SUMIF(Dec_Period_2_Tbl[[#All],[STAFF:]],$A11,Dec_Period_2_Tbl[[#All],[$ PT COMM]]))</f>
        <v>0</v>
      </c>
      <c r="M11" s="190">
        <f>(SUMIF(Jan_Period_1_Tbl[[#All],[STAFF:]],$A11,Jan_Period_1_Tbl[[#All],[$ EFT COMM]])+
SUMIF(Feb_Period_1_Tbl[[#All],[STAFF:]],$A11,Feb_Period_1_Tbl[[#All],[$ EFT COMM]])+SUMIF(Mar_Period_1_Tbl[[#All],[STAFF:]],$A11,Mar_Period_1_Tbl[[#All],[$ EFT COMM]])+SUMIF(Apr_Period_1_Tbl[[#All],[STAFF:]],$A11,Apr_Period_1_Tbl[[#All],[$ EFT COMM]])+   SUMIF(May_Period_1_Tbl[[#All],[STAFF:]],$A11,May_Period_1_Tbl[[#All],[$ EFT COMM]])+   SUMIF(Jun_Period_1_Tbl[[#All],[STAFF:]],$A11,Jun_Period_1_Tbl[[#All],[$ EFT COMM]])+  SUMIF(Jul_Period_1_Tbl[[#All],[STAFF:]],$A11,Jul_Period_1_Tbl[[#All],[$ EFT COMM]])+  SUMIF(Aug_Period_1_Tbl[[#All],[STAFF:]],$A11,Aug_Period_1_Tbl[[#All],[$ EFT COMM]])+  SUMIF(Sep_Period_1_Tbl[[#All],[STAFF:]],$A11,Sep_Period_1_Tbl[[#All],[$ EFT COMM]])+  SUMIF(Oct_Period_1_Tbl[[#All],[STAFF:]],$A11,Oct_Period_1_Tbl[[#All],[$ EFT COMM]])+     SUMIF(Nov_Period_1_Tbl[[#All],[STAFF:]],$A11,Nov_Period_1_Tbl[[#All],[$ EFT COMM]])+  SUMIF(Dec_Period_1_Tbl[[#All],[STAFF:]],$A11,Dec_Period_1_Tbl[[#All],[$ EFT COMM]]))+   (SUMIF(Jan_Period_2_Tbl[[#All],[STAFF:]],$A11,Jan_Period_2_Tbl[[#All],[$ EFT COMM]])+
SUMIF(Feb_Period_2_Tbl[[#All],[STAFF:]],$A11,Feb_Period_2_Tbl[[#All],[$ EFT COMM]])+SUMIF(Mar_Period_2_Tbl[[#All],[STAFF:]],$A11,Mar_Period_2_Tbl[[#All],[$ EFT COMM]])+SUMIF(Apr_Period_2_Tbl[[#All],[STAFF:]],$A11,Apr_Period_2_Tbl[[#All],[$ EFT COMM]])+   SUMIF(May_Period_2_Tbl[[#All],[STAFF:]],$A11,May_Period_2_Tbl[[#All],[$ EFT COMM]])+   SUMIF(Jun_Period_2_Tbl[[#All],[STAFF:]],$A11,Jun_Period_2_Tbl[[#All],[$ EFT COMM]])+  SUMIF(Jul_Period_2_Tbl[[#All],[STAFF:]],$A11,Jul_Period_2_Tbl[[#All],[$ EFT COMM]])+  SUMIF(Aug_Period_2_Tbl[[#All],[STAFF:]],$A11,Aug_Period_2_Tbl[[#All],[$ EFT COMM]])+  SUMIF(Sep_Period_2_Tbl[[#All],[STAFF:]],$A11,Sep_Period_2_Tbl[[#All],[$ EFT COMM]])+  SUMIF(Oct_Period_2_Tbl[[#All],[STAFF:]],$A11,Oct_Period_2_Tbl[[#All],[$ EFT COMM]])+     SUMIF(Nov_Period_2_Tbl[[#All],[STAFF:]],$A11,Nov_Period_2_Tbl[[#All],[$ EFT COMM]])+  SUMIF(Dec_Period_2_Tbl[[#All],[STAFF:]],$A11,Dec_Period_2_Tbl[[#All],[$ EFT COMM]]))</f>
        <v>0</v>
      </c>
      <c r="N11" s="190">
        <f>(SUMIF(Jan_Period_1_Tbl[[#All],[STAFF:]],$A11,Jan_Period_1_Tbl[[#All],[$ CLASS PAY]])+
SUMIF(Feb_Period_1_Tbl[[#All],[STAFF:]],$A11,Feb_Period_1_Tbl[[#All],[$ CLASS PAY]])+SUMIF(Mar_Period_1_Tbl[[#All],[STAFF:]],$A11,Mar_Period_1_Tbl[[#All],[$ CLASS PAY]])+SUMIF(Apr_Period_1_Tbl[[#All],[STAFF:]],$A11,Apr_Period_1_Tbl[[#All],[$ CLASS PAY]])+   SUMIF(May_Period_1_Tbl[[#All],[STAFF:]],$A11,May_Period_1_Tbl[[#All],[$ CLASS PAY]])+   SUMIF(Jun_Period_1_Tbl[[#All],[STAFF:]],$A11,Jun_Period_1_Tbl[[#All],[$ CLASS PAY]])+  SUMIF(Jul_Period_1_Tbl[[#All],[STAFF:]],$A11,Jul_Period_1_Tbl[[#All],[$ CLASS PAY]])+  SUMIF(Aug_Period_1_Tbl[[#All],[STAFF:]],$A11,Aug_Period_1_Tbl[[#All],[$ CLASS PAY]])+  SUMIF(Sep_Period_1_Tbl[[#All],[STAFF:]],$A11,Sep_Period_1_Tbl[[#All],[$ CLASS PAY]])+  SUMIF(Oct_Period_1_Tbl[[#All],[STAFF:]],$A11,Oct_Period_1_Tbl[[#All],[$ CLASS PAY]])+     SUMIF(Nov_Period_1_Tbl[[#All],[STAFF:]],$A11,Nov_Period_1_Tbl[[#All],[$ CLASS PAY]])+  SUMIF(Dec_Period_1_Tbl[[#All],[STAFF:]],$A11,Dec_Period_1_Tbl[[#All],[$ CLASS PAY]]))+   (SUMIF(Jan_Period_2_Tbl[[#All],[STAFF:]],$A11,Jan_Period_2_Tbl[[#All],[$ CLASS PAY]])+
SUMIF(Feb_Period_2_Tbl[[#All],[STAFF:]],$A11,Feb_Period_2_Tbl[[#All],[$ CLASS PAY]])+SUMIF(Mar_Period_2_Tbl[[#All],[STAFF:]],$A11,Mar_Period_2_Tbl[[#All],[$ CLASS PAY]])+SUMIF(Apr_Period_2_Tbl[[#All],[STAFF:]],$A11,Apr_Period_2_Tbl[[#All],[$ CLASS PAY]])+   SUMIF(May_Period_2_Tbl[[#All],[STAFF:]],$A11,May_Period_2_Tbl[[#All],[$ CLASS PAY]])+   SUMIF(Jun_Period_2_Tbl[[#All],[STAFF:]],$A11,Jun_Period_2_Tbl[[#All],[$ CLASS PAY]])+  SUMIF(Jul_Period_2_Tbl[[#All],[STAFF:]],$A11,Jul_Period_2_Tbl[[#All],[$ CLASS PAY]])+  SUMIF(Aug_Period_2_Tbl[[#All],[STAFF:]],$A11,Aug_Period_2_Tbl[[#All],[$ CLASS PAY]])+  SUMIF(Sep_Period_2_Tbl[[#All],[STAFF:]],$A11,Sep_Period_2_Tbl[[#All],[$ CLASS PAY]])+  SUMIF(Oct_Period_2_Tbl[[#All],[STAFF:]],$A11,Oct_Period_2_Tbl[[#All],[$ CLASS PAY]])+     SUMIF(Nov_Period_2_Tbl[[#All],[STAFF:]],$A11,Nov_Period_2_Tbl[[#All],[$ CLASS PAY]])+  SUMIF(Dec_Period_2_Tbl[[#All],[STAFF:]],$A11,Dec_Period_2_Tbl[[#All],[$ CLASS PAY]]))</f>
        <v>0</v>
      </c>
      <c r="O11" s="191">
        <f>(SUMIF(Jan_Period_1_Tbl[[#All],[STAFF:]],$A11,Jan_Period_1_Tbl[[#All],[$ BONUS PAY]])+
SUMIF(Feb_Period_1_Tbl[[#All],[STAFF:]],$A11,Feb_Period_1_Tbl[[#All],[$ BONUS PAY]])+SUMIF(Mar_Period_1_Tbl[[#All],[STAFF:]],$A11,Mar_Period_1_Tbl[[#All],[$ BONUS PAY]])+SUMIF(Apr_Period_1_Tbl[[#All],[STAFF:]],$A11,Apr_Period_1_Tbl[[#All],[$ BONUS PAY]])+   SUMIF(May_Period_1_Tbl[[#All],[STAFF:]],$A11,May_Period_1_Tbl[[#All],[$ BONUS PAY]])+   SUMIF(Jun_Period_1_Tbl[[#All],[STAFF:]],$A11,Jun_Period_1_Tbl[[#All],[$ BONUS PAY]])+  SUMIF(Jul_Period_1_Tbl[[#All],[STAFF:]],$A11,Jul_Period_1_Tbl[[#All],[$ BONUS PAY]])+  SUMIF(Aug_Period_1_Tbl[[#All],[STAFF:]],$A11,Aug_Period_1_Tbl[[#All],[$ BONUS PAY]])+  SUMIF(Sep_Period_1_Tbl[[#All],[STAFF:]],$A11,Sep_Period_1_Tbl[[#All],[$ BONUS PAY]])+  SUMIF(Oct_Period_1_Tbl[[#All],[STAFF:]],$A11,Oct_Period_1_Tbl[[#All],[$ BONUS PAY]])+     SUMIF(Nov_Period_1_Tbl[[#All],[STAFF:]],$A11,Nov_Period_1_Tbl[[#All],[$ BONUS PAY]])+  SUMIF(Dec_Period_1_Tbl[[#All],[STAFF:]],$A11,Dec_Period_1_Tbl[[#All],[$ BONUS PAY]]))+   (SUMIF(Jan_Period_2_Tbl[[#All],[STAFF:]],$A11,Jan_Period_2_Tbl[[#All],[$ BONUS PAY]])+
SUMIF(Feb_Period_2_Tbl[[#All],[STAFF:]],$A11,Feb_Period_2_Tbl[[#All],[$ BONUS PAY]])+SUMIF(Mar_Period_2_Tbl[[#All],[STAFF:]],$A11,Mar_Period_2_Tbl[[#All],[$ BONUS PAY]])+SUMIF(Apr_Period_2_Tbl[[#All],[STAFF:]],$A11,Apr_Period_2_Tbl[[#All],[$ BONUS PAY]])+   SUMIF(May_Period_2_Tbl[[#All],[STAFF:]],$A11,May_Period_2_Tbl[[#All],[$ BONUS PAY]])+   SUMIF(Jun_Period_2_Tbl[[#All],[STAFF:]],$A11,Jun_Period_2_Tbl[[#All],[$ BONUS PAY]])+  SUMIF(Jul_Period_2_Tbl[[#All],[STAFF:]],$A11,Jul_Period_2_Tbl[[#All],[$ BONUS PAY]])+  SUMIF(Aug_Period_2_Tbl[[#All],[STAFF:]],$A11,Aug_Period_2_Tbl[[#All],[$ BONUS PAY]])+  SUMIF(Sep_Period_2_Tbl[[#All],[STAFF:]],$A11,Sep_Period_2_Tbl[[#All],[$ BONUS PAY]])+  SUMIF(Oct_Period_2_Tbl[[#All],[STAFF:]],$A11,Oct_Period_2_Tbl[[#All],[$ BONUS PAY]])+     SUMIF(Nov_Period_2_Tbl[[#All],[STAFF:]],$A11,Nov_Period_2_Tbl[[#All],[$ BONUS PAY]])+  SUMIF(Dec_Period_2_Tbl[[#All],[STAFF:]],$A11,Dec_Period_2_Tbl[[#All],[$ BONUS PAY]]))</f>
        <v>0</v>
      </c>
      <c r="P11" s="179">
        <f t="shared" si="0"/>
        <v>0</v>
      </c>
      <c r="Q11" s="149"/>
      <c r="R11" s="153">
        <f>(SUMIF(Jan_Period_1_Tbl[[#All],[STAFF:]],$A11,Jan_Period_1_Tbl[[#All],['# POINTS EARNED]])+
SUMIF(Feb_Period_1_Tbl[[#All],[STAFF:]],$A11,Feb_Period_1_Tbl[[#All],['# POINTS EARNED]])+SUMIF(Mar_Period_1_Tbl[[#All],[STAFF:]],$A11,Mar_Period_1_Tbl[[#All],['# POINTS EARNED]])+SUMIF(Apr_Period_1_Tbl[[#All],[STAFF:]],$A11,Apr_Period_1_Tbl[[#All],['# POINTS EARNED]])+   SUMIF(May_Period_1_Tbl[[#All],[STAFF:]],$A11,May_Period_1_Tbl[[#All],['# POINTS EARNED]])+   SUMIF(Jun_Period_1_Tbl[[#All],[STAFF:]],$A11,Jun_Period_1_Tbl[[#All],['# POINTS EARNED]])+  SUMIF(Jul_Period_1_Tbl[[#All],[STAFF:]],$A11,Jul_Period_1_Tbl[[#All],['# POINTS EARNED]])+  SUMIF(Aug_Period_1_Tbl[[#All],[STAFF:]],$A11,Aug_Period_1_Tbl[[#All],['# POINTS EARNED]])+  SUMIF(Sep_Period_1_Tbl[[#All],[STAFF:]],$A11,Sep_Period_1_Tbl[[#All],['# POINTS EARNED]])+  SUMIF(Oct_Period_1_Tbl[[#All],[STAFF:]],$A11,Oct_Period_1_Tbl[[#All],['# POINTS EARNED]])+     SUMIF(Nov_Period_1_Tbl[[#All],[STAFF:]],$A11,Nov_Period_1_Tbl[[#All],['# POINTS EARNED]])+  SUMIF(Dec_Period_1_Tbl[[#All],[STAFF:]],$A11,Dec_Period_1_Tbl[[#All],['# POINTS EARNED]]))+   (SUMIF(Jan_Period_2_Tbl[[#All],[STAFF:]],$A11,Jan_Period_2_Tbl[[#All],['# POINTS EARNED]])+
SUMIF(Feb_Period_2_Tbl[[#All],[STAFF:]],$A11,Feb_Period_2_Tbl[[#All],['# POINTS EARNED]])+SUMIF(Mar_Period_2_Tbl[[#All],[STAFF:]],$A11,Mar_Period_2_Tbl[[#All],['# POINTS EARNED]])+SUMIF(Apr_Period_2_Tbl[[#All],[STAFF:]],$A11,Apr_Period_2_Tbl[[#All],['# POINTS EARNED]])+   SUMIF(May_Period_2_Tbl[[#All],[STAFF:]],$A11,May_Period_2_Tbl[[#All],['# POINTS EARNED]])+   SUMIF(Jun_Period_2_Tbl[[#All],[STAFF:]],$A11,Jun_Period_2_Tbl[[#All],['# POINTS EARNED]])+  SUMIF(Jul_Period_2_Tbl[[#All],[STAFF:]],$A11,Jul_Period_2_Tbl[[#All],['# POINTS EARNED]])+  SUMIF(Aug_Period_2_Tbl[[#All],[STAFF:]],$A11,Aug_Period_2_Tbl[[#All],['# POINTS EARNED]])+  SUMIF(Sep_Period_2_Tbl[[#All],[STAFF:]],$A11,Sep_Period_2_Tbl[[#All],['# POINTS EARNED]])+  SUMIF(Oct_Period_2_Tbl[[#All],[STAFF:]],$A11,Oct_Period_2_Tbl[[#All],['# POINTS EARNED]])+     SUMIF(Nov_Period_2_Tbl[[#All],[STAFF:]],$A11,Nov_Period_2_Tbl[[#All],['# POINTS EARNED]])+  SUMIF(Dec_Period_2_Tbl[[#All],[STAFF:]],$A11,Dec_Period_2_Tbl[[#All],['# POINTS EARNED]]))</f>
        <v>0</v>
      </c>
      <c r="S11" s="153">
        <f>(SUMIF(Jan_Period_1_Tbl[[#All],[STAFF:]],$A11,Jan_Period_1_Tbl[[#All],['# POINTS USED]])+
SUMIF(Feb_Period_1_Tbl[[#All],[STAFF:]],$A11,Feb_Period_1_Tbl[[#All],['# POINTS USED]])+SUMIF(Mar_Period_1_Tbl[[#All],[STAFF:]],$A11,Mar_Period_1_Tbl[[#All],['# POINTS USED]])+SUMIF(Apr_Period_1_Tbl[[#All],[STAFF:]],$A11,Apr_Period_1_Tbl[[#All],['# POINTS USED]])+   SUMIF(May_Period_1_Tbl[[#All],[STAFF:]],$A11,May_Period_1_Tbl[[#All],['# POINTS USED]])+   SUMIF(Jun_Period_1_Tbl[[#All],[STAFF:]],$A11,Jun_Period_1_Tbl[[#All],['# POINTS USED]])+  SUMIF(Jul_Period_1_Tbl[[#All],[STAFF:]],$A11,Jul_Period_1_Tbl[[#All],['# POINTS USED]])+  SUMIF(Aug_Period_1_Tbl[[#All],[STAFF:]],$A11,Aug_Period_1_Tbl[[#All],['# POINTS USED]])+  SUMIF(Sep_Period_1_Tbl[[#All],[STAFF:]],$A11,Sep_Period_1_Tbl[[#All],['# POINTS USED]])+  SUMIF(Oct_Period_1_Tbl[[#All],[STAFF:]],$A11,Oct_Period_1_Tbl[[#All],['# POINTS USED]])+     SUMIF(Nov_Period_1_Tbl[[#All],[STAFF:]],$A11,Nov_Period_1_Tbl[[#All],['# POINTS USED]])+  SUMIF(Dec_Period_1_Tbl[[#All],[STAFF:]],$A11,Dec_Period_1_Tbl[[#All],['# POINTS USED]]))+   (SUMIF(Jan_Period_2_Tbl[[#All],[STAFF:]],$A11,Jan_Period_2_Tbl[[#All],['# POINTS USED]])+
SUMIF(Feb_Period_2_Tbl[[#All],[STAFF:]],$A11,Feb_Period_2_Tbl[[#All],['# POINTS USED]])+SUMIF(Mar_Period_2_Tbl[[#All],[STAFF:]],$A11,Mar_Period_2_Tbl[[#All],['# POINTS USED]])+SUMIF(Apr_Period_2_Tbl[[#All],[STAFF:]],$A11,Apr_Period_2_Tbl[[#All],['# POINTS USED]])+   SUMIF(May_Period_2_Tbl[[#All],[STAFF:]],$A11,May_Period_2_Tbl[[#All],['# POINTS USED]])+   SUMIF(Jun_Period_2_Tbl[[#All],[STAFF:]],$A11,Jun_Period_2_Tbl[[#All],['# POINTS USED]])+  SUMIF(Jul_Period_2_Tbl[[#All],[STAFF:]],$A11,Jul_Period_2_Tbl[[#All],['# POINTS USED]])+  SUMIF(Aug_Period_2_Tbl[[#All],[STAFF:]],$A11,Aug_Period_2_Tbl[[#All],['# POINTS USED]])+  SUMIF(Sep_Period_2_Tbl[[#All],[STAFF:]],$A11,Sep_Period_2_Tbl[[#All],['# POINTS USED]])+  SUMIF(Oct_Period_2_Tbl[[#All],[STAFF:]],$A11,Oct_Period_2_Tbl[[#All],['# POINTS USED]])+     SUMIF(Nov_Period_2_Tbl[[#All],[STAFF:]],$A11,Nov_Period_2_Tbl[[#All],['# POINTS USED]])+  SUMIF(Dec_Period_2_Tbl[[#All],[STAFF:]],$A11,Dec_Period_2_Tbl[[#All],['# POINTS USED]]))</f>
        <v>0</v>
      </c>
      <c r="T11" s="153">
        <f>(SUMIF(Jan_Period_1_Tbl[[#All],[STAFF:]],$A11,Jan_Period_1_Tbl[[#All],['# CLASSES LEAD]])+
SUMIF(Feb_Period_1_Tbl[[#All],[STAFF:]],$A11,Feb_Period_1_Tbl[[#All],['# CLASSES LEAD]])+SUMIF(Mar_Period_1_Tbl[[#All],[STAFF:]],$A11,Mar_Period_1_Tbl[[#All],['# CLASSES LEAD]])+SUMIF(Apr_Period_1_Tbl[[#All],[STAFF:]],$A11,Apr_Period_1_Tbl[[#All],['# CLASSES LEAD]])+   SUMIF(May_Period_1_Tbl[[#All],[STAFF:]],$A11,May_Period_1_Tbl[[#All],['# CLASSES LEAD]])+   SUMIF(Jun_Period_1_Tbl[[#All],[STAFF:]],$A11,Jun_Period_1_Tbl[[#All],['# CLASSES LEAD]])+  SUMIF(Jul_Period_1_Tbl[[#All],[STAFF:]],$A11,Jul_Period_1_Tbl[[#All],['# CLASSES LEAD]])+  SUMIF(Aug_Period_1_Tbl[[#All],[STAFF:]],$A11,Aug_Period_1_Tbl[[#All],['# CLASSES LEAD]])+  SUMIF(Sep_Period_1_Tbl[[#All],[STAFF:]],$A11,Sep_Period_1_Tbl[[#All],['# CLASSES LEAD]])+  SUMIF(Oct_Period_1_Tbl[[#All],[STAFF:]],$A11,Oct_Period_1_Tbl[[#All],['# CLASSES LEAD]])+     SUMIF(Nov_Period_1_Tbl[[#All],[STAFF:]],$A11,Nov_Period_1_Tbl[[#All],['# CLASSES LEAD]])+  SUMIF(Dec_Period_1_Tbl[[#All],[STAFF:]],$A11,Dec_Period_1_Tbl[[#All],['# CLASSES LEAD]]))+   (SUMIF(Jan_Period_2_Tbl[[#All],[STAFF:]],$A11,Jan_Period_2_Tbl[[#All],['# CLASSES LEAD]])+
SUMIF(Feb_Period_2_Tbl[[#All],[STAFF:]],$A11,Feb_Period_2_Tbl[[#All],['# CLASSES LEAD]])+SUMIF(Mar_Period_2_Tbl[[#All],[STAFF:]],$A11,Mar_Period_2_Tbl[[#All],['# CLASSES LEAD]])+SUMIF(Apr_Period_2_Tbl[[#All],[STAFF:]],$A11,Apr_Period_2_Tbl[[#All],['# CLASSES LEAD]])+   SUMIF(May_Period_2_Tbl[[#All],[STAFF:]],$A11,May_Period_2_Tbl[[#All],['# CLASSES LEAD]])+   SUMIF(Jun_Period_2_Tbl[[#All],[STAFF:]],$A11,Jun_Period_2_Tbl[[#All],['# CLASSES LEAD]])+  SUMIF(Jul_Period_2_Tbl[[#All],[STAFF:]],$A11,Jul_Period_2_Tbl[[#All],['# CLASSES LEAD]])+  SUMIF(Aug_Period_2_Tbl[[#All],[STAFF:]],$A11,Aug_Period_2_Tbl[[#All],['# CLASSES LEAD]])+  SUMIF(Sep_Period_2_Tbl[[#All],[STAFF:]],$A11,Sep_Period_2_Tbl[[#All],['# CLASSES LEAD]])+  SUMIF(Oct_Period_2_Tbl[[#All],[STAFF:]],$A11,Oct_Period_2_Tbl[[#All],['# CLASSES LEAD]])+     SUMIF(Nov_Period_2_Tbl[[#All],[STAFF:]],$A11,Nov_Period_2_Tbl[[#All],['# CLASSES LEAD]])+  SUMIF(Dec_Period_2_Tbl[[#All],[STAFF:]],$A11,Dec_Period_2_Tbl[[#All],['# CLASSES LEAD]]))</f>
        <v>0</v>
      </c>
      <c r="U11" s="153">
        <f>(SUMIF(Jan_Period_1_Tbl[[#All],[STAFF:]],$A11,Jan_Period_1_Tbl[[#All],['# CLASSES SHOW]])+
SUMIF(Feb_Period_1_Tbl[[#All],[STAFF:]],$A11,Feb_Period_1_Tbl[[#All],['# CLASSES SHOW]])+SUMIF(Mar_Period_1_Tbl[[#All],[STAFF:]],$A11,Mar_Period_1_Tbl[[#All],['# CLASSES SHOW]])+SUMIF(Apr_Period_1_Tbl[[#All],[STAFF:]],$A11,Apr_Period_1_Tbl[[#All],['# CLASSES SHOW]])+   SUMIF(May_Period_1_Tbl[[#All],[STAFF:]],$A11,May_Period_1_Tbl[[#All],['# CLASSES SHOW]])+   SUMIF(Jun_Period_1_Tbl[[#All],[STAFF:]],$A11,Jun_Period_1_Tbl[[#All],['# CLASSES SHOW]])+  SUMIF(Jul_Period_1_Tbl[[#All],[STAFF:]],$A11,Jul_Period_1_Tbl[[#All],['# CLASSES SHOW]])+  SUMIF(Aug_Period_1_Tbl[[#All],[STAFF:]],$A11,Aug_Period_1_Tbl[[#All],['# CLASSES SHOW]])+  SUMIF(Sep_Period_1_Tbl[[#All],[STAFF:]],$A11,Sep_Period_1_Tbl[[#All],['# CLASSES SHOW]])+  SUMIF(Oct_Period_1_Tbl[[#All],[STAFF:]],$A11,Oct_Period_1_Tbl[[#All],['# CLASSES SHOW]])+     SUMIF(Nov_Period_1_Tbl[[#All],[STAFF:]],$A11,Nov_Period_1_Tbl[[#All],['# CLASSES SHOW]])+  SUMIF(Dec_Period_1_Tbl[[#All],[STAFF:]],$A11,Dec_Period_1_Tbl[[#All],['# CLASSES SHOW]]))+   (SUMIF(Jan_Period_2_Tbl[[#All],[STAFF:]],$A11,Jan_Period_2_Tbl[[#All],['# CLASSES SHOW]])+
SUMIF(Feb_Period_2_Tbl[[#All],[STAFF:]],$A11,Feb_Period_2_Tbl[[#All],['# CLASSES SHOW]])+SUMIF(Mar_Period_2_Tbl[[#All],[STAFF:]],$A11,Mar_Period_2_Tbl[[#All],['# CLASSES SHOW]])+SUMIF(Apr_Period_2_Tbl[[#All],[STAFF:]],$A11,Apr_Period_2_Tbl[[#All],['# CLASSES SHOW]])+   SUMIF(May_Period_2_Tbl[[#All],[STAFF:]],$A11,May_Period_2_Tbl[[#All],['# CLASSES SHOW]])+   SUMIF(Jun_Period_2_Tbl[[#All],[STAFF:]],$A11,Jun_Period_2_Tbl[[#All],['# CLASSES SHOW]])+  SUMIF(Jul_Period_2_Tbl[[#All],[STAFF:]],$A11,Jul_Period_2_Tbl[[#All],['# CLASSES SHOW]])+  SUMIF(Aug_Period_2_Tbl[[#All],[STAFF:]],$A11,Aug_Period_2_Tbl[[#All],['# CLASSES SHOW]])+  SUMIF(Sep_Period_2_Tbl[[#All],[STAFF:]],$A11,Sep_Period_2_Tbl[[#All],['# CLASSES SHOW]])+  SUMIF(Oct_Period_2_Tbl[[#All],[STAFF:]],$A11,Oct_Period_2_Tbl[[#All],['# CLASSES SHOW]])+     SUMIF(Nov_Period_2_Tbl[[#All],[STAFF:]],$A11,Nov_Period_2_Tbl[[#All],['# CLASSES SHOW]])+  SUMIF(Dec_Period_2_Tbl[[#All],[STAFF:]],$A11,Dec_Period_2_Tbl[[#All],['# CLASSES SHOW]]))</f>
        <v>0</v>
      </c>
      <c r="V11" s="156"/>
      <c r="W11" s="156"/>
      <c r="X11" s="155">
        <f t="shared" si="1"/>
        <v>0</v>
      </c>
      <c r="Y11" s="155">
        <f t="shared" si="2"/>
        <v>0</v>
      </c>
      <c r="Z11" s="155">
        <f t="shared" si="3"/>
        <v>0</v>
      </c>
      <c r="AA11" s="155">
        <f t="shared" si="4"/>
        <v>0</v>
      </c>
      <c r="AB11" s="155">
        <f t="shared" si="5"/>
        <v>0</v>
      </c>
      <c r="AC11" s="155">
        <f t="shared" si="6"/>
        <v>0</v>
      </c>
      <c r="AD11" s="155">
        <f t="shared" si="7"/>
        <v>0</v>
      </c>
      <c r="AE11" s="149"/>
      <c r="AF11" s="149"/>
      <c r="AG11" s="149"/>
      <c r="AH11" s="149"/>
      <c r="AJ11" s="75" t="str">
        <f t="shared" si="8"/>
        <v>zBlank</v>
      </c>
      <c r="AK11" s="210"/>
      <c r="AL11" s="168">
        <f>IFERROR(VLOOKUP(B11,List!$A:$B,2,FALSE),-1)</f>
        <v>-1</v>
      </c>
      <c r="AM11" s="168">
        <f>IFERROR(VLOOKUP(C11,List!$A:$B,2,FALSE),-1)</f>
        <v>-1</v>
      </c>
    </row>
    <row r="12" spans="1:40" ht="15" hidden="1" customHeight="1" x14ac:dyDescent="0.25">
      <c r="A12" s="20"/>
      <c r="B12" s="186"/>
      <c r="C12" s="186"/>
      <c r="D12" s="187"/>
      <c r="E12" s="188">
        <f>(SUMIF(Jan_Period_1_Tbl[[#All],[STAFF:]],$A12,Jan_Period_1_Tbl[[#All],['# PTO USED]])+
SUMIF(Feb_Period_1_Tbl[[#All],[STAFF:]],$A12,Feb_Period_1_Tbl[[#All],['# PTO USED]])+SUMIF(Mar_Period_1_Tbl[[#All],[STAFF:]],$A12,Mar_Period_1_Tbl[[#All],['# PTO USED]])+SUMIF(Apr_Period_1_Tbl[[#All],[STAFF:]],$A12,Apr_Period_1_Tbl[[#All],['# PTO USED]])+   SUMIF(May_Period_1_Tbl[[#All],[STAFF:]],$A12,May_Period_1_Tbl[[#All],['# PTO USED]])+   SUMIF(Jun_Period_1_Tbl[[#All],[STAFF:]],$A12,Jun_Period_1_Tbl[[#All],['# PTO USED]])+  SUMIF(Jul_Period_1_Tbl[[#All],[STAFF:]],$A12,Jul_Period_1_Tbl[[#All],['# PTO USED]])+  SUMIF(Aug_Period_1_Tbl[[#All],[STAFF:]],$A12,Aug_Period_1_Tbl[[#All],['# PTO USED]])+  SUMIF(Sep_Period_1_Tbl[[#All],[STAFF:]],$A12,Sep_Period_1_Tbl[[#All],['# PTO USED]])+  SUMIF(Oct_Period_1_Tbl[[#All],[STAFF:]],$A12,Oct_Period_1_Tbl[[#All],['# PTO USED]])+     SUMIF(Nov_Period_1_Tbl[[#All],[STAFF:]],$A12,Nov_Period_1_Tbl[[#All],['# PTO USED]])+  SUMIF(Dec_Period_1_Tbl[[#All],[STAFF:]],$A12,Dec_Period_1_Tbl[[#All],['# PTO USED]]))+   (SUMIF(Jan_Period_2_Tbl[[#All],[STAFF:]],$A12,Jan_Period_2_Tbl[[#All],['# PTO USED]])+
SUMIF(Feb_Period_2_Tbl[[#All],[STAFF:]],$A12,Feb_Period_2_Tbl[[#All],['# PTO USED]])+SUMIF(Mar_Period_2_Tbl[[#All],[STAFF:]],$A12,Mar_Period_2_Tbl[[#All],['# PTO USED]])+SUMIF(Apr_Period_2_Tbl[[#All],[STAFF:]],$A12,Apr_Period_2_Tbl[[#All],['# PTO USED]])+   SUMIF(May_Period_2_Tbl[[#All],[STAFF:]],$A12,May_Period_2_Tbl[[#All],['# PTO USED]])+   SUMIF(Jun_Period_2_Tbl[[#All],[STAFF:]],$A12,Jun_Period_2_Tbl[[#All],['# PTO USED]])+  SUMIF(Jul_Period_2_Tbl[[#All],[STAFF:]],$A12,Jul_Period_2_Tbl[[#All],['# PTO USED]])+  SUMIF(Aug_Period_2_Tbl[[#All],[STAFF:]],$A12,Aug_Period_2_Tbl[[#All],['# PTO USED]])+  SUMIF(Sep_Period_2_Tbl[[#All],[STAFF:]],$A12,Sep_Period_2_Tbl[[#All],['# PTO USED]])+  SUMIF(Oct_Period_2_Tbl[[#All],[STAFF:]],$A12,Oct_Period_2_Tbl[[#All],['# PTO USED]])+     SUMIF(Nov_Period_2_Tbl[[#All],[STAFF:]],$A12,Nov_Period_2_Tbl[[#All],['# PTO USED]])+  SUMIF(Dec_Period_2_Tbl[[#All],[STAFF:]],$A12,Dec_Period_2_Tbl[[#All],['# PTO USED]]))</f>
        <v>0</v>
      </c>
      <c r="F12" s="189">
        <f>(SUMIF(Jan_Period_1_Tbl[[#All],[STAFF:]],$A12,Jan_Period_1_Tbl[[#All],['# HRS WORKED]])+
SUMIF(Feb_Period_1_Tbl[[#All],[STAFF:]],$A12,Feb_Period_1_Tbl[[#All],['# HRS WORKED]])+SUMIF(Mar_Period_1_Tbl[[#All],[STAFF:]],$A12,Mar_Period_1_Tbl[[#All],['# HRS WORKED]])+SUMIF(Apr_Period_1_Tbl[[#All],[STAFF:]],$A12,Apr_Period_1_Tbl[[#All],['# HRS WORKED]])+   SUMIF(May_Period_1_Tbl[[#All],[STAFF:]],$A12,May_Period_1_Tbl[[#All],['# HRS WORKED]])+   SUMIF(Jun_Period_1_Tbl[[#All],[STAFF:]],$A12,Jun_Period_1_Tbl[[#All],['# HRS WORKED]])+  SUMIF(Jul_Period_1_Tbl[[#All],[STAFF:]],$A12,Jul_Period_1_Tbl[[#All],['# HRS WORKED]])+  SUMIF(Aug_Period_1_Tbl[[#All],[STAFF:]],$A12,Aug_Period_1_Tbl[[#All],['# HRS WORKED]])+  SUMIF(Sep_Period_1_Tbl[[#All],[STAFF:]],$A12,Sep_Period_1_Tbl[[#All],['# HRS WORKED]])+  SUMIF(Oct_Period_1_Tbl[[#All],[STAFF:]],$A12,Oct_Period_1_Tbl[[#All],['# HRS WORKED]])+     SUMIF(Nov_Period_1_Tbl[[#All],[STAFF:]],$A12,Nov_Period_1_Tbl[[#All],['# HRS WORKED]])+  SUMIF(Dec_Period_1_Tbl[[#All],[STAFF:]],$A12,Dec_Period_1_Tbl[[#All],['# HRS WORKED]]))+   (SUMIF(Jan_Period_2_Tbl[[#All],[STAFF:]],$A12,Jan_Period_2_Tbl[[#All],['# HRS WORKED]])+
SUMIF(Feb_Period_2_Tbl[[#All],[STAFF:]],$A12,Feb_Period_2_Tbl[[#All],['# HRS WORKED]])+SUMIF(Mar_Period_2_Tbl[[#All],[STAFF:]],$A12,Mar_Period_2_Tbl[[#All],['# HRS WORKED]])+SUMIF(Apr_Period_2_Tbl[[#All],[STAFF:]],$A12,Apr_Period_2_Tbl[[#All],['# HRS WORKED]])+   SUMIF(May_Period_2_Tbl[[#All],[STAFF:]],$A12,May_Period_2_Tbl[[#All],['# HRS WORKED]])+   SUMIF(Jun_Period_2_Tbl[[#All],[STAFF:]],$A12,Jun_Period_2_Tbl[[#All],['# HRS WORKED]])+  SUMIF(Jul_Period_2_Tbl[[#All],[STAFF:]],$A12,Jul_Period_2_Tbl[[#All],['# HRS WORKED]])+  SUMIF(Aug_Period_2_Tbl[[#All],[STAFF:]],$A12,Aug_Period_2_Tbl[[#All],['# HRS WORKED]])+  SUMIF(Sep_Period_2_Tbl[[#All],[STAFF:]],$A12,Sep_Period_2_Tbl[[#All],['# HRS WORKED]])+  SUMIF(Oct_Period_2_Tbl[[#All],[STAFF:]],$A12,Oct_Period_2_Tbl[[#All],['# HRS WORKED]])+     SUMIF(Nov_Period_2_Tbl[[#All],[STAFF:]],$A12,Nov_Period_2_Tbl[[#All],['# HRS WORKED]])+  SUMIF(Dec_Period_2_Tbl[[#All],[STAFF:]],$A12,Dec_Period_2_Tbl[[#All],['# HRS WORKED]]))</f>
        <v>0</v>
      </c>
      <c r="G12" s="190">
        <f>(SUMIF(Jan_Period_1_Tbl[[#All],[STAFF:]],$A12,Jan_Period_1_Tbl[[#All],[$ Hourly WAGES]])+
SUMIF(Feb_Period_1_Tbl[[#All],[STAFF:]],$A12,Feb_Period_1_Tbl[[#All],[$ Hourly WAGES]])+SUMIF(Mar_Period_1_Tbl[[#All],[STAFF:]],$A12,Mar_Period_1_Tbl[[#All],[$ Hourly WAGES]])+SUMIF(Apr_Period_1_Tbl[[#All],[STAFF:]],$A12,Apr_Period_1_Tbl[[#All],[$ Hourly WAGES]])+   SUMIF(May_Period_1_Tbl[[#All],[STAFF:]],$A12,May_Period_1_Tbl[[#All],[$ Hourly WAGES]])+   SUMIF(Jun_Period_1_Tbl[[#All],[STAFF:]],$A12,Jun_Period_1_Tbl[[#All],[$ Hourly WAGES]])+  SUMIF(Jul_Period_1_Tbl[[#All],[STAFF:]],$A12,Jul_Period_1_Tbl[[#All],[$ Hourly WAGES]])+  SUMIF(Aug_Period_1_Tbl[[#All],[STAFF:]],$A12,Aug_Period_1_Tbl[[#All],[$ Hourly WAGES]])+  SUMIF(Sep_Period_1_Tbl[[#All],[STAFF:]],$A12,Sep_Period_1_Tbl[[#All],[$ Hourly WAGES]])+  SUMIF(Oct_Period_1_Tbl[[#All],[STAFF:]],$A12,Oct_Period_1_Tbl[[#All],[$ Hourly WAGES]])+     SUMIF(Nov_Period_1_Tbl[[#All],[STAFF:]],$A12,Nov_Period_1_Tbl[[#All],[$ Hourly WAGES]])+  SUMIF(Dec_Period_1_Tbl[[#All],[STAFF:]],$A12,Dec_Period_1_Tbl[[#All],[$ Hourly WAGES]]))+   (SUMIF(Jan_Period_2_Tbl[[#All],[STAFF:]],$A12,Jan_Period_2_Tbl[[#All],[$ Hourly WAGES]])+
SUMIF(Feb_Period_2_Tbl[[#All],[STAFF:]],$A12,Feb_Period_2_Tbl[[#All],[$ Hourly WAGES]])+SUMIF(Mar_Period_2_Tbl[[#All],[STAFF:]],$A12,Mar_Period_2_Tbl[[#All],[$ Hourly WAGES]])+SUMIF(Apr_Period_2_Tbl[[#All],[STAFF:]],$A12,Apr_Period_2_Tbl[[#All],[$ Hourly WAGES]])+   SUMIF(May_Period_2_Tbl[[#All],[STAFF:]],$A12,May_Period_2_Tbl[[#All],[$ Hourly WAGES]])+   SUMIF(Jun_Period_2_Tbl[[#All],[STAFF:]],$A12,Jun_Period_2_Tbl[[#All],[$ Hourly WAGES]])+  SUMIF(Jul_Period_2_Tbl[[#All],[STAFF:]],$A12,Jul_Period_2_Tbl[[#All],[$ Hourly WAGES]])+  SUMIF(Aug_Period_2_Tbl[[#All],[STAFF:]],$A12,Aug_Period_2_Tbl[[#All],[$ Hourly WAGES]])+  SUMIF(Sep_Period_2_Tbl[[#All],[STAFF:]],$A12,Sep_Period_2_Tbl[[#All],[$ Hourly WAGES]])+  SUMIF(Oct_Period_2_Tbl[[#All],[STAFF:]],$A12,Oct_Period_2_Tbl[[#All],[$ Hourly WAGES]])+     SUMIF(Nov_Period_2_Tbl[[#All],[STAFF:]],$A12,Nov_Period_2_Tbl[[#All],[$ Hourly WAGES]])+  SUMIF(Dec_Period_2_Tbl[[#All],[STAFF:]],$A12,Dec_Period_2_Tbl[[#All],[$ Hourly WAGES]]))</f>
        <v>0</v>
      </c>
      <c r="H12" s="190">
        <f>(SUMIF(Jan_Period_1_Tbl[[#All],[STAFF:]],$A12,Jan_Period_1_Tbl[[#All],[$ SALARY]])+
SUMIF(Feb_Period_1_Tbl[[#All],[STAFF:]],$A12,Feb_Period_1_Tbl[[#All],[$ SALARY]])+SUMIF(Mar_Period_1_Tbl[[#All],[STAFF:]],$A12,Mar_Period_1_Tbl[[#All],[$ SALARY]])+SUMIF(Apr_Period_1_Tbl[[#All],[STAFF:]],$A12,Apr_Period_1_Tbl[[#All],[$ SALARY]])+   SUMIF(May_Period_1_Tbl[[#All],[STAFF:]],$A12,May_Period_1_Tbl[[#All],[$ SALARY]])+   SUMIF(Jun_Period_1_Tbl[[#All],[STAFF:]],$A12,Jun_Period_1_Tbl[[#All],[$ SALARY]])+  SUMIF(Jul_Period_1_Tbl[[#All],[STAFF:]],$A12,Jul_Period_1_Tbl[[#All],[$ SALARY]])+  SUMIF(Aug_Period_1_Tbl[[#All],[STAFF:]],$A12,Aug_Period_1_Tbl[[#All],[$ SALARY]])+  SUMIF(Sep_Period_1_Tbl[[#All],[STAFF:]],$A12,Sep_Period_1_Tbl[[#All],[$ SALARY]])+  SUMIF(Oct_Period_1_Tbl[[#All],[STAFF:]],$A12,Oct_Period_1_Tbl[[#All],[$ SALARY]])+     SUMIF(Nov_Period_1_Tbl[[#All],[STAFF:]],$A12,Nov_Period_1_Tbl[[#All],[$ SALARY]])+  SUMIF(Dec_Period_1_Tbl[[#All],[STAFF:]],$A12,Dec_Period_1_Tbl[[#All],[$ SALARY]]))+   (SUMIF(Jan_Period_2_Tbl[[#All],[STAFF:]],$A12,Jan_Period_2_Tbl[[#All],[$ SALARY]])+
SUMIF(Feb_Period_2_Tbl[[#All],[STAFF:]],$A12,Feb_Period_2_Tbl[[#All],[$ SALARY]])+SUMIF(Mar_Period_2_Tbl[[#All],[STAFF:]],$A12,Mar_Period_2_Tbl[[#All],[$ SALARY]])+SUMIF(Apr_Period_2_Tbl[[#All],[STAFF:]],$A12,Apr_Period_2_Tbl[[#All],[$ SALARY]])+   SUMIF(May_Period_2_Tbl[[#All],[STAFF:]],$A12,May_Period_2_Tbl[[#All],[$ SALARY]])+   SUMIF(Jun_Period_2_Tbl[[#All],[STAFF:]],$A12,Jun_Period_2_Tbl[[#All],[$ SALARY]])+  SUMIF(Jul_Period_2_Tbl[[#All],[STAFF:]],$A12,Jul_Period_2_Tbl[[#All],[$ SALARY]])+  SUMIF(Aug_Period_2_Tbl[[#All],[STAFF:]],$A12,Aug_Period_2_Tbl[[#All],[$ SALARY]])+  SUMIF(Sep_Period_2_Tbl[[#All],[STAFF:]],$A12,Sep_Period_2_Tbl[[#All],[$ SALARY]])+  SUMIF(Oct_Period_2_Tbl[[#All],[STAFF:]],$A12,Oct_Period_2_Tbl[[#All],[$ SALARY]])+     SUMIF(Nov_Period_2_Tbl[[#All],[STAFF:]],$A12,Nov_Period_2_Tbl[[#All],[$ SALARY]])+  SUMIF(Dec_Period_2_Tbl[[#All],[STAFF:]],$A12,Dec_Period_2_Tbl[[#All],[$ SALARY]]))</f>
        <v>0</v>
      </c>
      <c r="I12" s="190">
        <f>(SUMIF(Jan_Period_1_Tbl[[#All],[STAFF:]],$A12,Jan_Period_1_Tbl[[#All],[$ SALARY PT]])+
SUMIF(Feb_Period_1_Tbl[[#All],[STAFF:]],$A12,Feb_Period_1_Tbl[[#All],[$ SALARY PT]])+SUMIF(Mar_Period_1_Tbl[[#All],[STAFF:]],$A12,Mar_Period_1_Tbl[[#All],[$ SALARY PT]])+SUMIF(Apr_Period_1_Tbl[[#All],[STAFF:]],$A12,Apr_Period_1_Tbl[[#All],[$ SALARY PT]])+   SUMIF(May_Period_1_Tbl[[#All],[STAFF:]],$A12,May_Period_1_Tbl[[#All],[$ SALARY PT]])+   SUMIF(Jun_Period_1_Tbl[[#All],[STAFF:]],$A12,Jun_Period_1_Tbl[[#All],[$ SALARY PT]])+  SUMIF(Jul_Period_1_Tbl[[#All],[STAFF:]],$A12,Jul_Period_1_Tbl[[#All],[$ SALARY PT]])+  SUMIF(Aug_Period_1_Tbl[[#All],[STAFF:]],$A12,Aug_Period_1_Tbl[[#All],[$ SALARY PT]])+  SUMIF(Sep_Period_1_Tbl[[#All],[STAFF:]],$A12,Sep_Period_1_Tbl[[#All],[$ SALARY PT]])+  SUMIF(Oct_Period_1_Tbl[[#All],[STAFF:]],$A12,Oct_Period_1_Tbl[[#All],[$ SALARY PT]])+     SUMIF(Nov_Period_1_Tbl[[#All],[STAFF:]],$A12,Nov_Period_1_Tbl[[#All],[$ SALARY PT]])+  SUMIF(Dec_Period_1_Tbl[[#All],[STAFF:]],$A12,Dec_Period_1_Tbl[[#All],[$ SALARY PT]]))+   (SUMIF(Jan_Period_2_Tbl[[#All],[STAFF:]],$A12,Jan_Period_2_Tbl[[#All],[$ SALARY PT]])+
SUMIF(Feb_Period_2_Tbl[[#All],[STAFF:]],$A12,Feb_Period_2_Tbl[[#All],[$ SALARY PT]])+SUMIF(Mar_Period_2_Tbl[[#All],[STAFF:]],$A12,Mar_Period_2_Tbl[[#All],[$ SALARY PT]])+SUMIF(Apr_Period_2_Tbl[[#All],[STAFF:]],$A12,Apr_Period_2_Tbl[[#All],[$ SALARY PT]])+   SUMIF(May_Period_2_Tbl[[#All],[STAFF:]],$A12,May_Period_2_Tbl[[#All],[$ SALARY PT]])+   SUMIF(Jun_Period_2_Tbl[[#All],[STAFF:]],$A12,Jun_Period_2_Tbl[[#All],[$ SALARY PT]])+  SUMIF(Jul_Period_2_Tbl[[#All],[STAFF:]],$A12,Jul_Period_2_Tbl[[#All],[$ SALARY PT]])+  SUMIF(Aug_Period_2_Tbl[[#All],[STAFF:]],$A12,Aug_Period_2_Tbl[[#All],[$ SALARY PT]])+  SUMIF(Sep_Period_2_Tbl[[#All],[STAFF:]],$A12,Sep_Period_2_Tbl[[#All],[$ SALARY PT]])+  SUMIF(Oct_Period_2_Tbl[[#All],[STAFF:]],$A12,Oct_Period_2_Tbl[[#All],[$ SALARY PT]])+     SUMIF(Nov_Period_2_Tbl[[#All],[STAFF:]],$A12,Nov_Period_2_Tbl[[#All],[$ SALARY PT]])+  SUMIF(Dec_Period_2_Tbl[[#All],[STAFF:]],$A12,Dec_Period_2_Tbl[[#All],[$ SALARY PT]]))</f>
        <v>0</v>
      </c>
      <c r="J12" s="190">
        <f>(SUMIF(Jan_Period_1_Tbl[[#All],[STAFF:]],$A12,Jan_Period_1_Tbl[[#All],[$ FREE PT]])+
SUMIF(Feb_Period_1_Tbl[[#All],[STAFF:]],$A12,Feb_Period_1_Tbl[[#All],[$ FREE PT]])+SUMIF(Mar_Period_1_Tbl[[#All],[STAFF:]],$A12,Mar_Period_1_Tbl[[#All],[$ FREE PT]])+SUMIF(Apr_Period_1_Tbl[[#All],[STAFF:]],$A12,Apr_Period_1_Tbl[[#All],[$ FREE PT]])+   SUMIF(May_Period_1_Tbl[[#All],[STAFF:]],$A12,May_Period_1_Tbl[[#All],[$ FREE PT]])+   SUMIF(Jun_Period_1_Tbl[[#All],[STAFF:]],$A12,Jun_Period_1_Tbl[[#All],[$ FREE PT]])+  SUMIF(Jul_Period_1_Tbl[[#All],[STAFF:]],$A12,Jul_Period_1_Tbl[[#All],[$ FREE PT]])+  SUMIF(Aug_Period_1_Tbl[[#All],[STAFF:]],$A12,Aug_Period_1_Tbl[[#All],[$ FREE PT]])+  SUMIF(Sep_Period_1_Tbl[[#All],[STAFF:]],$A12,Sep_Period_1_Tbl[[#All],[$ FREE PT]])+  SUMIF(Oct_Period_1_Tbl[[#All],[STAFF:]],$A12,Oct_Period_1_Tbl[[#All],[$ FREE PT]])+     SUMIF(Nov_Period_1_Tbl[[#All],[STAFF:]],$A12,Nov_Period_1_Tbl[[#All],[$ FREE PT]])+  SUMIF(Dec_Period_1_Tbl[[#All],[STAFF:]],$A12,Dec_Period_1_Tbl[[#All],[$ FREE PT]]))+   (SUMIF(Jan_Period_2_Tbl[[#All],[STAFF:]],$A12,Jan_Period_2_Tbl[[#All],[$ FREE PT]])+
SUMIF(Feb_Period_2_Tbl[[#All],[STAFF:]],$A12,Feb_Period_2_Tbl[[#All],[$ FREE PT]])+SUMIF(Mar_Period_2_Tbl[[#All],[STAFF:]],$A12,Mar_Period_2_Tbl[[#All],[$ FREE PT]])+SUMIF(Apr_Period_2_Tbl[[#All],[STAFF:]],$A12,Apr_Period_2_Tbl[[#All],[$ FREE PT]])+   SUMIF(May_Period_2_Tbl[[#All],[STAFF:]],$A12,May_Period_2_Tbl[[#All],[$ FREE PT]])+   SUMIF(Jun_Period_2_Tbl[[#All],[STAFF:]],$A12,Jun_Period_2_Tbl[[#All],[$ FREE PT]])+  SUMIF(Jul_Period_2_Tbl[[#All],[STAFF:]],$A12,Jul_Period_2_Tbl[[#All],[$ FREE PT]])+  SUMIF(Aug_Period_2_Tbl[[#All],[STAFF:]],$A12,Aug_Period_2_Tbl[[#All],[$ FREE PT]])+  SUMIF(Sep_Period_2_Tbl[[#All],[STAFF:]],$A12,Sep_Period_2_Tbl[[#All],[$ FREE PT]])+  SUMIF(Oct_Period_2_Tbl[[#All],[STAFF:]],$A12,Oct_Period_2_Tbl[[#All],[$ FREE PT]])+     SUMIF(Nov_Period_2_Tbl[[#All],[STAFF:]],$A12,Nov_Period_2_Tbl[[#All],[$ FREE PT]])+  SUMIF(Dec_Period_2_Tbl[[#All],[STAFF:]],$A12,Dec_Period_2_Tbl[[#All],[$ FREE PT]]))</f>
        <v>0</v>
      </c>
      <c r="K12" s="190">
        <f>(SUMIF(Jan_Period_1_Tbl[[#All],[STAFF:]],$A12,Jan_Period_1_Tbl[[#All],[$ PAID PT]])+
SUMIF(Feb_Period_1_Tbl[[#All],[STAFF:]],$A12,Feb_Period_1_Tbl[[#All],[$ PAID PT]])+SUMIF(Mar_Period_1_Tbl[[#All],[STAFF:]],$A12,Mar_Period_1_Tbl[[#All],[$ PAID PT]])+SUMIF(Apr_Period_1_Tbl[[#All],[STAFF:]],$A12,Apr_Period_1_Tbl[[#All],[$ PAID PT]])+   SUMIF(May_Period_1_Tbl[[#All],[STAFF:]],$A12,May_Period_1_Tbl[[#All],[$ PAID PT]])+   SUMIF(Jun_Period_1_Tbl[[#All],[STAFF:]],$A12,Jun_Period_1_Tbl[[#All],[$ PAID PT]])+  SUMIF(Jul_Period_1_Tbl[[#All],[STAFF:]],$A12,Jul_Period_1_Tbl[[#All],[$ PAID PT]])+  SUMIF(Aug_Period_1_Tbl[[#All],[STAFF:]],$A12,Aug_Period_1_Tbl[[#All],[$ PAID PT]])+  SUMIF(Sep_Period_1_Tbl[[#All],[STAFF:]],$A12,Sep_Period_1_Tbl[[#All],[$ PAID PT]])+  SUMIF(Oct_Period_1_Tbl[[#All],[STAFF:]],$A12,Oct_Period_1_Tbl[[#All],[$ PAID PT]])+     SUMIF(Nov_Period_1_Tbl[[#All],[STAFF:]],$A12,Nov_Period_1_Tbl[[#All],[$ PAID PT]])+  SUMIF(Dec_Period_1_Tbl[[#All],[STAFF:]],$A12,Dec_Period_1_Tbl[[#All],[$ PAID PT]]))+   (SUMIF(Jan_Period_2_Tbl[[#All],[STAFF:]],$A12,Jan_Period_2_Tbl[[#All],[$ PAID PT]])+
SUMIF(Feb_Period_2_Tbl[[#All],[STAFF:]],$A12,Feb_Period_2_Tbl[[#All],[$ PAID PT]])+SUMIF(Mar_Period_2_Tbl[[#All],[STAFF:]],$A12,Mar_Period_2_Tbl[[#All],[$ PAID PT]])+SUMIF(Apr_Period_2_Tbl[[#All],[STAFF:]],$A12,Apr_Period_2_Tbl[[#All],[$ PAID PT]])+   SUMIF(May_Period_2_Tbl[[#All],[STAFF:]],$A12,May_Period_2_Tbl[[#All],[$ PAID PT]])+   SUMIF(Jun_Period_2_Tbl[[#All],[STAFF:]],$A12,Jun_Period_2_Tbl[[#All],[$ PAID PT]])+  SUMIF(Jul_Period_2_Tbl[[#All],[STAFF:]],$A12,Jul_Period_2_Tbl[[#All],[$ PAID PT]])+  SUMIF(Aug_Period_2_Tbl[[#All],[STAFF:]],$A12,Aug_Period_2_Tbl[[#All],[$ PAID PT]])+  SUMIF(Sep_Period_2_Tbl[[#All],[STAFF:]],$A12,Sep_Period_2_Tbl[[#All],[$ PAID PT]])+  SUMIF(Oct_Period_2_Tbl[[#All],[STAFF:]],$A12,Oct_Period_2_Tbl[[#All],[$ PAID PT]])+     SUMIF(Nov_Period_2_Tbl[[#All],[STAFF:]],$A12,Nov_Period_2_Tbl[[#All],[$ PAID PT]])+  SUMIF(Dec_Period_2_Tbl[[#All],[STAFF:]],$A12,Dec_Period_2_Tbl[[#All],[$ PAID PT]]))</f>
        <v>0</v>
      </c>
      <c r="L12" s="190">
        <f>(SUMIF(Jan_Period_1_Tbl[[#All],[STAFF:]],$A12,Jan_Period_1_Tbl[[#All],[$ PT COMM]])+
SUMIF(Feb_Period_1_Tbl[[#All],[STAFF:]],$A12,Feb_Period_1_Tbl[[#All],[$ PT COMM]])+SUMIF(Mar_Period_1_Tbl[[#All],[STAFF:]],$A12,Mar_Period_1_Tbl[[#All],[$ PT COMM]])+SUMIF(Apr_Period_1_Tbl[[#All],[STAFF:]],$A12,Apr_Period_1_Tbl[[#All],[$ PT COMM]])+   SUMIF(May_Period_1_Tbl[[#All],[STAFF:]],$A12,May_Period_1_Tbl[[#All],[$ PT COMM]])+   SUMIF(Jun_Period_1_Tbl[[#All],[STAFF:]],$A12,Jun_Period_1_Tbl[[#All],[$ PT COMM]])+  SUMIF(Jul_Period_1_Tbl[[#All],[STAFF:]],$A12,Jul_Period_1_Tbl[[#All],[$ PT COMM]])+  SUMIF(Aug_Period_1_Tbl[[#All],[STAFF:]],$A12,Aug_Period_1_Tbl[[#All],[$ PT COMM]])+  SUMIF(Sep_Period_1_Tbl[[#All],[STAFF:]],$A12,Sep_Period_1_Tbl[[#All],[$ PT COMM]])+  SUMIF(Oct_Period_1_Tbl[[#All],[STAFF:]],$A12,Oct_Period_1_Tbl[[#All],[$ PT COMM]])+     SUMIF(Nov_Period_1_Tbl[[#All],[STAFF:]],$A12,Nov_Period_1_Tbl[[#All],[$ PT COMM]])+  SUMIF(Dec_Period_1_Tbl[[#All],[STAFF:]],$A12,Dec_Period_1_Tbl[[#All],[$ PT COMM]]))+   (SUMIF(Jan_Period_2_Tbl[[#All],[STAFF:]],$A12,Jan_Period_2_Tbl[[#All],[$ PT COMM]])+
SUMIF(Feb_Period_2_Tbl[[#All],[STAFF:]],$A12,Feb_Period_2_Tbl[[#All],[$ PT COMM]])+SUMIF(Mar_Period_2_Tbl[[#All],[STAFF:]],$A12,Mar_Period_2_Tbl[[#All],[$ PT COMM]])+SUMIF(Apr_Period_2_Tbl[[#All],[STAFF:]],$A12,Apr_Period_2_Tbl[[#All],[$ PT COMM]])+   SUMIF(May_Period_2_Tbl[[#All],[STAFF:]],$A12,May_Period_2_Tbl[[#All],[$ PT COMM]])+   SUMIF(Jun_Period_2_Tbl[[#All],[STAFF:]],$A12,Jun_Period_2_Tbl[[#All],[$ PT COMM]])+  SUMIF(Jul_Period_2_Tbl[[#All],[STAFF:]],$A12,Jul_Period_2_Tbl[[#All],[$ PT COMM]])+  SUMIF(Aug_Period_2_Tbl[[#All],[STAFF:]],$A12,Aug_Period_2_Tbl[[#All],[$ PT COMM]])+  SUMIF(Sep_Period_2_Tbl[[#All],[STAFF:]],$A12,Sep_Period_2_Tbl[[#All],[$ PT COMM]])+  SUMIF(Oct_Period_2_Tbl[[#All],[STAFF:]],$A12,Oct_Period_2_Tbl[[#All],[$ PT COMM]])+     SUMIF(Nov_Period_2_Tbl[[#All],[STAFF:]],$A12,Nov_Period_2_Tbl[[#All],[$ PT COMM]])+  SUMIF(Dec_Period_2_Tbl[[#All],[STAFF:]],$A12,Dec_Period_2_Tbl[[#All],[$ PT COMM]]))</f>
        <v>0</v>
      </c>
      <c r="M12" s="190">
        <f>(SUMIF(Jan_Period_1_Tbl[[#All],[STAFF:]],$A12,Jan_Period_1_Tbl[[#All],[$ EFT COMM]])+
SUMIF(Feb_Period_1_Tbl[[#All],[STAFF:]],$A12,Feb_Period_1_Tbl[[#All],[$ EFT COMM]])+SUMIF(Mar_Period_1_Tbl[[#All],[STAFF:]],$A12,Mar_Period_1_Tbl[[#All],[$ EFT COMM]])+SUMIF(Apr_Period_1_Tbl[[#All],[STAFF:]],$A12,Apr_Period_1_Tbl[[#All],[$ EFT COMM]])+   SUMIF(May_Period_1_Tbl[[#All],[STAFF:]],$A12,May_Period_1_Tbl[[#All],[$ EFT COMM]])+   SUMIF(Jun_Period_1_Tbl[[#All],[STAFF:]],$A12,Jun_Period_1_Tbl[[#All],[$ EFT COMM]])+  SUMIF(Jul_Period_1_Tbl[[#All],[STAFF:]],$A12,Jul_Period_1_Tbl[[#All],[$ EFT COMM]])+  SUMIF(Aug_Period_1_Tbl[[#All],[STAFF:]],$A12,Aug_Period_1_Tbl[[#All],[$ EFT COMM]])+  SUMIF(Sep_Period_1_Tbl[[#All],[STAFF:]],$A12,Sep_Period_1_Tbl[[#All],[$ EFT COMM]])+  SUMIF(Oct_Period_1_Tbl[[#All],[STAFF:]],$A12,Oct_Period_1_Tbl[[#All],[$ EFT COMM]])+     SUMIF(Nov_Period_1_Tbl[[#All],[STAFF:]],$A12,Nov_Period_1_Tbl[[#All],[$ EFT COMM]])+  SUMIF(Dec_Period_1_Tbl[[#All],[STAFF:]],$A12,Dec_Period_1_Tbl[[#All],[$ EFT COMM]]))+   (SUMIF(Jan_Period_2_Tbl[[#All],[STAFF:]],$A12,Jan_Period_2_Tbl[[#All],[$ EFT COMM]])+
SUMIF(Feb_Period_2_Tbl[[#All],[STAFF:]],$A12,Feb_Period_2_Tbl[[#All],[$ EFT COMM]])+SUMIF(Mar_Period_2_Tbl[[#All],[STAFF:]],$A12,Mar_Period_2_Tbl[[#All],[$ EFT COMM]])+SUMIF(Apr_Period_2_Tbl[[#All],[STAFF:]],$A12,Apr_Period_2_Tbl[[#All],[$ EFT COMM]])+   SUMIF(May_Period_2_Tbl[[#All],[STAFF:]],$A12,May_Period_2_Tbl[[#All],[$ EFT COMM]])+   SUMIF(Jun_Period_2_Tbl[[#All],[STAFF:]],$A12,Jun_Period_2_Tbl[[#All],[$ EFT COMM]])+  SUMIF(Jul_Period_2_Tbl[[#All],[STAFF:]],$A12,Jul_Period_2_Tbl[[#All],[$ EFT COMM]])+  SUMIF(Aug_Period_2_Tbl[[#All],[STAFF:]],$A12,Aug_Period_2_Tbl[[#All],[$ EFT COMM]])+  SUMIF(Sep_Period_2_Tbl[[#All],[STAFF:]],$A12,Sep_Period_2_Tbl[[#All],[$ EFT COMM]])+  SUMIF(Oct_Period_2_Tbl[[#All],[STAFF:]],$A12,Oct_Period_2_Tbl[[#All],[$ EFT COMM]])+     SUMIF(Nov_Period_2_Tbl[[#All],[STAFF:]],$A12,Nov_Period_2_Tbl[[#All],[$ EFT COMM]])+  SUMIF(Dec_Period_2_Tbl[[#All],[STAFF:]],$A12,Dec_Period_2_Tbl[[#All],[$ EFT COMM]]))</f>
        <v>0</v>
      </c>
      <c r="N12" s="190">
        <f>(SUMIF(Jan_Period_1_Tbl[[#All],[STAFF:]],$A12,Jan_Period_1_Tbl[[#All],[$ CLASS PAY]])+
SUMIF(Feb_Period_1_Tbl[[#All],[STAFF:]],$A12,Feb_Period_1_Tbl[[#All],[$ CLASS PAY]])+SUMIF(Mar_Period_1_Tbl[[#All],[STAFF:]],$A12,Mar_Period_1_Tbl[[#All],[$ CLASS PAY]])+SUMIF(Apr_Period_1_Tbl[[#All],[STAFF:]],$A12,Apr_Period_1_Tbl[[#All],[$ CLASS PAY]])+   SUMIF(May_Period_1_Tbl[[#All],[STAFF:]],$A12,May_Period_1_Tbl[[#All],[$ CLASS PAY]])+   SUMIF(Jun_Period_1_Tbl[[#All],[STAFF:]],$A12,Jun_Period_1_Tbl[[#All],[$ CLASS PAY]])+  SUMIF(Jul_Period_1_Tbl[[#All],[STAFF:]],$A12,Jul_Period_1_Tbl[[#All],[$ CLASS PAY]])+  SUMIF(Aug_Period_1_Tbl[[#All],[STAFF:]],$A12,Aug_Period_1_Tbl[[#All],[$ CLASS PAY]])+  SUMIF(Sep_Period_1_Tbl[[#All],[STAFF:]],$A12,Sep_Period_1_Tbl[[#All],[$ CLASS PAY]])+  SUMIF(Oct_Period_1_Tbl[[#All],[STAFF:]],$A12,Oct_Period_1_Tbl[[#All],[$ CLASS PAY]])+     SUMIF(Nov_Period_1_Tbl[[#All],[STAFF:]],$A12,Nov_Period_1_Tbl[[#All],[$ CLASS PAY]])+  SUMIF(Dec_Period_1_Tbl[[#All],[STAFF:]],$A12,Dec_Period_1_Tbl[[#All],[$ CLASS PAY]]))+   (SUMIF(Jan_Period_2_Tbl[[#All],[STAFF:]],$A12,Jan_Period_2_Tbl[[#All],[$ CLASS PAY]])+
SUMIF(Feb_Period_2_Tbl[[#All],[STAFF:]],$A12,Feb_Period_2_Tbl[[#All],[$ CLASS PAY]])+SUMIF(Mar_Period_2_Tbl[[#All],[STAFF:]],$A12,Mar_Period_2_Tbl[[#All],[$ CLASS PAY]])+SUMIF(Apr_Period_2_Tbl[[#All],[STAFF:]],$A12,Apr_Period_2_Tbl[[#All],[$ CLASS PAY]])+   SUMIF(May_Period_2_Tbl[[#All],[STAFF:]],$A12,May_Period_2_Tbl[[#All],[$ CLASS PAY]])+   SUMIF(Jun_Period_2_Tbl[[#All],[STAFF:]],$A12,Jun_Period_2_Tbl[[#All],[$ CLASS PAY]])+  SUMIF(Jul_Period_2_Tbl[[#All],[STAFF:]],$A12,Jul_Period_2_Tbl[[#All],[$ CLASS PAY]])+  SUMIF(Aug_Period_2_Tbl[[#All],[STAFF:]],$A12,Aug_Period_2_Tbl[[#All],[$ CLASS PAY]])+  SUMIF(Sep_Period_2_Tbl[[#All],[STAFF:]],$A12,Sep_Period_2_Tbl[[#All],[$ CLASS PAY]])+  SUMIF(Oct_Period_2_Tbl[[#All],[STAFF:]],$A12,Oct_Period_2_Tbl[[#All],[$ CLASS PAY]])+     SUMIF(Nov_Period_2_Tbl[[#All],[STAFF:]],$A12,Nov_Period_2_Tbl[[#All],[$ CLASS PAY]])+  SUMIF(Dec_Period_2_Tbl[[#All],[STAFF:]],$A12,Dec_Period_2_Tbl[[#All],[$ CLASS PAY]]))</f>
        <v>0</v>
      </c>
      <c r="O12" s="191">
        <f>(SUMIF(Jan_Period_1_Tbl[[#All],[STAFF:]],$A12,Jan_Period_1_Tbl[[#All],[$ BONUS PAY]])+
SUMIF(Feb_Period_1_Tbl[[#All],[STAFF:]],$A12,Feb_Period_1_Tbl[[#All],[$ BONUS PAY]])+SUMIF(Mar_Period_1_Tbl[[#All],[STAFF:]],$A12,Mar_Period_1_Tbl[[#All],[$ BONUS PAY]])+SUMIF(Apr_Period_1_Tbl[[#All],[STAFF:]],$A12,Apr_Period_1_Tbl[[#All],[$ BONUS PAY]])+   SUMIF(May_Period_1_Tbl[[#All],[STAFF:]],$A12,May_Period_1_Tbl[[#All],[$ BONUS PAY]])+   SUMIF(Jun_Period_1_Tbl[[#All],[STAFF:]],$A12,Jun_Period_1_Tbl[[#All],[$ BONUS PAY]])+  SUMIF(Jul_Period_1_Tbl[[#All],[STAFF:]],$A12,Jul_Period_1_Tbl[[#All],[$ BONUS PAY]])+  SUMIF(Aug_Period_1_Tbl[[#All],[STAFF:]],$A12,Aug_Period_1_Tbl[[#All],[$ BONUS PAY]])+  SUMIF(Sep_Period_1_Tbl[[#All],[STAFF:]],$A12,Sep_Period_1_Tbl[[#All],[$ BONUS PAY]])+  SUMIF(Oct_Period_1_Tbl[[#All],[STAFF:]],$A12,Oct_Period_1_Tbl[[#All],[$ BONUS PAY]])+     SUMIF(Nov_Period_1_Tbl[[#All],[STAFF:]],$A12,Nov_Period_1_Tbl[[#All],[$ BONUS PAY]])+  SUMIF(Dec_Period_1_Tbl[[#All],[STAFF:]],$A12,Dec_Period_1_Tbl[[#All],[$ BONUS PAY]]))+   (SUMIF(Jan_Period_2_Tbl[[#All],[STAFF:]],$A12,Jan_Period_2_Tbl[[#All],[$ BONUS PAY]])+
SUMIF(Feb_Period_2_Tbl[[#All],[STAFF:]],$A12,Feb_Period_2_Tbl[[#All],[$ BONUS PAY]])+SUMIF(Mar_Period_2_Tbl[[#All],[STAFF:]],$A12,Mar_Period_2_Tbl[[#All],[$ BONUS PAY]])+SUMIF(Apr_Period_2_Tbl[[#All],[STAFF:]],$A12,Apr_Period_2_Tbl[[#All],[$ BONUS PAY]])+   SUMIF(May_Period_2_Tbl[[#All],[STAFF:]],$A12,May_Period_2_Tbl[[#All],[$ BONUS PAY]])+   SUMIF(Jun_Period_2_Tbl[[#All],[STAFF:]],$A12,Jun_Period_2_Tbl[[#All],[$ BONUS PAY]])+  SUMIF(Jul_Period_2_Tbl[[#All],[STAFF:]],$A12,Jul_Period_2_Tbl[[#All],[$ BONUS PAY]])+  SUMIF(Aug_Period_2_Tbl[[#All],[STAFF:]],$A12,Aug_Period_2_Tbl[[#All],[$ BONUS PAY]])+  SUMIF(Sep_Period_2_Tbl[[#All],[STAFF:]],$A12,Sep_Period_2_Tbl[[#All],[$ BONUS PAY]])+  SUMIF(Oct_Period_2_Tbl[[#All],[STAFF:]],$A12,Oct_Period_2_Tbl[[#All],[$ BONUS PAY]])+     SUMIF(Nov_Period_2_Tbl[[#All],[STAFF:]],$A12,Nov_Period_2_Tbl[[#All],[$ BONUS PAY]])+  SUMIF(Dec_Period_2_Tbl[[#All],[STAFF:]],$A12,Dec_Period_2_Tbl[[#All],[$ BONUS PAY]]))</f>
        <v>0</v>
      </c>
      <c r="P12" s="179">
        <f t="shared" si="0"/>
        <v>0</v>
      </c>
      <c r="Q12" s="149"/>
      <c r="R12" s="152">
        <f>(SUMIF(Jan_Period_1_Tbl[[#All],[STAFF:]],$A12,Jan_Period_1_Tbl[[#All],['# POINTS EARNED]])+
SUMIF(Feb_Period_1_Tbl[[#All],[STAFF:]],$A12,Feb_Period_1_Tbl[[#All],['# POINTS EARNED]])+SUMIF(Mar_Period_1_Tbl[[#All],[STAFF:]],$A12,Mar_Period_1_Tbl[[#All],['# POINTS EARNED]])+SUMIF(Apr_Period_1_Tbl[[#All],[STAFF:]],$A12,Apr_Period_1_Tbl[[#All],['# POINTS EARNED]])+   SUMIF(May_Period_1_Tbl[[#All],[STAFF:]],$A12,May_Period_1_Tbl[[#All],['# POINTS EARNED]])+   SUMIF(Jun_Period_1_Tbl[[#All],[STAFF:]],$A12,Jun_Period_1_Tbl[[#All],['# POINTS EARNED]])+  SUMIF(Jul_Period_1_Tbl[[#All],[STAFF:]],$A12,Jul_Period_1_Tbl[[#All],['# POINTS EARNED]])+  SUMIF(Aug_Period_1_Tbl[[#All],[STAFF:]],$A12,Aug_Period_1_Tbl[[#All],['# POINTS EARNED]])+  SUMIF(Sep_Period_1_Tbl[[#All],[STAFF:]],$A12,Sep_Period_1_Tbl[[#All],['# POINTS EARNED]])+  SUMIF(Oct_Period_1_Tbl[[#All],[STAFF:]],$A12,Oct_Period_1_Tbl[[#All],['# POINTS EARNED]])+     SUMIF(Nov_Period_1_Tbl[[#All],[STAFF:]],$A12,Nov_Period_1_Tbl[[#All],['# POINTS EARNED]])+  SUMIF(Dec_Period_1_Tbl[[#All],[STAFF:]],$A12,Dec_Period_1_Tbl[[#All],['# POINTS EARNED]]))+   (SUMIF(Jan_Period_2_Tbl[[#All],[STAFF:]],$A12,Jan_Period_2_Tbl[[#All],['# POINTS EARNED]])+
SUMIF(Feb_Period_2_Tbl[[#All],[STAFF:]],$A12,Feb_Period_2_Tbl[[#All],['# POINTS EARNED]])+SUMIF(Mar_Period_2_Tbl[[#All],[STAFF:]],$A12,Mar_Period_2_Tbl[[#All],['# POINTS EARNED]])+SUMIF(Apr_Period_2_Tbl[[#All],[STAFF:]],$A12,Apr_Period_2_Tbl[[#All],['# POINTS EARNED]])+   SUMIF(May_Period_2_Tbl[[#All],[STAFF:]],$A12,May_Period_2_Tbl[[#All],['# POINTS EARNED]])+   SUMIF(Jun_Period_2_Tbl[[#All],[STAFF:]],$A12,Jun_Period_2_Tbl[[#All],['# POINTS EARNED]])+  SUMIF(Jul_Period_2_Tbl[[#All],[STAFF:]],$A12,Jul_Period_2_Tbl[[#All],['# POINTS EARNED]])+  SUMIF(Aug_Period_2_Tbl[[#All],[STAFF:]],$A12,Aug_Period_2_Tbl[[#All],['# POINTS EARNED]])+  SUMIF(Sep_Period_2_Tbl[[#All],[STAFF:]],$A12,Sep_Period_2_Tbl[[#All],['# POINTS EARNED]])+  SUMIF(Oct_Period_2_Tbl[[#All],[STAFF:]],$A12,Oct_Period_2_Tbl[[#All],['# POINTS EARNED]])+     SUMIF(Nov_Period_2_Tbl[[#All],[STAFF:]],$A12,Nov_Period_2_Tbl[[#All],['# POINTS EARNED]])+  SUMIF(Dec_Period_2_Tbl[[#All],[STAFF:]],$A12,Dec_Period_2_Tbl[[#All],['# POINTS EARNED]]))</f>
        <v>0</v>
      </c>
      <c r="S12" s="152">
        <f>(SUMIF(Jan_Period_1_Tbl[[#All],[STAFF:]],$A12,Jan_Period_1_Tbl[[#All],['# POINTS USED]])+
SUMIF(Feb_Period_1_Tbl[[#All],[STAFF:]],$A12,Feb_Period_1_Tbl[[#All],['# POINTS USED]])+SUMIF(Mar_Period_1_Tbl[[#All],[STAFF:]],$A12,Mar_Period_1_Tbl[[#All],['# POINTS USED]])+SUMIF(Apr_Period_1_Tbl[[#All],[STAFF:]],$A12,Apr_Period_1_Tbl[[#All],['# POINTS USED]])+   SUMIF(May_Period_1_Tbl[[#All],[STAFF:]],$A12,May_Period_1_Tbl[[#All],['# POINTS USED]])+   SUMIF(Jun_Period_1_Tbl[[#All],[STAFF:]],$A12,Jun_Period_1_Tbl[[#All],['# POINTS USED]])+  SUMIF(Jul_Period_1_Tbl[[#All],[STAFF:]],$A12,Jul_Period_1_Tbl[[#All],['# POINTS USED]])+  SUMIF(Aug_Period_1_Tbl[[#All],[STAFF:]],$A12,Aug_Period_1_Tbl[[#All],['# POINTS USED]])+  SUMIF(Sep_Period_1_Tbl[[#All],[STAFF:]],$A12,Sep_Period_1_Tbl[[#All],['# POINTS USED]])+  SUMIF(Oct_Period_1_Tbl[[#All],[STAFF:]],$A12,Oct_Period_1_Tbl[[#All],['# POINTS USED]])+     SUMIF(Nov_Period_1_Tbl[[#All],[STAFF:]],$A12,Nov_Period_1_Tbl[[#All],['# POINTS USED]])+  SUMIF(Dec_Period_1_Tbl[[#All],[STAFF:]],$A12,Dec_Period_1_Tbl[[#All],['# POINTS USED]]))+   (SUMIF(Jan_Period_2_Tbl[[#All],[STAFF:]],$A12,Jan_Period_2_Tbl[[#All],['# POINTS USED]])+
SUMIF(Feb_Period_2_Tbl[[#All],[STAFF:]],$A12,Feb_Period_2_Tbl[[#All],['# POINTS USED]])+SUMIF(Mar_Period_2_Tbl[[#All],[STAFF:]],$A12,Mar_Period_2_Tbl[[#All],['# POINTS USED]])+SUMIF(Apr_Period_2_Tbl[[#All],[STAFF:]],$A12,Apr_Period_2_Tbl[[#All],['# POINTS USED]])+   SUMIF(May_Period_2_Tbl[[#All],[STAFF:]],$A12,May_Period_2_Tbl[[#All],['# POINTS USED]])+   SUMIF(Jun_Period_2_Tbl[[#All],[STAFF:]],$A12,Jun_Period_2_Tbl[[#All],['# POINTS USED]])+  SUMIF(Jul_Period_2_Tbl[[#All],[STAFF:]],$A12,Jul_Period_2_Tbl[[#All],['# POINTS USED]])+  SUMIF(Aug_Period_2_Tbl[[#All],[STAFF:]],$A12,Aug_Period_2_Tbl[[#All],['# POINTS USED]])+  SUMIF(Sep_Period_2_Tbl[[#All],[STAFF:]],$A12,Sep_Period_2_Tbl[[#All],['# POINTS USED]])+  SUMIF(Oct_Period_2_Tbl[[#All],[STAFF:]],$A12,Oct_Period_2_Tbl[[#All],['# POINTS USED]])+     SUMIF(Nov_Period_2_Tbl[[#All],[STAFF:]],$A12,Nov_Period_2_Tbl[[#All],['# POINTS USED]])+  SUMIF(Dec_Period_2_Tbl[[#All],[STAFF:]],$A12,Dec_Period_2_Tbl[[#All],['# POINTS USED]]))</f>
        <v>0</v>
      </c>
      <c r="T12" s="152">
        <f>(SUMIF(Jan_Period_1_Tbl[[#All],[STAFF:]],$A12,Jan_Period_1_Tbl[[#All],['# CLASSES LEAD]])+
SUMIF(Feb_Period_1_Tbl[[#All],[STAFF:]],$A12,Feb_Period_1_Tbl[[#All],['# CLASSES LEAD]])+SUMIF(Mar_Period_1_Tbl[[#All],[STAFF:]],$A12,Mar_Period_1_Tbl[[#All],['# CLASSES LEAD]])+SUMIF(Apr_Period_1_Tbl[[#All],[STAFF:]],$A12,Apr_Period_1_Tbl[[#All],['# CLASSES LEAD]])+   SUMIF(May_Period_1_Tbl[[#All],[STAFF:]],$A12,May_Period_1_Tbl[[#All],['# CLASSES LEAD]])+   SUMIF(Jun_Period_1_Tbl[[#All],[STAFF:]],$A12,Jun_Period_1_Tbl[[#All],['# CLASSES LEAD]])+  SUMIF(Jul_Period_1_Tbl[[#All],[STAFF:]],$A12,Jul_Period_1_Tbl[[#All],['# CLASSES LEAD]])+  SUMIF(Aug_Period_1_Tbl[[#All],[STAFF:]],$A12,Aug_Period_1_Tbl[[#All],['# CLASSES LEAD]])+  SUMIF(Sep_Period_1_Tbl[[#All],[STAFF:]],$A12,Sep_Period_1_Tbl[[#All],['# CLASSES LEAD]])+  SUMIF(Oct_Period_1_Tbl[[#All],[STAFF:]],$A12,Oct_Period_1_Tbl[[#All],['# CLASSES LEAD]])+     SUMIF(Nov_Period_1_Tbl[[#All],[STAFF:]],$A12,Nov_Period_1_Tbl[[#All],['# CLASSES LEAD]])+  SUMIF(Dec_Period_1_Tbl[[#All],[STAFF:]],$A12,Dec_Period_1_Tbl[[#All],['# CLASSES LEAD]]))+   (SUMIF(Jan_Period_2_Tbl[[#All],[STAFF:]],$A12,Jan_Period_2_Tbl[[#All],['# CLASSES LEAD]])+
SUMIF(Feb_Period_2_Tbl[[#All],[STAFF:]],$A12,Feb_Period_2_Tbl[[#All],['# CLASSES LEAD]])+SUMIF(Mar_Period_2_Tbl[[#All],[STAFF:]],$A12,Mar_Period_2_Tbl[[#All],['# CLASSES LEAD]])+SUMIF(Apr_Period_2_Tbl[[#All],[STAFF:]],$A12,Apr_Period_2_Tbl[[#All],['# CLASSES LEAD]])+   SUMIF(May_Period_2_Tbl[[#All],[STAFF:]],$A12,May_Period_2_Tbl[[#All],['# CLASSES LEAD]])+   SUMIF(Jun_Period_2_Tbl[[#All],[STAFF:]],$A12,Jun_Period_2_Tbl[[#All],['# CLASSES LEAD]])+  SUMIF(Jul_Period_2_Tbl[[#All],[STAFF:]],$A12,Jul_Period_2_Tbl[[#All],['# CLASSES LEAD]])+  SUMIF(Aug_Period_2_Tbl[[#All],[STAFF:]],$A12,Aug_Period_2_Tbl[[#All],['# CLASSES LEAD]])+  SUMIF(Sep_Period_2_Tbl[[#All],[STAFF:]],$A12,Sep_Period_2_Tbl[[#All],['# CLASSES LEAD]])+  SUMIF(Oct_Period_2_Tbl[[#All],[STAFF:]],$A12,Oct_Period_2_Tbl[[#All],['# CLASSES LEAD]])+     SUMIF(Nov_Period_2_Tbl[[#All],[STAFF:]],$A12,Nov_Period_2_Tbl[[#All],['# CLASSES LEAD]])+  SUMIF(Dec_Period_2_Tbl[[#All],[STAFF:]],$A12,Dec_Period_2_Tbl[[#All],['# CLASSES LEAD]]))</f>
        <v>0</v>
      </c>
      <c r="U12" s="152">
        <f>(SUMIF(Jan_Period_1_Tbl[[#All],[STAFF:]],$A12,Jan_Period_1_Tbl[[#All],['# CLASSES SHOW]])+
SUMIF(Feb_Period_1_Tbl[[#All],[STAFF:]],$A12,Feb_Period_1_Tbl[[#All],['# CLASSES SHOW]])+SUMIF(Mar_Period_1_Tbl[[#All],[STAFF:]],$A12,Mar_Period_1_Tbl[[#All],['# CLASSES SHOW]])+SUMIF(Apr_Period_1_Tbl[[#All],[STAFF:]],$A12,Apr_Period_1_Tbl[[#All],['# CLASSES SHOW]])+   SUMIF(May_Period_1_Tbl[[#All],[STAFF:]],$A12,May_Period_1_Tbl[[#All],['# CLASSES SHOW]])+   SUMIF(Jun_Period_1_Tbl[[#All],[STAFF:]],$A12,Jun_Period_1_Tbl[[#All],['# CLASSES SHOW]])+  SUMIF(Jul_Period_1_Tbl[[#All],[STAFF:]],$A12,Jul_Period_1_Tbl[[#All],['# CLASSES SHOW]])+  SUMIF(Aug_Period_1_Tbl[[#All],[STAFF:]],$A12,Aug_Period_1_Tbl[[#All],['# CLASSES SHOW]])+  SUMIF(Sep_Period_1_Tbl[[#All],[STAFF:]],$A12,Sep_Period_1_Tbl[[#All],['# CLASSES SHOW]])+  SUMIF(Oct_Period_1_Tbl[[#All],[STAFF:]],$A12,Oct_Period_1_Tbl[[#All],['# CLASSES SHOW]])+     SUMIF(Nov_Period_1_Tbl[[#All],[STAFF:]],$A12,Nov_Period_1_Tbl[[#All],['# CLASSES SHOW]])+  SUMIF(Dec_Period_1_Tbl[[#All],[STAFF:]],$A12,Dec_Period_1_Tbl[[#All],['# CLASSES SHOW]]))+   (SUMIF(Jan_Period_2_Tbl[[#All],[STAFF:]],$A12,Jan_Period_2_Tbl[[#All],['# CLASSES SHOW]])+
SUMIF(Feb_Period_2_Tbl[[#All],[STAFF:]],$A12,Feb_Period_2_Tbl[[#All],['# CLASSES SHOW]])+SUMIF(Mar_Period_2_Tbl[[#All],[STAFF:]],$A12,Mar_Period_2_Tbl[[#All],['# CLASSES SHOW]])+SUMIF(Apr_Period_2_Tbl[[#All],[STAFF:]],$A12,Apr_Period_2_Tbl[[#All],['# CLASSES SHOW]])+   SUMIF(May_Period_2_Tbl[[#All],[STAFF:]],$A12,May_Period_2_Tbl[[#All],['# CLASSES SHOW]])+   SUMIF(Jun_Period_2_Tbl[[#All],[STAFF:]],$A12,Jun_Period_2_Tbl[[#All],['# CLASSES SHOW]])+  SUMIF(Jul_Period_2_Tbl[[#All],[STAFF:]],$A12,Jul_Period_2_Tbl[[#All],['# CLASSES SHOW]])+  SUMIF(Aug_Period_2_Tbl[[#All],[STAFF:]],$A12,Aug_Period_2_Tbl[[#All],['# CLASSES SHOW]])+  SUMIF(Sep_Period_2_Tbl[[#All],[STAFF:]],$A12,Sep_Period_2_Tbl[[#All],['# CLASSES SHOW]])+  SUMIF(Oct_Period_2_Tbl[[#All],[STAFF:]],$A12,Oct_Period_2_Tbl[[#All],['# CLASSES SHOW]])+     SUMIF(Nov_Period_2_Tbl[[#All],[STAFF:]],$A12,Nov_Period_2_Tbl[[#All],['# CLASSES SHOW]])+  SUMIF(Dec_Period_2_Tbl[[#All],[STAFF:]],$A12,Dec_Period_2_Tbl[[#All],['# CLASSES SHOW]]))</f>
        <v>0</v>
      </c>
      <c r="V12" s="156"/>
      <c r="W12" s="156"/>
      <c r="X12" s="154">
        <f t="shared" si="1"/>
        <v>0</v>
      </c>
      <c r="Y12" s="154">
        <f t="shared" si="2"/>
        <v>0</v>
      </c>
      <c r="Z12" s="154">
        <f t="shared" si="3"/>
        <v>0</v>
      </c>
      <c r="AA12" s="154">
        <f t="shared" si="4"/>
        <v>0</v>
      </c>
      <c r="AB12" s="154">
        <f t="shared" si="5"/>
        <v>0</v>
      </c>
      <c r="AC12" s="154">
        <f t="shared" si="6"/>
        <v>0</v>
      </c>
      <c r="AD12" s="154">
        <f t="shared" si="7"/>
        <v>0</v>
      </c>
      <c r="AE12" s="149"/>
      <c r="AF12" s="149"/>
      <c r="AG12" s="149"/>
      <c r="AH12" s="149"/>
      <c r="AJ12" s="75" t="str">
        <f t="shared" si="8"/>
        <v>zBlank</v>
      </c>
      <c r="AK12" s="210"/>
      <c r="AL12" s="168">
        <f>IFERROR(VLOOKUP(B12,List!$A:$B,2,FALSE),-1)</f>
        <v>-1</v>
      </c>
      <c r="AM12" s="168">
        <f>IFERROR(VLOOKUP(C12,List!$A:$B,2,FALSE),-1)</f>
        <v>-1</v>
      </c>
    </row>
    <row r="13" spans="1:40" ht="15" hidden="1" customHeight="1" x14ac:dyDescent="0.25">
      <c r="A13" s="20"/>
      <c r="B13" s="186"/>
      <c r="C13" s="186"/>
      <c r="D13" s="187"/>
      <c r="E13" s="188">
        <f>(SUMIF(Jan_Period_1_Tbl[[#All],[STAFF:]],$A13,Jan_Period_1_Tbl[[#All],['# PTO USED]])+
SUMIF(Feb_Period_1_Tbl[[#All],[STAFF:]],$A13,Feb_Period_1_Tbl[[#All],['# PTO USED]])+SUMIF(Mar_Period_1_Tbl[[#All],[STAFF:]],$A13,Mar_Period_1_Tbl[[#All],['# PTO USED]])+SUMIF(Apr_Period_1_Tbl[[#All],[STAFF:]],$A13,Apr_Period_1_Tbl[[#All],['# PTO USED]])+   SUMIF(May_Period_1_Tbl[[#All],[STAFF:]],$A13,May_Period_1_Tbl[[#All],['# PTO USED]])+   SUMIF(Jun_Period_1_Tbl[[#All],[STAFF:]],$A13,Jun_Period_1_Tbl[[#All],['# PTO USED]])+  SUMIF(Jul_Period_1_Tbl[[#All],[STAFF:]],$A13,Jul_Period_1_Tbl[[#All],['# PTO USED]])+  SUMIF(Aug_Period_1_Tbl[[#All],[STAFF:]],$A13,Aug_Period_1_Tbl[[#All],['# PTO USED]])+  SUMIF(Sep_Period_1_Tbl[[#All],[STAFF:]],$A13,Sep_Period_1_Tbl[[#All],['# PTO USED]])+  SUMIF(Oct_Period_1_Tbl[[#All],[STAFF:]],$A13,Oct_Period_1_Tbl[[#All],['# PTO USED]])+     SUMIF(Nov_Period_1_Tbl[[#All],[STAFF:]],$A13,Nov_Period_1_Tbl[[#All],['# PTO USED]])+  SUMIF(Dec_Period_1_Tbl[[#All],[STAFF:]],$A13,Dec_Period_1_Tbl[[#All],['# PTO USED]]))+   (SUMIF(Jan_Period_2_Tbl[[#All],[STAFF:]],$A13,Jan_Period_2_Tbl[[#All],['# PTO USED]])+
SUMIF(Feb_Period_2_Tbl[[#All],[STAFF:]],$A13,Feb_Period_2_Tbl[[#All],['# PTO USED]])+SUMIF(Mar_Period_2_Tbl[[#All],[STAFF:]],$A13,Mar_Period_2_Tbl[[#All],['# PTO USED]])+SUMIF(Apr_Period_2_Tbl[[#All],[STAFF:]],$A13,Apr_Period_2_Tbl[[#All],['# PTO USED]])+   SUMIF(May_Period_2_Tbl[[#All],[STAFF:]],$A13,May_Period_2_Tbl[[#All],['# PTO USED]])+   SUMIF(Jun_Period_2_Tbl[[#All],[STAFF:]],$A13,Jun_Period_2_Tbl[[#All],['# PTO USED]])+  SUMIF(Jul_Period_2_Tbl[[#All],[STAFF:]],$A13,Jul_Period_2_Tbl[[#All],['# PTO USED]])+  SUMIF(Aug_Period_2_Tbl[[#All],[STAFF:]],$A13,Aug_Period_2_Tbl[[#All],['# PTO USED]])+  SUMIF(Sep_Period_2_Tbl[[#All],[STAFF:]],$A13,Sep_Period_2_Tbl[[#All],['# PTO USED]])+  SUMIF(Oct_Period_2_Tbl[[#All],[STAFF:]],$A13,Oct_Period_2_Tbl[[#All],['# PTO USED]])+     SUMIF(Nov_Period_2_Tbl[[#All],[STAFF:]],$A13,Nov_Period_2_Tbl[[#All],['# PTO USED]])+  SUMIF(Dec_Period_2_Tbl[[#All],[STAFF:]],$A13,Dec_Period_2_Tbl[[#All],['# PTO USED]]))</f>
        <v>0</v>
      </c>
      <c r="F13" s="189">
        <f>(SUMIF(Jan_Period_1_Tbl[[#All],[STAFF:]],$A13,Jan_Period_1_Tbl[[#All],['# HRS WORKED]])+
SUMIF(Feb_Period_1_Tbl[[#All],[STAFF:]],$A13,Feb_Period_1_Tbl[[#All],['# HRS WORKED]])+SUMIF(Mar_Period_1_Tbl[[#All],[STAFF:]],$A13,Mar_Period_1_Tbl[[#All],['# HRS WORKED]])+SUMIF(Apr_Period_1_Tbl[[#All],[STAFF:]],$A13,Apr_Period_1_Tbl[[#All],['# HRS WORKED]])+   SUMIF(May_Period_1_Tbl[[#All],[STAFF:]],$A13,May_Period_1_Tbl[[#All],['# HRS WORKED]])+   SUMIF(Jun_Period_1_Tbl[[#All],[STAFF:]],$A13,Jun_Period_1_Tbl[[#All],['# HRS WORKED]])+  SUMIF(Jul_Period_1_Tbl[[#All],[STAFF:]],$A13,Jul_Period_1_Tbl[[#All],['# HRS WORKED]])+  SUMIF(Aug_Period_1_Tbl[[#All],[STAFF:]],$A13,Aug_Period_1_Tbl[[#All],['# HRS WORKED]])+  SUMIF(Sep_Period_1_Tbl[[#All],[STAFF:]],$A13,Sep_Period_1_Tbl[[#All],['# HRS WORKED]])+  SUMIF(Oct_Period_1_Tbl[[#All],[STAFF:]],$A13,Oct_Period_1_Tbl[[#All],['# HRS WORKED]])+     SUMIF(Nov_Period_1_Tbl[[#All],[STAFF:]],$A13,Nov_Period_1_Tbl[[#All],['# HRS WORKED]])+  SUMIF(Dec_Period_1_Tbl[[#All],[STAFF:]],$A13,Dec_Period_1_Tbl[[#All],['# HRS WORKED]]))+   (SUMIF(Jan_Period_2_Tbl[[#All],[STAFF:]],$A13,Jan_Period_2_Tbl[[#All],['# HRS WORKED]])+
SUMIF(Feb_Period_2_Tbl[[#All],[STAFF:]],$A13,Feb_Period_2_Tbl[[#All],['# HRS WORKED]])+SUMIF(Mar_Period_2_Tbl[[#All],[STAFF:]],$A13,Mar_Period_2_Tbl[[#All],['# HRS WORKED]])+SUMIF(Apr_Period_2_Tbl[[#All],[STAFF:]],$A13,Apr_Period_2_Tbl[[#All],['# HRS WORKED]])+   SUMIF(May_Period_2_Tbl[[#All],[STAFF:]],$A13,May_Period_2_Tbl[[#All],['# HRS WORKED]])+   SUMIF(Jun_Period_2_Tbl[[#All],[STAFF:]],$A13,Jun_Period_2_Tbl[[#All],['# HRS WORKED]])+  SUMIF(Jul_Period_2_Tbl[[#All],[STAFF:]],$A13,Jul_Period_2_Tbl[[#All],['# HRS WORKED]])+  SUMIF(Aug_Period_2_Tbl[[#All],[STAFF:]],$A13,Aug_Period_2_Tbl[[#All],['# HRS WORKED]])+  SUMIF(Sep_Period_2_Tbl[[#All],[STAFF:]],$A13,Sep_Period_2_Tbl[[#All],['# HRS WORKED]])+  SUMIF(Oct_Period_2_Tbl[[#All],[STAFF:]],$A13,Oct_Period_2_Tbl[[#All],['# HRS WORKED]])+     SUMIF(Nov_Period_2_Tbl[[#All],[STAFF:]],$A13,Nov_Period_2_Tbl[[#All],['# HRS WORKED]])+  SUMIF(Dec_Period_2_Tbl[[#All],[STAFF:]],$A13,Dec_Period_2_Tbl[[#All],['# HRS WORKED]]))</f>
        <v>0</v>
      </c>
      <c r="G13" s="190">
        <f>(SUMIF(Jan_Period_1_Tbl[[#All],[STAFF:]],$A13,Jan_Period_1_Tbl[[#All],[$ Hourly WAGES]])+
SUMIF(Feb_Period_1_Tbl[[#All],[STAFF:]],$A13,Feb_Period_1_Tbl[[#All],[$ Hourly WAGES]])+SUMIF(Mar_Period_1_Tbl[[#All],[STAFF:]],$A13,Mar_Period_1_Tbl[[#All],[$ Hourly WAGES]])+SUMIF(Apr_Period_1_Tbl[[#All],[STAFF:]],$A13,Apr_Period_1_Tbl[[#All],[$ Hourly WAGES]])+   SUMIF(May_Period_1_Tbl[[#All],[STAFF:]],$A13,May_Period_1_Tbl[[#All],[$ Hourly WAGES]])+   SUMIF(Jun_Period_1_Tbl[[#All],[STAFF:]],$A13,Jun_Period_1_Tbl[[#All],[$ Hourly WAGES]])+  SUMIF(Jul_Period_1_Tbl[[#All],[STAFF:]],$A13,Jul_Period_1_Tbl[[#All],[$ Hourly WAGES]])+  SUMIF(Aug_Period_1_Tbl[[#All],[STAFF:]],$A13,Aug_Period_1_Tbl[[#All],[$ Hourly WAGES]])+  SUMIF(Sep_Period_1_Tbl[[#All],[STAFF:]],$A13,Sep_Period_1_Tbl[[#All],[$ Hourly WAGES]])+  SUMIF(Oct_Period_1_Tbl[[#All],[STAFF:]],$A13,Oct_Period_1_Tbl[[#All],[$ Hourly WAGES]])+     SUMIF(Nov_Period_1_Tbl[[#All],[STAFF:]],$A13,Nov_Period_1_Tbl[[#All],[$ Hourly WAGES]])+  SUMIF(Dec_Period_1_Tbl[[#All],[STAFF:]],$A13,Dec_Period_1_Tbl[[#All],[$ Hourly WAGES]]))+   (SUMIF(Jan_Period_2_Tbl[[#All],[STAFF:]],$A13,Jan_Period_2_Tbl[[#All],[$ Hourly WAGES]])+
SUMIF(Feb_Period_2_Tbl[[#All],[STAFF:]],$A13,Feb_Period_2_Tbl[[#All],[$ Hourly WAGES]])+SUMIF(Mar_Period_2_Tbl[[#All],[STAFF:]],$A13,Mar_Period_2_Tbl[[#All],[$ Hourly WAGES]])+SUMIF(Apr_Period_2_Tbl[[#All],[STAFF:]],$A13,Apr_Period_2_Tbl[[#All],[$ Hourly WAGES]])+   SUMIF(May_Period_2_Tbl[[#All],[STAFF:]],$A13,May_Period_2_Tbl[[#All],[$ Hourly WAGES]])+   SUMIF(Jun_Period_2_Tbl[[#All],[STAFF:]],$A13,Jun_Period_2_Tbl[[#All],[$ Hourly WAGES]])+  SUMIF(Jul_Period_2_Tbl[[#All],[STAFF:]],$A13,Jul_Period_2_Tbl[[#All],[$ Hourly WAGES]])+  SUMIF(Aug_Period_2_Tbl[[#All],[STAFF:]],$A13,Aug_Period_2_Tbl[[#All],[$ Hourly WAGES]])+  SUMIF(Sep_Period_2_Tbl[[#All],[STAFF:]],$A13,Sep_Period_2_Tbl[[#All],[$ Hourly WAGES]])+  SUMIF(Oct_Period_2_Tbl[[#All],[STAFF:]],$A13,Oct_Period_2_Tbl[[#All],[$ Hourly WAGES]])+     SUMIF(Nov_Period_2_Tbl[[#All],[STAFF:]],$A13,Nov_Period_2_Tbl[[#All],[$ Hourly WAGES]])+  SUMIF(Dec_Period_2_Tbl[[#All],[STAFF:]],$A13,Dec_Period_2_Tbl[[#All],[$ Hourly WAGES]]))</f>
        <v>0</v>
      </c>
      <c r="H13" s="190">
        <f>(SUMIF(Jan_Period_1_Tbl[[#All],[STAFF:]],$A13,Jan_Period_1_Tbl[[#All],[$ SALARY]])+
SUMIF(Feb_Period_1_Tbl[[#All],[STAFF:]],$A13,Feb_Period_1_Tbl[[#All],[$ SALARY]])+SUMIF(Mar_Period_1_Tbl[[#All],[STAFF:]],$A13,Mar_Period_1_Tbl[[#All],[$ SALARY]])+SUMIF(Apr_Period_1_Tbl[[#All],[STAFF:]],$A13,Apr_Period_1_Tbl[[#All],[$ SALARY]])+   SUMIF(May_Period_1_Tbl[[#All],[STAFF:]],$A13,May_Period_1_Tbl[[#All],[$ SALARY]])+   SUMIF(Jun_Period_1_Tbl[[#All],[STAFF:]],$A13,Jun_Period_1_Tbl[[#All],[$ SALARY]])+  SUMIF(Jul_Period_1_Tbl[[#All],[STAFF:]],$A13,Jul_Period_1_Tbl[[#All],[$ SALARY]])+  SUMIF(Aug_Period_1_Tbl[[#All],[STAFF:]],$A13,Aug_Period_1_Tbl[[#All],[$ SALARY]])+  SUMIF(Sep_Period_1_Tbl[[#All],[STAFF:]],$A13,Sep_Period_1_Tbl[[#All],[$ SALARY]])+  SUMIF(Oct_Period_1_Tbl[[#All],[STAFF:]],$A13,Oct_Period_1_Tbl[[#All],[$ SALARY]])+     SUMIF(Nov_Period_1_Tbl[[#All],[STAFF:]],$A13,Nov_Period_1_Tbl[[#All],[$ SALARY]])+  SUMIF(Dec_Period_1_Tbl[[#All],[STAFF:]],$A13,Dec_Period_1_Tbl[[#All],[$ SALARY]]))+   (SUMIF(Jan_Period_2_Tbl[[#All],[STAFF:]],$A13,Jan_Period_2_Tbl[[#All],[$ SALARY]])+
SUMIF(Feb_Period_2_Tbl[[#All],[STAFF:]],$A13,Feb_Period_2_Tbl[[#All],[$ SALARY]])+SUMIF(Mar_Period_2_Tbl[[#All],[STAFF:]],$A13,Mar_Period_2_Tbl[[#All],[$ SALARY]])+SUMIF(Apr_Period_2_Tbl[[#All],[STAFF:]],$A13,Apr_Period_2_Tbl[[#All],[$ SALARY]])+   SUMIF(May_Period_2_Tbl[[#All],[STAFF:]],$A13,May_Period_2_Tbl[[#All],[$ SALARY]])+   SUMIF(Jun_Period_2_Tbl[[#All],[STAFF:]],$A13,Jun_Period_2_Tbl[[#All],[$ SALARY]])+  SUMIF(Jul_Period_2_Tbl[[#All],[STAFF:]],$A13,Jul_Period_2_Tbl[[#All],[$ SALARY]])+  SUMIF(Aug_Period_2_Tbl[[#All],[STAFF:]],$A13,Aug_Period_2_Tbl[[#All],[$ SALARY]])+  SUMIF(Sep_Period_2_Tbl[[#All],[STAFF:]],$A13,Sep_Period_2_Tbl[[#All],[$ SALARY]])+  SUMIF(Oct_Period_2_Tbl[[#All],[STAFF:]],$A13,Oct_Period_2_Tbl[[#All],[$ SALARY]])+     SUMIF(Nov_Period_2_Tbl[[#All],[STAFF:]],$A13,Nov_Period_2_Tbl[[#All],[$ SALARY]])+  SUMIF(Dec_Period_2_Tbl[[#All],[STAFF:]],$A13,Dec_Period_2_Tbl[[#All],[$ SALARY]]))</f>
        <v>0</v>
      </c>
      <c r="I13" s="190">
        <f>(SUMIF(Jan_Period_1_Tbl[[#All],[STAFF:]],$A13,Jan_Period_1_Tbl[[#All],[$ SALARY PT]])+
SUMIF(Feb_Period_1_Tbl[[#All],[STAFF:]],$A13,Feb_Period_1_Tbl[[#All],[$ SALARY PT]])+SUMIF(Mar_Period_1_Tbl[[#All],[STAFF:]],$A13,Mar_Period_1_Tbl[[#All],[$ SALARY PT]])+SUMIF(Apr_Period_1_Tbl[[#All],[STAFF:]],$A13,Apr_Period_1_Tbl[[#All],[$ SALARY PT]])+   SUMIF(May_Period_1_Tbl[[#All],[STAFF:]],$A13,May_Period_1_Tbl[[#All],[$ SALARY PT]])+   SUMIF(Jun_Period_1_Tbl[[#All],[STAFF:]],$A13,Jun_Period_1_Tbl[[#All],[$ SALARY PT]])+  SUMIF(Jul_Period_1_Tbl[[#All],[STAFF:]],$A13,Jul_Period_1_Tbl[[#All],[$ SALARY PT]])+  SUMIF(Aug_Period_1_Tbl[[#All],[STAFF:]],$A13,Aug_Period_1_Tbl[[#All],[$ SALARY PT]])+  SUMIF(Sep_Period_1_Tbl[[#All],[STAFF:]],$A13,Sep_Period_1_Tbl[[#All],[$ SALARY PT]])+  SUMIF(Oct_Period_1_Tbl[[#All],[STAFF:]],$A13,Oct_Period_1_Tbl[[#All],[$ SALARY PT]])+     SUMIF(Nov_Period_1_Tbl[[#All],[STAFF:]],$A13,Nov_Period_1_Tbl[[#All],[$ SALARY PT]])+  SUMIF(Dec_Period_1_Tbl[[#All],[STAFF:]],$A13,Dec_Period_1_Tbl[[#All],[$ SALARY PT]]))+   (SUMIF(Jan_Period_2_Tbl[[#All],[STAFF:]],$A13,Jan_Period_2_Tbl[[#All],[$ SALARY PT]])+
SUMIF(Feb_Period_2_Tbl[[#All],[STAFF:]],$A13,Feb_Period_2_Tbl[[#All],[$ SALARY PT]])+SUMIF(Mar_Period_2_Tbl[[#All],[STAFF:]],$A13,Mar_Period_2_Tbl[[#All],[$ SALARY PT]])+SUMIF(Apr_Period_2_Tbl[[#All],[STAFF:]],$A13,Apr_Period_2_Tbl[[#All],[$ SALARY PT]])+   SUMIF(May_Period_2_Tbl[[#All],[STAFF:]],$A13,May_Period_2_Tbl[[#All],[$ SALARY PT]])+   SUMIF(Jun_Period_2_Tbl[[#All],[STAFF:]],$A13,Jun_Period_2_Tbl[[#All],[$ SALARY PT]])+  SUMIF(Jul_Period_2_Tbl[[#All],[STAFF:]],$A13,Jul_Period_2_Tbl[[#All],[$ SALARY PT]])+  SUMIF(Aug_Period_2_Tbl[[#All],[STAFF:]],$A13,Aug_Period_2_Tbl[[#All],[$ SALARY PT]])+  SUMIF(Sep_Period_2_Tbl[[#All],[STAFF:]],$A13,Sep_Period_2_Tbl[[#All],[$ SALARY PT]])+  SUMIF(Oct_Period_2_Tbl[[#All],[STAFF:]],$A13,Oct_Period_2_Tbl[[#All],[$ SALARY PT]])+     SUMIF(Nov_Period_2_Tbl[[#All],[STAFF:]],$A13,Nov_Period_2_Tbl[[#All],[$ SALARY PT]])+  SUMIF(Dec_Period_2_Tbl[[#All],[STAFF:]],$A13,Dec_Period_2_Tbl[[#All],[$ SALARY PT]]))</f>
        <v>0</v>
      </c>
      <c r="J13" s="190">
        <f>(SUMIF(Jan_Period_1_Tbl[[#All],[STAFF:]],$A13,Jan_Period_1_Tbl[[#All],[$ FREE PT]])+
SUMIF(Feb_Period_1_Tbl[[#All],[STAFF:]],$A13,Feb_Period_1_Tbl[[#All],[$ FREE PT]])+SUMIF(Mar_Period_1_Tbl[[#All],[STAFF:]],$A13,Mar_Period_1_Tbl[[#All],[$ FREE PT]])+SUMIF(Apr_Period_1_Tbl[[#All],[STAFF:]],$A13,Apr_Period_1_Tbl[[#All],[$ FREE PT]])+   SUMIF(May_Period_1_Tbl[[#All],[STAFF:]],$A13,May_Period_1_Tbl[[#All],[$ FREE PT]])+   SUMIF(Jun_Period_1_Tbl[[#All],[STAFF:]],$A13,Jun_Period_1_Tbl[[#All],[$ FREE PT]])+  SUMIF(Jul_Period_1_Tbl[[#All],[STAFF:]],$A13,Jul_Period_1_Tbl[[#All],[$ FREE PT]])+  SUMIF(Aug_Period_1_Tbl[[#All],[STAFF:]],$A13,Aug_Period_1_Tbl[[#All],[$ FREE PT]])+  SUMIF(Sep_Period_1_Tbl[[#All],[STAFF:]],$A13,Sep_Period_1_Tbl[[#All],[$ FREE PT]])+  SUMIF(Oct_Period_1_Tbl[[#All],[STAFF:]],$A13,Oct_Period_1_Tbl[[#All],[$ FREE PT]])+     SUMIF(Nov_Period_1_Tbl[[#All],[STAFF:]],$A13,Nov_Period_1_Tbl[[#All],[$ FREE PT]])+  SUMIF(Dec_Period_1_Tbl[[#All],[STAFF:]],$A13,Dec_Period_1_Tbl[[#All],[$ FREE PT]]))+   (SUMIF(Jan_Period_2_Tbl[[#All],[STAFF:]],$A13,Jan_Period_2_Tbl[[#All],[$ FREE PT]])+
SUMIF(Feb_Period_2_Tbl[[#All],[STAFF:]],$A13,Feb_Period_2_Tbl[[#All],[$ FREE PT]])+SUMIF(Mar_Period_2_Tbl[[#All],[STAFF:]],$A13,Mar_Period_2_Tbl[[#All],[$ FREE PT]])+SUMIF(Apr_Period_2_Tbl[[#All],[STAFF:]],$A13,Apr_Period_2_Tbl[[#All],[$ FREE PT]])+   SUMIF(May_Period_2_Tbl[[#All],[STAFF:]],$A13,May_Period_2_Tbl[[#All],[$ FREE PT]])+   SUMIF(Jun_Period_2_Tbl[[#All],[STAFF:]],$A13,Jun_Period_2_Tbl[[#All],[$ FREE PT]])+  SUMIF(Jul_Period_2_Tbl[[#All],[STAFF:]],$A13,Jul_Period_2_Tbl[[#All],[$ FREE PT]])+  SUMIF(Aug_Period_2_Tbl[[#All],[STAFF:]],$A13,Aug_Period_2_Tbl[[#All],[$ FREE PT]])+  SUMIF(Sep_Period_2_Tbl[[#All],[STAFF:]],$A13,Sep_Period_2_Tbl[[#All],[$ FREE PT]])+  SUMIF(Oct_Period_2_Tbl[[#All],[STAFF:]],$A13,Oct_Period_2_Tbl[[#All],[$ FREE PT]])+     SUMIF(Nov_Period_2_Tbl[[#All],[STAFF:]],$A13,Nov_Period_2_Tbl[[#All],[$ FREE PT]])+  SUMIF(Dec_Period_2_Tbl[[#All],[STAFF:]],$A13,Dec_Period_2_Tbl[[#All],[$ FREE PT]]))</f>
        <v>0</v>
      </c>
      <c r="K13" s="190">
        <f>(SUMIF(Jan_Period_1_Tbl[[#All],[STAFF:]],$A13,Jan_Period_1_Tbl[[#All],[$ PAID PT]])+
SUMIF(Feb_Period_1_Tbl[[#All],[STAFF:]],$A13,Feb_Period_1_Tbl[[#All],[$ PAID PT]])+SUMIF(Mar_Period_1_Tbl[[#All],[STAFF:]],$A13,Mar_Period_1_Tbl[[#All],[$ PAID PT]])+SUMIF(Apr_Period_1_Tbl[[#All],[STAFF:]],$A13,Apr_Period_1_Tbl[[#All],[$ PAID PT]])+   SUMIF(May_Period_1_Tbl[[#All],[STAFF:]],$A13,May_Period_1_Tbl[[#All],[$ PAID PT]])+   SUMIF(Jun_Period_1_Tbl[[#All],[STAFF:]],$A13,Jun_Period_1_Tbl[[#All],[$ PAID PT]])+  SUMIF(Jul_Period_1_Tbl[[#All],[STAFF:]],$A13,Jul_Period_1_Tbl[[#All],[$ PAID PT]])+  SUMIF(Aug_Period_1_Tbl[[#All],[STAFF:]],$A13,Aug_Period_1_Tbl[[#All],[$ PAID PT]])+  SUMIF(Sep_Period_1_Tbl[[#All],[STAFF:]],$A13,Sep_Period_1_Tbl[[#All],[$ PAID PT]])+  SUMIF(Oct_Period_1_Tbl[[#All],[STAFF:]],$A13,Oct_Period_1_Tbl[[#All],[$ PAID PT]])+     SUMIF(Nov_Period_1_Tbl[[#All],[STAFF:]],$A13,Nov_Period_1_Tbl[[#All],[$ PAID PT]])+  SUMIF(Dec_Period_1_Tbl[[#All],[STAFF:]],$A13,Dec_Period_1_Tbl[[#All],[$ PAID PT]]))+   (SUMIF(Jan_Period_2_Tbl[[#All],[STAFF:]],$A13,Jan_Period_2_Tbl[[#All],[$ PAID PT]])+
SUMIF(Feb_Period_2_Tbl[[#All],[STAFF:]],$A13,Feb_Period_2_Tbl[[#All],[$ PAID PT]])+SUMIF(Mar_Period_2_Tbl[[#All],[STAFF:]],$A13,Mar_Period_2_Tbl[[#All],[$ PAID PT]])+SUMIF(Apr_Period_2_Tbl[[#All],[STAFF:]],$A13,Apr_Period_2_Tbl[[#All],[$ PAID PT]])+   SUMIF(May_Period_2_Tbl[[#All],[STAFF:]],$A13,May_Period_2_Tbl[[#All],[$ PAID PT]])+   SUMIF(Jun_Period_2_Tbl[[#All],[STAFF:]],$A13,Jun_Period_2_Tbl[[#All],[$ PAID PT]])+  SUMIF(Jul_Period_2_Tbl[[#All],[STAFF:]],$A13,Jul_Period_2_Tbl[[#All],[$ PAID PT]])+  SUMIF(Aug_Period_2_Tbl[[#All],[STAFF:]],$A13,Aug_Period_2_Tbl[[#All],[$ PAID PT]])+  SUMIF(Sep_Period_2_Tbl[[#All],[STAFF:]],$A13,Sep_Period_2_Tbl[[#All],[$ PAID PT]])+  SUMIF(Oct_Period_2_Tbl[[#All],[STAFF:]],$A13,Oct_Period_2_Tbl[[#All],[$ PAID PT]])+     SUMIF(Nov_Period_2_Tbl[[#All],[STAFF:]],$A13,Nov_Period_2_Tbl[[#All],[$ PAID PT]])+  SUMIF(Dec_Period_2_Tbl[[#All],[STAFF:]],$A13,Dec_Period_2_Tbl[[#All],[$ PAID PT]]))</f>
        <v>0</v>
      </c>
      <c r="L13" s="190">
        <f>(SUMIF(Jan_Period_1_Tbl[[#All],[STAFF:]],$A13,Jan_Period_1_Tbl[[#All],[$ PT COMM]])+
SUMIF(Feb_Period_1_Tbl[[#All],[STAFF:]],$A13,Feb_Period_1_Tbl[[#All],[$ PT COMM]])+SUMIF(Mar_Period_1_Tbl[[#All],[STAFF:]],$A13,Mar_Period_1_Tbl[[#All],[$ PT COMM]])+SUMIF(Apr_Period_1_Tbl[[#All],[STAFF:]],$A13,Apr_Period_1_Tbl[[#All],[$ PT COMM]])+   SUMIF(May_Period_1_Tbl[[#All],[STAFF:]],$A13,May_Period_1_Tbl[[#All],[$ PT COMM]])+   SUMIF(Jun_Period_1_Tbl[[#All],[STAFF:]],$A13,Jun_Period_1_Tbl[[#All],[$ PT COMM]])+  SUMIF(Jul_Period_1_Tbl[[#All],[STAFF:]],$A13,Jul_Period_1_Tbl[[#All],[$ PT COMM]])+  SUMIF(Aug_Period_1_Tbl[[#All],[STAFF:]],$A13,Aug_Period_1_Tbl[[#All],[$ PT COMM]])+  SUMIF(Sep_Period_1_Tbl[[#All],[STAFF:]],$A13,Sep_Period_1_Tbl[[#All],[$ PT COMM]])+  SUMIF(Oct_Period_1_Tbl[[#All],[STAFF:]],$A13,Oct_Period_1_Tbl[[#All],[$ PT COMM]])+     SUMIF(Nov_Period_1_Tbl[[#All],[STAFF:]],$A13,Nov_Period_1_Tbl[[#All],[$ PT COMM]])+  SUMIF(Dec_Period_1_Tbl[[#All],[STAFF:]],$A13,Dec_Period_1_Tbl[[#All],[$ PT COMM]]))+   (SUMIF(Jan_Period_2_Tbl[[#All],[STAFF:]],$A13,Jan_Period_2_Tbl[[#All],[$ PT COMM]])+
SUMIF(Feb_Period_2_Tbl[[#All],[STAFF:]],$A13,Feb_Period_2_Tbl[[#All],[$ PT COMM]])+SUMIF(Mar_Period_2_Tbl[[#All],[STAFF:]],$A13,Mar_Period_2_Tbl[[#All],[$ PT COMM]])+SUMIF(Apr_Period_2_Tbl[[#All],[STAFF:]],$A13,Apr_Period_2_Tbl[[#All],[$ PT COMM]])+   SUMIF(May_Period_2_Tbl[[#All],[STAFF:]],$A13,May_Period_2_Tbl[[#All],[$ PT COMM]])+   SUMIF(Jun_Period_2_Tbl[[#All],[STAFF:]],$A13,Jun_Period_2_Tbl[[#All],[$ PT COMM]])+  SUMIF(Jul_Period_2_Tbl[[#All],[STAFF:]],$A13,Jul_Period_2_Tbl[[#All],[$ PT COMM]])+  SUMIF(Aug_Period_2_Tbl[[#All],[STAFF:]],$A13,Aug_Period_2_Tbl[[#All],[$ PT COMM]])+  SUMIF(Sep_Period_2_Tbl[[#All],[STAFF:]],$A13,Sep_Period_2_Tbl[[#All],[$ PT COMM]])+  SUMIF(Oct_Period_2_Tbl[[#All],[STAFF:]],$A13,Oct_Period_2_Tbl[[#All],[$ PT COMM]])+     SUMIF(Nov_Period_2_Tbl[[#All],[STAFF:]],$A13,Nov_Period_2_Tbl[[#All],[$ PT COMM]])+  SUMIF(Dec_Period_2_Tbl[[#All],[STAFF:]],$A13,Dec_Period_2_Tbl[[#All],[$ PT COMM]]))</f>
        <v>0</v>
      </c>
      <c r="M13" s="190">
        <f>(SUMIF(Jan_Period_1_Tbl[[#All],[STAFF:]],$A13,Jan_Period_1_Tbl[[#All],[$ EFT COMM]])+
SUMIF(Feb_Period_1_Tbl[[#All],[STAFF:]],$A13,Feb_Period_1_Tbl[[#All],[$ EFT COMM]])+SUMIF(Mar_Period_1_Tbl[[#All],[STAFF:]],$A13,Mar_Period_1_Tbl[[#All],[$ EFT COMM]])+SUMIF(Apr_Period_1_Tbl[[#All],[STAFF:]],$A13,Apr_Period_1_Tbl[[#All],[$ EFT COMM]])+   SUMIF(May_Period_1_Tbl[[#All],[STAFF:]],$A13,May_Period_1_Tbl[[#All],[$ EFT COMM]])+   SUMIF(Jun_Period_1_Tbl[[#All],[STAFF:]],$A13,Jun_Period_1_Tbl[[#All],[$ EFT COMM]])+  SUMIF(Jul_Period_1_Tbl[[#All],[STAFF:]],$A13,Jul_Period_1_Tbl[[#All],[$ EFT COMM]])+  SUMIF(Aug_Period_1_Tbl[[#All],[STAFF:]],$A13,Aug_Period_1_Tbl[[#All],[$ EFT COMM]])+  SUMIF(Sep_Period_1_Tbl[[#All],[STAFF:]],$A13,Sep_Period_1_Tbl[[#All],[$ EFT COMM]])+  SUMIF(Oct_Period_1_Tbl[[#All],[STAFF:]],$A13,Oct_Period_1_Tbl[[#All],[$ EFT COMM]])+     SUMIF(Nov_Period_1_Tbl[[#All],[STAFF:]],$A13,Nov_Period_1_Tbl[[#All],[$ EFT COMM]])+  SUMIF(Dec_Period_1_Tbl[[#All],[STAFF:]],$A13,Dec_Period_1_Tbl[[#All],[$ EFT COMM]]))+   (SUMIF(Jan_Period_2_Tbl[[#All],[STAFF:]],$A13,Jan_Period_2_Tbl[[#All],[$ EFT COMM]])+
SUMIF(Feb_Period_2_Tbl[[#All],[STAFF:]],$A13,Feb_Period_2_Tbl[[#All],[$ EFT COMM]])+SUMIF(Mar_Period_2_Tbl[[#All],[STAFF:]],$A13,Mar_Period_2_Tbl[[#All],[$ EFT COMM]])+SUMIF(Apr_Period_2_Tbl[[#All],[STAFF:]],$A13,Apr_Period_2_Tbl[[#All],[$ EFT COMM]])+   SUMIF(May_Period_2_Tbl[[#All],[STAFF:]],$A13,May_Period_2_Tbl[[#All],[$ EFT COMM]])+   SUMIF(Jun_Period_2_Tbl[[#All],[STAFF:]],$A13,Jun_Period_2_Tbl[[#All],[$ EFT COMM]])+  SUMIF(Jul_Period_2_Tbl[[#All],[STAFF:]],$A13,Jul_Period_2_Tbl[[#All],[$ EFT COMM]])+  SUMIF(Aug_Period_2_Tbl[[#All],[STAFF:]],$A13,Aug_Period_2_Tbl[[#All],[$ EFT COMM]])+  SUMIF(Sep_Period_2_Tbl[[#All],[STAFF:]],$A13,Sep_Period_2_Tbl[[#All],[$ EFT COMM]])+  SUMIF(Oct_Period_2_Tbl[[#All],[STAFF:]],$A13,Oct_Period_2_Tbl[[#All],[$ EFT COMM]])+     SUMIF(Nov_Period_2_Tbl[[#All],[STAFF:]],$A13,Nov_Period_2_Tbl[[#All],[$ EFT COMM]])+  SUMIF(Dec_Period_2_Tbl[[#All],[STAFF:]],$A13,Dec_Period_2_Tbl[[#All],[$ EFT COMM]]))</f>
        <v>0</v>
      </c>
      <c r="N13" s="190">
        <f>(SUMIF(Jan_Period_1_Tbl[[#All],[STAFF:]],$A13,Jan_Period_1_Tbl[[#All],[$ CLASS PAY]])+
SUMIF(Feb_Period_1_Tbl[[#All],[STAFF:]],$A13,Feb_Period_1_Tbl[[#All],[$ CLASS PAY]])+SUMIF(Mar_Period_1_Tbl[[#All],[STAFF:]],$A13,Mar_Period_1_Tbl[[#All],[$ CLASS PAY]])+SUMIF(Apr_Period_1_Tbl[[#All],[STAFF:]],$A13,Apr_Period_1_Tbl[[#All],[$ CLASS PAY]])+   SUMIF(May_Period_1_Tbl[[#All],[STAFF:]],$A13,May_Period_1_Tbl[[#All],[$ CLASS PAY]])+   SUMIF(Jun_Period_1_Tbl[[#All],[STAFF:]],$A13,Jun_Period_1_Tbl[[#All],[$ CLASS PAY]])+  SUMIF(Jul_Period_1_Tbl[[#All],[STAFF:]],$A13,Jul_Period_1_Tbl[[#All],[$ CLASS PAY]])+  SUMIF(Aug_Period_1_Tbl[[#All],[STAFF:]],$A13,Aug_Period_1_Tbl[[#All],[$ CLASS PAY]])+  SUMIF(Sep_Period_1_Tbl[[#All],[STAFF:]],$A13,Sep_Period_1_Tbl[[#All],[$ CLASS PAY]])+  SUMIF(Oct_Period_1_Tbl[[#All],[STAFF:]],$A13,Oct_Period_1_Tbl[[#All],[$ CLASS PAY]])+     SUMIF(Nov_Period_1_Tbl[[#All],[STAFF:]],$A13,Nov_Period_1_Tbl[[#All],[$ CLASS PAY]])+  SUMIF(Dec_Period_1_Tbl[[#All],[STAFF:]],$A13,Dec_Period_1_Tbl[[#All],[$ CLASS PAY]]))+   (SUMIF(Jan_Period_2_Tbl[[#All],[STAFF:]],$A13,Jan_Period_2_Tbl[[#All],[$ CLASS PAY]])+
SUMIF(Feb_Period_2_Tbl[[#All],[STAFF:]],$A13,Feb_Period_2_Tbl[[#All],[$ CLASS PAY]])+SUMIF(Mar_Period_2_Tbl[[#All],[STAFF:]],$A13,Mar_Period_2_Tbl[[#All],[$ CLASS PAY]])+SUMIF(Apr_Period_2_Tbl[[#All],[STAFF:]],$A13,Apr_Period_2_Tbl[[#All],[$ CLASS PAY]])+   SUMIF(May_Period_2_Tbl[[#All],[STAFF:]],$A13,May_Period_2_Tbl[[#All],[$ CLASS PAY]])+   SUMIF(Jun_Period_2_Tbl[[#All],[STAFF:]],$A13,Jun_Period_2_Tbl[[#All],[$ CLASS PAY]])+  SUMIF(Jul_Period_2_Tbl[[#All],[STAFF:]],$A13,Jul_Period_2_Tbl[[#All],[$ CLASS PAY]])+  SUMIF(Aug_Period_2_Tbl[[#All],[STAFF:]],$A13,Aug_Period_2_Tbl[[#All],[$ CLASS PAY]])+  SUMIF(Sep_Period_2_Tbl[[#All],[STAFF:]],$A13,Sep_Period_2_Tbl[[#All],[$ CLASS PAY]])+  SUMIF(Oct_Period_2_Tbl[[#All],[STAFF:]],$A13,Oct_Period_2_Tbl[[#All],[$ CLASS PAY]])+     SUMIF(Nov_Period_2_Tbl[[#All],[STAFF:]],$A13,Nov_Period_2_Tbl[[#All],[$ CLASS PAY]])+  SUMIF(Dec_Period_2_Tbl[[#All],[STAFF:]],$A13,Dec_Period_2_Tbl[[#All],[$ CLASS PAY]]))</f>
        <v>0</v>
      </c>
      <c r="O13" s="191">
        <f>(SUMIF(Jan_Period_1_Tbl[[#All],[STAFF:]],$A13,Jan_Period_1_Tbl[[#All],[$ BONUS PAY]])+
SUMIF(Feb_Period_1_Tbl[[#All],[STAFF:]],$A13,Feb_Period_1_Tbl[[#All],[$ BONUS PAY]])+SUMIF(Mar_Period_1_Tbl[[#All],[STAFF:]],$A13,Mar_Period_1_Tbl[[#All],[$ BONUS PAY]])+SUMIF(Apr_Period_1_Tbl[[#All],[STAFF:]],$A13,Apr_Period_1_Tbl[[#All],[$ BONUS PAY]])+   SUMIF(May_Period_1_Tbl[[#All],[STAFF:]],$A13,May_Period_1_Tbl[[#All],[$ BONUS PAY]])+   SUMIF(Jun_Period_1_Tbl[[#All],[STAFF:]],$A13,Jun_Period_1_Tbl[[#All],[$ BONUS PAY]])+  SUMIF(Jul_Period_1_Tbl[[#All],[STAFF:]],$A13,Jul_Period_1_Tbl[[#All],[$ BONUS PAY]])+  SUMIF(Aug_Period_1_Tbl[[#All],[STAFF:]],$A13,Aug_Period_1_Tbl[[#All],[$ BONUS PAY]])+  SUMIF(Sep_Period_1_Tbl[[#All],[STAFF:]],$A13,Sep_Period_1_Tbl[[#All],[$ BONUS PAY]])+  SUMIF(Oct_Period_1_Tbl[[#All],[STAFF:]],$A13,Oct_Period_1_Tbl[[#All],[$ BONUS PAY]])+     SUMIF(Nov_Period_1_Tbl[[#All],[STAFF:]],$A13,Nov_Period_1_Tbl[[#All],[$ BONUS PAY]])+  SUMIF(Dec_Period_1_Tbl[[#All],[STAFF:]],$A13,Dec_Period_1_Tbl[[#All],[$ BONUS PAY]]))+   (SUMIF(Jan_Period_2_Tbl[[#All],[STAFF:]],$A13,Jan_Period_2_Tbl[[#All],[$ BONUS PAY]])+
SUMIF(Feb_Period_2_Tbl[[#All],[STAFF:]],$A13,Feb_Period_2_Tbl[[#All],[$ BONUS PAY]])+SUMIF(Mar_Period_2_Tbl[[#All],[STAFF:]],$A13,Mar_Period_2_Tbl[[#All],[$ BONUS PAY]])+SUMIF(Apr_Period_2_Tbl[[#All],[STAFF:]],$A13,Apr_Period_2_Tbl[[#All],[$ BONUS PAY]])+   SUMIF(May_Period_2_Tbl[[#All],[STAFF:]],$A13,May_Period_2_Tbl[[#All],[$ BONUS PAY]])+   SUMIF(Jun_Period_2_Tbl[[#All],[STAFF:]],$A13,Jun_Period_2_Tbl[[#All],[$ BONUS PAY]])+  SUMIF(Jul_Period_2_Tbl[[#All],[STAFF:]],$A13,Jul_Period_2_Tbl[[#All],[$ BONUS PAY]])+  SUMIF(Aug_Period_2_Tbl[[#All],[STAFF:]],$A13,Aug_Period_2_Tbl[[#All],[$ BONUS PAY]])+  SUMIF(Sep_Period_2_Tbl[[#All],[STAFF:]],$A13,Sep_Period_2_Tbl[[#All],[$ BONUS PAY]])+  SUMIF(Oct_Period_2_Tbl[[#All],[STAFF:]],$A13,Oct_Period_2_Tbl[[#All],[$ BONUS PAY]])+     SUMIF(Nov_Period_2_Tbl[[#All],[STAFF:]],$A13,Nov_Period_2_Tbl[[#All],[$ BONUS PAY]])+  SUMIF(Dec_Period_2_Tbl[[#All],[STAFF:]],$A13,Dec_Period_2_Tbl[[#All],[$ BONUS PAY]]))</f>
        <v>0</v>
      </c>
      <c r="P13" s="179">
        <f t="shared" si="0"/>
        <v>0</v>
      </c>
      <c r="Q13" s="149"/>
      <c r="R13" s="153">
        <f>(SUMIF(Jan_Period_1_Tbl[[#All],[STAFF:]],$A13,Jan_Period_1_Tbl[[#All],['# POINTS EARNED]])+
SUMIF(Feb_Period_1_Tbl[[#All],[STAFF:]],$A13,Feb_Period_1_Tbl[[#All],['# POINTS EARNED]])+SUMIF(Mar_Period_1_Tbl[[#All],[STAFF:]],$A13,Mar_Period_1_Tbl[[#All],['# POINTS EARNED]])+SUMIF(Apr_Period_1_Tbl[[#All],[STAFF:]],$A13,Apr_Period_1_Tbl[[#All],['# POINTS EARNED]])+   SUMIF(May_Period_1_Tbl[[#All],[STAFF:]],$A13,May_Period_1_Tbl[[#All],['# POINTS EARNED]])+   SUMIF(Jun_Period_1_Tbl[[#All],[STAFF:]],$A13,Jun_Period_1_Tbl[[#All],['# POINTS EARNED]])+  SUMIF(Jul_Period_1_Tbl[[#All],[STAFF:]],$A13,Jul_Period_1_Tbl[[#All],['# POINTS EARNED]])+  SUMIF(Aug_Period_1_Tbl[[#All],[STAFF:]],$A13,Aug_Period_1_Tbl[[#All],['# POINTS EARNED]])+  SUMIF(Sep_Period_1_Tbl[[#All],[STAFF:]],$A13,Sep_Period_1_Tbl[[#All],['# POINTS EARNED]])+  SUMIF(Oct_Period_1_Tbl[[#All],[STAFF:]],$A13,Oct_Period_1_Tbl[[#All],['# POINTS EARNED]])+     SUMIF(Nov_Period_1_Tbl[[#All],[STAFF:]],$A13,Nov_Period_1_Tbl[[#All],['# POINTS EARNED]])+  SUMIF(Dec_Period_1_Tbl[[#All],[STAFF:]],$A13,Dec_Period_1_Tbl[[#All],['# POINTS EARNED]]))+   (SUMIF(Jan_Period_2_Tbl[[#All],[STAFF:]],$A13,Jan_Period_2_Tbl[[#All],['# POINTS EARNED]])+
SUMIF(Feb_Period_2_Tbl[[#All],[STAFF:]],$A13,Feb_Period_2_Tbl[[#All],['# POINTS EARNED]])+SUMIF(Mar_Period_2_Tbl[[#All],[STAFF:]],$A13,Mar_Period_2_Tbl[[#All],['# POINTS EARNED]])+SUMIF(Apr_Period_2_Tbl[[#All],[STAFF:]],$A13,Apr_Period_2_Tbl[[#All],['# POINTS EARNED]])+   SUMIF(May_Period_2_Tbl[[#All],[STAFF:]],$A13,May_Period_2_Tbl[[#All],['# POINTS EARNED]])+   SUMIF(Jun_Period_2_Tbl[[#All],[STAFF:]],$A13,Jun_Period_2_Tbl[[#All],['# POINTS EARNED]])+  SUMIF(Jul_Period_2_Tbl[[#All],[STAFF:]],$A13,Jul_Period_2_Tbl[[#All],['# POINTS EARNED]])+  SUMIF(Aug_Period_2_Tbl[[#All],[STAFF:]],$A13,Aug_Period_2_Tbl[[#All],['# POINTS EARNED]])+  SUMIF(Sep_Period_2_Tbl[[#All],[STAFF:]],$A13,Sep_Period_2_Tbl[[#All],['# POINTS EARNED]])+  SUMIF(Oct_Period_2_Tbl[[#All],[STAFF:]],$A13,Oct_Period_2_Tbl[[#All],['# POINTS EARNED]])+     SUMIF(Nov_Period_2_Tbl[[#All],[STAFF:]],$A13,Nov_Period_2_Tbl[[#All],['# POINTS EARNED]])+  SUMIF(Dec_Period_2_Tbl[[#All],[STAFF:]],$A13,Dec_Period_2_Tbl[[#All],['# POINTS EARNED]]))</f>
        <v>0</v>
      </c>
      <c r="S13" s="153">
        <f>(SUMIF(Jan_Period_1_Tbl[[#All],[STAFF:]],$A13,Jan_Period_1_Tbl[[#All],['# POINTS USED]])+
SUMIF(Feb_Period_1_Tbl[[#All],[STAFF:]],$A13,Feb_Period_1_Tbl[[#All],['# POINTS USED]])+SUMIF(Mar_Period_1_Tbl[[#All],[STAFF:]],$A13,Mar_Period_1_Tbl[[#All],['# POINTS USED]])+SUMIF(Apr_Period_1_Tbl[[#All],[STAFF:]],$A13,Apr_Period_1_Tbl[[#All],['# POINTS USED]])+   SUMIF(May_Period_1_Tbl[[#All],[STAFF:]],$A13,May_Period_1_Tbl[[#All],['# POINTS USED]])+   SUMIF(Jun_Period_1_Tbl[[#All],[STAFF:]],$A13,Jun_Period_1_Tbl[[#All],['# POINTS USED]])+  SUMIF(Jul_Period_1_Tbl[[#All],[STAFF:]],$A13,Jul_Period_1_Tbl[[#All],['# POINTS USED]])+  SUMIF(Aug_Period_1_Tbl[[#All],[STAFF:]],$A13,Aug_Period_1_Tbl[[#All],['# POINTS USED]])+  SUMIF(Sep_Period_1_Tbl[[#All],[STAFF:]],$A13,Sep_Period_1_Tbl[[#All],['# POINTS USED]])+  SUMIF(Oct_Period_1_Tbl[[#All],[STAFF:]],$A13,Oct_Period_1_Tbl[[#All],['# POINTS USED]])+     SUMIF(Nov_Period_1_Tbl[[#All],[STAFF:]],$A13,Nov_Period_1_Tbl[[#All],['# POINTS USED]])+  SUMIF(Dec_Period_1_Tbl[[#All],[STAFF:]],$A13,Dec_Period_1_Tbl[[#All],['# POINTS USED]]))+   (SUMIF(Jan_Period_2_Tbl[[#All],[STAFF:]],$A13,Jan_Period_2_Tbl[[#All],['# POINTS USED]])+
SUMIF(Feb_Period_2_Tbl[[#All],[STAFF:]],$A13,Feb_Period_2_Tbl[[#All],['# POINTS USED]])+SUMIF(Mar_Period_2_Tbl[[#All],[STAFF:]],$A13,Mar_Period_2_Tbl[[#All],['# POINTS USED]])+SUMIF(Apr_Period_2_Tbl[[#All],[STAFF:]],$A13,Apr_Period_2_Tbl[[#All],['# POINTS USED]])+   SUMIF(May_Period_2_Tbl[[#All],[STAFF:]],$A13,May_Period_2_Tbl[[#All],['# POINTS USED]])+   SUMIF(Jun_Period_2_Tbl[[#All],[STAFF:]],$A13,Jun_Period_2_Tbl[[#All],['# POINTS USED]])+  SUMIF(Jul_Period_2_Tbl[[#All],[STAFF:]],$A13,Jul_Period_2_Tbl[[#All],['# POINTS USED]])+  SUMIF(Aug_Period_2_Tbl[[#All],[STAFF:]],$A13,Aug_Period_2_Tbl[[#All],['# POINTS USED]])+  SUMIF(Sep_Period_2_Tbl[[#All],[STAFF:]],$A13,Sep_Period_2_Tbl[[#All],['# POINTS USED]])+  SUMIF(Oct_Period_2_Tbl[[#All],[STAFF:]],$A13,Oct_Period_2_Tbl[[#All],['# POINTS USED]])+     SUMIF(Nov_Period_2_Tbl[[#All],[STAFF:]],$A13,Nov_Period_2_Tbl[[#All],['# POINTS USED]])+  SUMIF(Dec_Period_2_Tbl[[#All],[STAFF:]],$A13,Dec_Period_2_Tbl[[#All],['# POINTS USED]]))</f>
        <v>0</v>
      </c>
      <c r="T13" s="153">
        <f>(SUMIF(Jan_Period_1_Tbl[[#All],[STAFF:]],$A13,Jan_Period_1_Tbl[[#All],['# CLASSES LEAD]])+
SUMIF(Feb_Period_1_Tbl[[#All],[STAFF:]],$A13,Feb_Period_1_Tbl[[#All],['# CLASSES LEAD]])+SUMIF(Mar_Period_1_Tbl[[#All],[STAFF:]],$A13,Mar_Period_1_Tbl[[#All],['# CLASSES LEAD]])+SUMIF(Apr_Period_1_Tbl[[#All],[STAFF:]],$A13,Apr_Period_1_Tbl[[#All],['# CLASSES LEAD]])+   SUMIF(May_Period_1_Tbl[[#All],[STAFF:]],$A13,May_Period_1_Tbl[[#All],['# CLASSES LEAD]])+   SUMIF(Jun_Period_1_Tbl[[#All],[STAFF:]],$A13,Jun_Period_1_Tbl[[#All],['# CLASSES LEAD]])+  SUMIF(Jul_Period_1_Tbl[[#All],[STAFF:]],$A13,Jul_Period_1_Tbl[[#All],['# CLASSES LEAD]])+  SUMIF(Aug_Period_1_Tbl[[#All],[STAFF:]],$A13,Aug_Period_1_Tbl[[#All],['# CLASSES LEAD]])+  SUMIF(Sep_Period_1_Tbl[[#All],[STAFF:]],$A13,Sep_Period_1_Tbl[[#All],['# CLASSES LEAD]])+  SUMIF(Oct_Period_1_Tbl[[#All],[STAFF:]],$A13,Oct_Period_1_Tbl[[#All],['# CLASSES LEAD]])+     SUMIF(Nov_Period_1_Tbl[[#All],[STAFF:]],$A13,Nov_Period_1_Tbl[[#All],['# CLASSES LEAD]])+  SUMIF(Dec_Period_1_Tbl[[#All],[STAFF:]],$A13,Dec_Period_1_Tbl[[#All],['# CLASSES LEAD]]))+   (SUMIF(Jan_Period_2_Tbl[[#All],[STAFF:]],$A13,Jan_Period_2_Tbl[[#All],['# CLASSES LEAD]])+
SUMIF(Feb_Period_2_Tbl[[#All],[STAFF:]],$A13,Feb_Period_2_Tbl[[#All],['# CLASSES LEAD]])+SUMIF(Mar_Period_2_Tbl[[#All],[STAFF:]],$A13,Mar_Period_2_Tbl[[#All],['# CLASSES LEAD]])+SUMIF(Apr_Period_2_Tbl[[#All],[STAFF:]],$A13,Apr_Period_2_Tbl[[#All],['# CLASSES LEAD]])+   SUMIF(May_Period_2_Tbl[[#All],[STAFF:]],$A13,May_Period_2_Tbl[[#All],['# CLASSES LEAD]])+   SUMIF(Jun_Period_2_Tbl[[#All],[STAFF:]],$A13,Jun_Period_2_Tbl[[#All],['# CLASSES LEAD]])+  SUMIF(Jul_Period_2_Tbl[[#All],[STAFF:]],$A13,Jul_Period_2_Tbl[[#All],['# CLASSES LEAD]])+  SUMIF(Aug_Period_2_Tbl[[#All],[STAFF:]],$A13,Aug_Period_2_Tbl[[#All],['# CLASSES LEAD]])+  SUMIF(Sep_Period_2_Tbl[[#All],[STAFF:]],$A13,Sep_Period_2_Tbl[[#All],['# CLASSES LEAD]])+  SUMIF(Oct_Period_2_Tbl[[#All],[STAFF:]],$A13,Oct_Period_2_Tbl[[#All],['# CLASSES LEAD]])+     SUMIF(Nov_Period_2_Tbl[[#All],[STAFF:]],$A13,Nov_Period_2_Tbl[[#All],['# CLASSES LEAD]])+  SUMIF(Dec_Period_2_Tbl[[#All],[STAFF:]],$A13,Dec_Period_2_Tbl[[#All],['# CLASSES LEAD]]))</f>
        <v>0</v>
      </c>
      <c r="U13" s="153">
        <f>(SUMIF(Jan_Period_1_Tbl[[#All],[STAFF:]],$A13,Jan_Period_1_Tbl[[#All],['# CLASSES SHOW]])+
SUMIF(Feb_Period_1_Tbl[[#All],[STAFF:]],$A13,Feb_Period_1_Tbl[[#All],['# CLASSES SHOW]])+SUMIF(Mar_Period_1_Tbl[[#All],[STAFF:]],$A13,Mar_Period_1_Tbl[[#All],['# CLASSES SHOW]])+SUMIF(Apr_Period_1_Tbl[[#All],[STAFF:]],$A13,Apr_Period_1_Tbl[[#All],['# CLASSES SHOW]])+   SUMIF(May_Period_1_Tbl[[#All],[STAFF:]],$A13,May_Period_1_Tbl[[#All],['# CLASSES SHOW]])+   SUMIF(Jun_Period_1_Tbl[[#All],[STAFF:]],$A13,Jun_Period_1_Tbl[[#All],['# CLASSES SHOW]])+  SUMIF(Jul_Period_1_Tbl[[#All],[STAFF:]],$A13,Jul_Period_1_Tbl[[#All],['# CLASSES SHOW]])+  SUMIF(Aug_Period_1_Tbl[[#All],[STAFF:]],$A13,Aug_Period_1_Tbl[[#All],['# CLASSES SHOW]])+  SUMIF(Sep_Period_1_Tbl[[#All],[STAFF:]],$A13,Sep_Period_1_Tbl[[#All],['# CLASSES SHOW]])+  SUMIF(Oct_Period_1_Tbl[[#All],[STAFF:]],$A13,Oct_Period_1_Tbl[[#All],['# CLASSES SHOW]])+     SUMIF(Nov_Period_1_Tbl[[#All],[STAFF:]],$A13,Nov_Period_1_Tbl[[#All],['# CLASSES SHOW]])+  SUMIF(Dec_Period_1_Tbl[[#All],[STAFF:]],$A13,Dec_Period_1_Tbl[[#All],['# CLASSES SHOW]]))+   (SUMIF(Jan_Period_2_Tbl[[#All],[STAFF:]],$A13,Jan_Period_2_Tbl[[#All],['# CLASSES SHOW]])+
SUMIF(Feb_Period_2_Tbl[[#All],[STAFF:]],$A13,Feb_Period_2_Tbl[[#All],['# CLASSES SHOW]])+SUMIF(Mar_Period_2_Tbl[[#All],[STAFF:]],$A13,Mar_Period_2_Tbl[[#All],['# CLASSES SHOW]])+SUMIF(Apr_Period_2_Tbl[[#All],[STAFF:]],$A13,Apr_Period_2_Tbl[[#All],['# CLASSES SHOW]])+   SUMIF(May_Period_2_Tbl[[#All],[STAFF:]],$A13,May_Period_2_Tbl[[#All],['# CLASSES SHOW]])+   SUMIF(Jun_Period_2_Tbl[[#All],[STAFF:]],$A13,Jun_Period_2_Tbl[[#All],['# CLASSES SHOW]])+  SUMIF(Jul_Period_2_Tbl[[#All],[STAFF:]],$A13,Jul_Period_2_Tbl[[#All],['# CLASSES SHOW]])+  SUMIF(Aug_Period_2_Tbl[[#All],[STAFF:]],$A13,Aug_Period_2_Tbl[[#All],['# CLASSES SHOW]])+  SUMIF(Sep_Period_2_Tbl[[#All],[STAFF:]],$A13,Sep_Period_2_Tbl[[#All],['# CLASSES SHOW]])+  SUMIF(Oct_Period_2_Tbl[[#All],[STAFF:]],$A13,Oct_Period_2_Tbl[[#All],['# CLASSES SHOW]])+     SUMIF(Nov_Period_2_Tbl[[#All],[STAFF:]],$A13,Nov_Period_2_Tbl[[#All],['# CLASSES SHOW]])+  SUMIF(Dec_Period_2_Tbl[[#All],[STAFF:]],$A13,Dec_Period_2_Tbl[[#All],['# CLASSES SHOW]]))</f>
        <v>0</v>
      </c>
      <c r="V13" s="156"/>
      <c r="W13" s="156"/>
      <c r="X13" s="155">
        <f t="shared" si="1"/>
        <v>0</v>
      </c>
      <c r="Y13" s="155">
        <f t="shared" si="2"/>
        <v>0</v>
      </c>
      <c r="Z13" s="155">
        <f t="shared" si="3"/>
        <v>0</v>
      </c>
      <c r="AA13" s="155">
        <f t="shared" si="4"/>
        <v>0</v>
      </c>
      <c r="AB13" s="155">
        <f t="shared" si="5"/>
        <v>0</v>
      </c>
      <c r="AC13" s="155">
        <f t="shared" si="6"/>
        <v>0</v>
      </c>
      <c r="AD13" s="155">
        <f t="shared" si="7"/>
        <v>0</v>
      </c>
      <c r="AE13" s="149"/>
      <c r="AF13" s="149"/>
      <c r="AG13" s="149"/>
      <c r="AH13" s="149"/>
      <c r="AJ13" s="75" t="str">
        <f t="shared" si="8"/>
        <v>zBlank</v>
      </c>
      <c r="AK13" s="210"/>
      <c r="AL13" s="168">
        <f>IFERROR(VLOOKUP(B13,List!$A:$B,2,FALSE),-1)</f>
        <v>-1</v>
      </c>
      <c r="AM13" s="168">
        <f>IFERROR(VLOOKUP(C13,List!$A:$B,2,FALSE),-1)</f>
        <v>-1</v>
      </c>
    </row>
    <row r="14" spans="1:40" ht="15" hidden="1" customHeight="1" x14ac:dyDescent="0.25">
      <c r="A14" s="20"/>
      <c r="B14" s="186"/>
      <c r="C14" s="186"/>
      <c r="D14" s="187"/>
      <c r="E14" s="188">
        <f>(SUMIF(Jan_Period_1_Tbl[[#All],[STAFF:]],$A14,Jan_Period_1_Tbl[[#All],['# PTO USED]])+
SUMIF(Feb_Period_1_Tbl[[#All],[STAFF:]],$A14,Feb_Period_1_Tbl[[#All],['# PTO USED]])+SUMIF(Mar_Period_1_Tbl[[#All],[STAFF:]],$A14,Mar_Period_1_Tbl[[#All],['# PTO USED]])+SUMIF(Apr_Period_1_Tbl[[#All],[STAFF:]],$A14,Apr_Period_1_Tbl[[#All],['# PTO USED]])+   SUMIF(May_Period_1_Tbl[[#All],[STAFF:]],$A14,May_Period_1_Tbl[[#All],['# PTO USED]])+   SUMIF(Jun_Period_1_Tbl[[#All],[STAFF:]],$A14,Jun_Period_1_Tbl[[#All],['# PTO USED]])+  SUMIF(Jul_Period_1_Tbl[[#All],[STAFF:]],$A14,Jul_Period_1_Tbl[[#All],['# PTO USED]])+  SUMIF(Aug_Period_1_Tbl[[#All],[STAFF:]],$A14,Aug_Period_1_Tbl[[#All],['# PTO USED]])+  SUMIF(Sep_Period_1_Tbl[[#All],[STAFF:]],$A14,Sep_Period_1_Tbl[[#All],['# PTO USED]])+  SUMIF(Oct_Period_1_Tbl[[#All],[STAFF:]],$A14,Oct_Period_1_Tbl[[#All],['# PTO USED]])+     SUMIF(Nov_Period_1_Tbl[[#All],[STAFF:]],$A14,Nov_Period_1_Tbl[[#All],['# PTO USED]])+  SUMIF(Dec_Period_1_Tbl[[#All],[STAFF:]],$A14,Dec_Period_1_Tbl[[#All],['# PTO USED]]))+   (SUMIF(Jan_Period_2_Tbl[[#All],[STAFF:]],$A14,Jan_Period_2_Tbl[[#All],['# PTO USED]])+
SUMIF(Feb_Period_2_Tbl[[#All],[STAFF:]],$A14,Feb_Period_2_Tbl[[#All],['# PTO USED]])+SUMIF(Mar_Period_2_Tbl[[#All],[STAFF:]],$A14,Mar_Period_2_Tbl[[#All],['# PTO USED]])+SUMIF(Apr_Period_2_Tbl[[#All],[STAFF:]],$A14,Apr_Period_2_Tbl[[#All],['# PTO USED]])+   SUMIF(May_Period_2_Tbl[[#All],[STAFF:]],$A14,May_Period_2_Tbl[[#All],['# PTO USED]])+   SUMIF(Jun_Period_2_Tbl[[#All],[STAFF:]],$A14,Jun_Period_2_Tbl[[#All],['# PTO USED]])+  SUMIF(Jul_Period_2_Tbl[[#All],[STAFF:]],$A14,Jul_Period_2_Tbl[[#All],['# PTO USED]])+  SUMIF(Aug_Period_2_Tbl[[#All],[STAFF:]],$A14,Aug_Period_2_Tbl[[#All],['# PTO USED]])+  SUMIF(Sep_Period_2_Tbl[[#All],[STAFF:]],$A14,Sep_Period_2_Tbl[[#All],['# PTO USED]])+  SUMIF(Oct_Period_2_Tbl[[#All],[STAFF:]],$A14,Oct_Period_2_Tbl[[#All],['# PTO USED]])+     SUMIF(Nov_Period_2_Tbl[[#All],[STAFF:]],$A14,Nov_Period_2_Tbl[[#All],['# PTO USED]])+  SUMIF(Dec_Period_2_Tbl[[#All],[STAFF:]],$A14,Dec_Period_2_Tbl[[#All],['# PTO USED]]))</f>
        <v>0</v>
      </c>
      <c r="F14" s="189">
        <f>(SUMIF(Jan_Period_1_Tbl[[#All],[STAFF:]],$A14,Jan_Period_1_Tbl[[#All],['# HRS WORKED]])+
SUMIF(Feb_Period_1_Tbl[[#All],[STAFF:]],$A14,Feb_Period_1_Tbl[[#All],['# HRS WORKED]])+SUMIF(Mar_Period_1_Tbl[[#All],[STAFF:]],$A14,Mar_Period_1_Tbl[[#All],['# HRS WORKED]])+SUMIF(Apr_Period_1_Tbl[[#All],[STAFF:]],$A14,Apr_Period_1_Tbl[[#All],['# HRS WORKED]])+   SUMIF(May_Period_1_Tbl[[#All],[STAFF:]],$A14,May_Period_1_Tbl[[#All],['# HRS WORKED]])+   SUMIF(Jun_Period_1_Tbl[[#All],[STAFF:]],$A14,Jun_Period_1_Tbl[[#All],['# HRS WORKED]])+  SUMIF(Jul_Period_1_Tbl[[#All],[STAFF:]],$A14,Jul_Period_1_Tbl[[#All],['# HRS WORKED]])+  SUMIF(Aug_Period_1_Tbl[[#All],[STAFF:]],$A14,Aug_Period_1_Tbl[[#All],['# HRS WORKED]])+  SUMIF(Sep_Period_1_Tbl[[#All],[STAFF:]],$A14,Sep_Period_1_Tbl[[#All],['# HRS WORKED]])+  SUMIF(Oct_Period_1_Tbl[[#All],[STAFF:]],$A14,Oct_Period_1_Tbl[[#All],['# HRS WORKED]])+     SUMIF(Nov_Period_1_Tbl[[#All],[STAFF:]],$A14,Nov_Period_1_Tbl[[#All],['# HRS WORKED]])+  SUMIF(Dec_Period_1_Tbl[[#All],[STAFF:]],$A14,Dec_Period_1_Tbl[[#All],['# HRS WORKED]]))+   (SUMIF(Jan_Period_2_Tbl[[#All],[STAFF:]],$A14,Jan_Period_2_Tbl[[#All],['# HRS WORKED]])+
SUMIF(Feb_Period_2_Tbl[[#All],[STAFF:]],$A14,Feb_Period_2_Tbl[[#All],['# HRS WORKED]])+SUMIF(Mar_Period_2_Tbl[[#All],[STAFF:]],$A14,Mar_Period_2_Tbl[[#All],['# HRS WORKED]])+SUMIF(Apr_Period_2_Tbl[[#All],[STAFF:]],$A14,Apr_Period_2_Tbl[[#All],['# HRS WORKED]])+   SUMIF(May_Period_2_Tbl[[#All],[STAFF:]],$A14,May_Period_2_Tbl[[#All],['# HRS WORKED]])+   SUMIF(Jun_Period_2_Tbl[[#All],[STAFF:]],$A14,Jun_Period_2_Tbl[[#All],['# HRS WORKED]])+  SUMIF(Jul_Period_2_Tbl[[#All],[STAFF:]],$A14,Jul_Period_2_Tbl[[#All],['# HRS WORKED]])+  SUMIF(Aug_Period_2_Tbl[[#All],[STAFF:]],$A14,Aug_Period_2_Tbl[[#All],['# HRS WORKED]])+  SUMIF(Sep_Period_2_Tbl[[#All],[STAFF:]],$A14,Sep_Period_2_Tbl[[#All],['# HRS WORKED]])+  SUMIF(Oct_Period_2_Tbl[[#All],[STAFF:]],$A14,Oct_Period_2_Tbl[[#All],['# HRS WORKED]])+     SUMIF(Nov_Period_2_Tbl[[#All],[STAFF:]],$A14,Nov_Period_2_Tbl[[#All],['# HRS WORKED]])+  SUMIF(Dec_Period_2_Tbl[[#All],[STAFF:]],$A14,Dec_Period_2_Tbl[[#All],['# HRS WORKED]]))</f>
        <v>0</v>
      </c>
      <c r="G14" s="190">
        <f>(SUMIF(Jan_Period_1_Tbl[[#All],[STAFF:]],$A14,Jan_Period_1_Tbl[[#All],[$ Hourly WAGES]])+
SUMIF(Feb_Period_1_Tbl[[#All],[STAFF:]],$A14,Feb_Period_1_Tbl[[#All],[$ Hourly WAGES]])+SUMIF(Mar_Period_1_Tbl[[#All],[STAFF:]],$A14,Mar_Period_1_Tbl[[#All],[$ Hourly WAGES]])+SUMIF(Apr_Period_1_Tbl[[#All],[STAFF:]],$A14,Apr_Period_1_Tbl[[#All],[$ Hourly WAGES]])+   SUMIF(May_Period_1_Tbl[[#All],[STAFF:]],$A14,May_Period_1_Tbl[[#All],[$ Hourly WAGES]])+   SUMIF(Jun_Period_1_Tbl[[#All],[STAFF:]],$A14,Jun_Period_1_Tbl[[#All],[$ Hourly WAGES]])+  SUMIF(Jul_Period_1_Tbl[[#All],[STAFF:]],$A14,Jul_Period_1_Tbl[[#All],[$ Hourly WAGES]])+  SUMIF(Aug_Period_1_Tbl[[#All],[STAFF:]],$A14,Aug_Period_1_Tbl[[#All],[$ Hourly WAGES]])+  SUMIF(Sep_Period_1_Tbl[[#All],[STAFF:]],$A14,Sep_Period_1_Tbl[[#All],[$ Hourly WAGES]])+  SUMIF(Oct_Period_1_Tbl[[#All],[STAFF:]],$A14,Oct_Period_1_Tbl[[#All],[$ Hourly WAGES]])+     SUMIF(Nov_Period_1_Tbl[[#All],[STAFF:]],$A14,Nov_Period_1_Tbl[[#All],[$ Hourly WAGES]])+  SUMIF(Dec_Period_1_Tbl[[#All],[STAFF:]],$A14,Dec_Period_1_Tbl[[#All],[$ Hourly WAGES]]))+   (SUMIF(Jan_Period_2_Tbl[[#All],[STAFF:]],$A14,Jan_Period_2_Tbl[[#All],[$ Hourly WAGES]])+
SUMIF(Feb_Period_2_Tbl[[#All],[STAFF:]],$A14,Feb_Period_2_Tbl[[#All],[$ Hourly WAGES]])+SUMIF(Mar_Period_2_Tbl[[#All],[STAFF:]],$A14,Mar_Period_2_Tbl[[#All],[$ Hourly WAGES]])+SUMIF(Apr_Period_2_Tbl[[#All],[STAFF:]],$A14,Apr_Period_2_Tbl[[#All],[$ Hourly WAGES]])+   SUMIF(May_Period_2_Tbl[[#All],[STAFF:]],$A14,May_Period_2_Tbl[[#All],[$ Hourly WAGES]])+   SUMIF(Jun_Period_2_Tbl[[#All],[STAFF:]],$A14,Jun_Period_2_Tbl[[#All],[$ Hourly WAGES]])+  SUMIF(Jul_Period_2_Tbl[[#All],[STAFF:]],$A14,Jul_Period_2_Tbl[[#All],[$ Hourly WAGES]])+  SUMIF(Aug_Period_2_Tbl[[#All],[STAFF:]],$A14,Aug_Period_2_Tbl[[#All],[$ Hourly WAGES]])+  SUMIF(Sep_Period_2_Tbl[[#All],[STAFF:]],$A14,Sep_Period_2_Tbl[[#All],[$ Hourly WAGES]])+  SUMIF(Oct_Period_2_Tbl[[#All],[STAFF:]],$A14,Oct_Period_2_Tbl[[#All],[$ Hourly WAGES]])+     SUMIF(Nov_Period_2_Tbl[[#All],[STAFF:]],$A14,Nov_Period_2_Tbl[[#All],[$ Hourly WAGES]])+  SUMIF(Dec_Period_2_Tbl[[#All],[STAFF:]],$A14,Dec_Period_2_Tbl[[#All],[$ Hourly WAGES]]))</f>
        <v>0</v>
      </c>
      <c r="H14" s="190">
        <f>(SUMIF(Jan_Period_1_Tbl[[#All],[STAFF:]],$A14,Jan_Period_1_Tbl[[#All],[$ SALARY]])+
SUMIF(Feb_Period_1_Tbl[[#All],[STAFF:]],$A14,Feb_Period_1_Tbl[[#All],[$ SALARY]])+SUMIF(Mar_Period_1_Tbl[[#All],[STAFF:]],$A14,Mar_Period_1_Tbl[[#All],[$ SALARY]])+SUMIF(Apr_Period_1_Tbl[[#All],[STAFF:]],$A14,Apr_Period_1_Tbl[[#All],[$ SALARY]])+   SUMIF(May_Period_1_Tbl[[#All],[STAFF:]],$A14,May_Period_1_Tbl[[#All],[$ SALARY]])+   SUMIF(Jun_Period_1_Tbl[[#All],[STAFF:]],$A14,Jun_Period_1_Tbl[[#All],[$ SALARY]])+  SUMIF(Jul_Period_1_Tbl[[#All],[STAFF:]],$A14,Jul_Period_1_Tbl[[#All],[$ SALARY]])+  SUMIF(Aug_Period_1_Tbl[[#All],[STAFF:]],$A14,Aug_Period_1_Tbl[[#All],[$ SALARY]])+  SUMIF(Sep_Period_1_Tbl[[#All],[STAFF:]],$A14,Sep_Period_1_Tbl[[#All],[$ SALARY]])+  SUMIF(Oct_Period_1_Tbl[[#All],[STAFF:]],$A14,Oct_Period_1_Tbl[[#All],[$ SALARY]])+     SUMIF(Nov_Period_1_Tbl[[#All],[STAFF:]],$A14,Nov_Period_1_Tbl[[#All],[$ SALARY]])+  SUMIF(Dec_Period_1_Tbl[[#All],[STAFF:]],$A14,Dec_Period_1_Tbl[[#All],[$ SALARY]]))+   (SUMIF(Jan_Period_2_Tbl[[#All],[STAFF:]],$A14,Jan_Period_2_Tbl[[#All],[$ SALARY]])+
SUMIF(Feb_Period_2_Tbl[[#All],[STAFF:]],$A14,Feb_Period_2_Tbl[[#All],[$ SALARY]])+SUMIF(Mar_Period_2_Tbl[[#All],[STAFF:]],$A14,Mar_Period_2_Tbl[[#All],[$ SALARY]])+SUMIF(Apr_Period_2_Tbl[[#All],[STAFF:]],$A14,Apr_Period_2_Tbl[[#All],[$ SALARY]])+   SUMIF(May_Period_2_Tbl[[#All],[STAFF:]],$A14,May_Period_2_Tbl[[#All],[$ SALARY]])+   SUMIF(Jun_Period_2_Tbl[[#All],[STAFF:]],$A14,Jun_Period_2_Tbl[[#All],[$ SALARY]])+  SUMIF(Jul_Period_2_Tbl[[#All],[STAFF:]],$A14,Jul_Period_2_Tbl[[#All],[$ SALARY]])+  SUMIF(Aug_Period_2_Tbl[[#All],[STAFF:]],$A14,Aug_Period_2_Tbl[[#All],[$ SALARY]])+  SUMIF(Sep_Period_2_Tbl[[#All],[STAFF:]],$A14,Sep_Period_2_Tbl[[#All],[$ SALARY]])+  SUMIF(Oct_Period_2_Tbl[[#All],[STAFF:]],$A14,Oct_Period_2_Tbl[[#All],[$ SALARY]])+     SUMIF(Nov_Period_2_Tbl[[#All],[STAFF:]],$A14,Nov_Period_2_Tbl[[#All],[$ SALARY]])+  SUMIF(Dec_Period_2_Tbl[[#All],[STAFF:]],$A14,Dec_Period_2_Tbl[[#All],[$ SALARY]]))</f>
        <v>0</v>
      </c>
      <c r="I14" s="190">
        <f>(SUMIF(Jan_Period_1_Tbl[[#All],[STAFF:]],$A14,Jan_Period_1_Tbl[[#All],[$ SALARY PT]])+
SUMIF(Feb_Period_1_Tbl[[#All],[STAFF:]],$A14,Feb_Period_1_Tbl[[#All],[$ SALARY PT]])+SUMIF(Mar_Period_1_Tbl[[#All],[STAFF:]],$A14,Mar_Period_1_Tbl[[#All],[$ SALARY PT]])+SUMIF(Apr_Period_1_Tbl[[#All],[STAFF:]],$A14,Apr_Period_1_Tbl[[#All],[$ SALARY PT]])+   SUMIF(May_Period_1_Tbl[[#All],[STAFF:]],$A14,May_Period_1_Tbl[[#All],[$ SALARY PT]])+   SUMIF(Jun_Period_1_Tbl[[#All],[STAFF:]],$A14,Jun_Period_1_Tbl[[#All],[$ SALARY PT]])+  SUMIF(Jul_Period_1_Tbl[[#All],[STAFF:]],$A14,Jul_Period_1_Tbl[[#All],[$ SALARY PT]])+  SUMIF(Aug_Period_1_Tbl[[#All],[STAFF:]],$A14,Aug_Period_1_Tbl[[#All],[$ SALARY PT]])+  SUMIF(Sep_Period_1_Tbl[[#All],[STAFF:]],$A14,Sep_Period_1_Tbl[[#All],[$ SALARY PT]])+  SUMIF(Oct_Period_1_Tbl[[#All],[STAFF:]],$A14,Oct_Period_1_Tbl[[#All],[$ SALARY PT]])+     SUMIF(Nov_Period_1_Tbl[[#All],[STAFF:]],$A14,Nov_Period_1_Tbl[[#All],[$ SALARY PT]])+  SUMIF(Dec_Period_1_Tbl[[#All],[STAFF:]],$A14,Dec_Period_1_Tbl[[#All],[$ SALARY PT]]))+   (SUMIF(Jan_Period_2_Tbl[[#All],[STAFF:]],$A14,Jan_Period_2_Tbl[[#All],[$ SALARY PT]])+
SUMIF(Feb_Period_2_Tbl[[#All],[STAFF:]],$A14,Feb_Period_2_Tbl[[#All],[$ SALARY PT]])+SUMIF(Mar_Period_2_Tbl[[#All],[STAFF:]],$A14,Mar_Period_2_Tbl[[#All],[$ SALARY PT]])+SUMIF(Apr_Period_2_Tbl[[#All],[STAFF:]],$A14,Apr_Period_2_Tbl[[#All],[$ SALARY PT]])+   SUMIF(May_Period_2_Tbl[[#All],[STAFF:]],$A14,May_Period_2_Tbl[[#All],[$ SALARY PT]])+   SUMIF(Jun_Period_2_Tbl[[#All],[STAFF:]],$A14,Jun_Period_2_Tbl[[#All],[$ SALARY PT]])+  SUMIF(Jul_Period_2_Tbl[[#All],[STAFF:]],$A14,Jul_Period_2_Tbl[[#All],[$ SALARY PT]])+  SUMIF(Aug_Period_2_Tbl[[#All],[STAFF:]],$A14,Aug_Period_2_Tbl[[#All],[$ SALARY PT]])+  SUMIF(Sep_Period_2_Tbl[[#All],[STAFF:]],$A14,Sep_Period_2_Tbl[[#All],[$ SALARY PT]])+  SUMIF(Oct_Period_2_Tbl[[#All],[STAFF:]],$A14,Oct_Period_2_Tbl[[#All],[$ SALARY PT]])+     SUMIF(Nov_Period_2_Tbl[[#All],[STAFF:]],$A14,Nov_Period_2_Tbl[[#All],[$ SALARY PT]])+  SUMIF(Dec_Period_2_Tbl[[#All],[STAFF:]],$A14,Dec_Period_2_Tbl[[#All],[$ SALARY PT]]))</f>
        <v>0</v>
      </c>
      <c r="J14" s="190">
        <f>(SUMIF(Jan_Period_1_Tbl[[#All],[STAFF:]],$A14,Jan_Period_1_Tbl[[#All],[$ FREE PT]])+
SUMIF(Feb_Period_1_Tbl[[#All],[STAFF:]],$A14,Feb_Period_1_Tbl[[#All],[$ FREE PT]])+SUMIF(Mar_Period_1_Tbl[[#All],[STAFF:]],$A14,Mar_Period_1_Tbl[[#All],[$ FREE PT]])+SUMIF(Apr_Period_1_Tbl[[#All],[STAFF:]],$A14,Apr_Period_1_Tbl[[#All],[$ FREE PT]])+   SUMIF(May_Period_1_Tbl[[#All],[STAFF:]],$A14,May_Period_1_Tbl[[#All],[$ FREE PT]])+   SUMIF(Jun_Period_1_Tbl[[#All],[STAFF:]],$A14,Jun_Period_1_Tbl[[#All],[$ FREE PT]])+  SUMIF(Jul_Period_1_Tbl[[#All],[STAFF:]],$A14,Jul_Period_1_Tbl[[#All],[$ FREE PT]])+  SUMIF(Aug_Period_1_Tbl[[#All],[STAFF:]],$A14,Aug_Period_1_Tbl[[#All],[$ FREE PT]])+  SUMIF(Sep_Period_1_Tbl[[#All],[STAFF:]],$A14,Sep_Period_1_Tbl[[#All],[$ FREE PT]])+  SUMIF(Oct_Period_1_Tbl[[#All],[STAFF:]],$A14,Oct_Period_1_Tbl[[#All],[$ FREE PT]])+     SUMIF(Nov_Period_1_Tbl[[#All],[STAFF:]],$A14,Nov_Period_1_Tbl[[#All],[$ FREE PT]])+  SUMIF(Dec_Period_1_Tbl[[#All],[STAFF:]],$A14,Dec_Period_1_Tbl[[#All],[$ FREE PT]]))+   (SUMIF(Jan_Period_2_Tbl[[#All],[STAFF:]],$A14,Jan_Period_2_Tbl[[#All],[$ FREE PT]])+
SUMIF(Feb_Period_2_Tbl[[#All],[STAFF:]],$A14,Feb_Period_2_Tbl[[#All],[$ FREE PT]])+SUMIF(Mar_Period_2_Tbl[[#All],[STAFF:]],$A14,Mar_Period_2_Tbl[[#All],[$ FREE PT]])+SUMIF(Apr_Period_2_Tbl[[#All],[STAFF:]],$A14,Apr_Period_2_Tbl[[#All],[$ FREE PT]])+   SUMIF(May_Period_2_Tbl[[#All],[STAFF:]],$A14,May_Period_2_Tbl[[#All],[$ FREE PT]])+   SUMIF(Jun_Period_2_Tbl[[#All],[STAFF:]],$A14,Jun_Period_2_Tbl[[#All],[$ FREE PT]])+  SUMIF(Jul_Period_2_Tbl[[#All],[STAFF:]],$A14,Jul_Period_2_Tbl[[#All],[$ FREE PT]])+  SUMIF(Aug_Period_2_Tbl[[#All],[STAFF:]],$A14,Aug_Period_2_Tbl[[#All],[$ FREE PT]])+  SUMIF(Sep_Period_2_Tbl[[#All],[STAFF:]],$A14,Sep_Period_2_Tbl[[#All],[$ FREE PT]])+  SUMIF(Oct_Period_2_Tbl[[#All],[STAFF:]],$A14,Oct_Period_2_Tbl[[#All],[$ FREE PT]])+     SUMIF(Nov_Period_2_Tbl[[#All],[STAFF:]],$A14,Nov_Period_2_Tbl[[#All],[$ FREE PT]])+  SUMIF(Dec_Period_2_Tbl[[#All],[STAFF:]],$A14,Dec_Period_2_Tbl[[#All],[$ FREE PT]]))</f>
        <v>0</v>
      </c>
      <c r="K14" s="190">
        <f>(SUMIF(Jan_Period_1_Tbl[[#All],[STAFF:]],$A14,Jan_Period_1_Tbl[[#All],[$ PAID PT]])+
SUMIF(Feb_Period_1_Tbl[[#All],[STAFF:]],$A14,Feb_Period_1_Tbl[[#All],[$ PAID PT]])+SUMIF(Mar_Period_1_Tbl[[#All],[STAFF:]],$A14,Mar_Period_1_Tbl[[#All],[$ PAID PT]])+SUMIF(Apr_Period_1_Tbl[[#All],[STAFF:]],$A14,Apr_Period_1_Tbl[[#All],[$ PAID PT]])+   SUMIF(May_Period_1_Tbl[[#All],[STAFF:]],$A14,May_Period_1_Tbl[[#All],[$ PAID PT]])+   SUMIF(Jun_Period_1_Tbl[[#All],[STAFF:]],$A14,Jun_Period_1_Tbl[[#All],[$ PAID PT]])+  SUMIF(Jul_Period_1_Tbl[[#All],[STAFF:]],$A14,Jul_Period_1_Tbl[[#All],[$ PAID PT]])+  SUMIF(Aug_Period_1_Tbl[[#All],[STAFF:]],$A14,Aug_Period_1_Tbl[[#All],[$ PAID PT]])+  SUMIF(Sep_Period_1_Tbl[[#All],[STAFF:]],$A14,Sep_Period_1_Tbl[[#All],[$ PAID PT]])+  SUMIF(Oct_Period_1_Tbl[[#All],[STAFF:]],$A14,Oct_Period_1_Tbl[[#All],[$ PAID PT]])+     SUMIF(Nov_Period_1_Tbl[[#All],[STAFF:]],$A14,Nov_Period_1_Tbl[[#All],[$ PAID PT]])+  SUMIF(Dec_Period_1_Tbl[[#All],[STAFF:]],$A14,Dec_Period_1_Tbl[[#All],[$ PAID PT]]))+   (SUMIF(Jan_Period_2_Tbl[[#All],[STAFF:]],$A14,Jan_Period_2_Tbl[[#All],[$ PAID PT]])+
SUMIF(Feb_Period_2_Tbl[[#All],[STAFF:]],$A14,Feb_Period_2_Tbl[[#All],[$ PAID PT]])+SUMIF(Mar_Period_2_Tbl[[#All],[STAFF:]],$A14,Mar_Period_2_Tbl[[#All],[$ PAID PT]])+SUMIF(Apr_Period_2_Tbl[[#All],[STAFF:]],$A14,Apr_Period_2_Tbl[[#All],[$ PAID PT]])+   SUMIF(May_Period_2_Tbl[[#All],[STAFF:]],$A14,May_Period_2_Tbl[[#All],[$ PAID PT]])+   SUMIF(Jun_Period_2_Tbl[[#All],[STAFF:]],$A14,Jun_Period_2_Tbl[[#All],[$ PAID PT]])+  SUMIF(Jul_Period_2_Tbl[[#All],[STAFF:]],$A14,Jul_Period_2_Tbl[[#All],[$ PAID PT]])+  SUMIF(Aug_Period_2_Tbl[[#All],[STAFF:]],$A14,Aug_Period_2_Tbl[[#All],[$ PAID PT]])+  SUMIF(Sep_Period_2_Tbl[[#All],[STAFF:]],$A14,Sep_Period_2_Tbl[[#All],[$ PAID PT]])+  SUMIF(Oct_Period_2_Tbl[[#All],[STAFF:]],$A14,Oct_Period_2_Tbl[[#All],[$ PAID PT]])+     SUMIF(Nov_Period_2_Tbl[[#All],[STAFF:]],$A14,Nov_Period_2_Tbl[[#All],[$ PAID PT]])+  SUMIF(Dec_Period_2_Tbl[[#All],[STAFF:]],$A14,Dec_Period_2_Tbl[[#All],[$ PAID PT]]))</f>
        <v>0</v>
      </c>
      <c r="L14" s="190">
        <f>(SUMIF(Jan_Period_1_Tbl[[#All],[STAFF:]],$A14,Jan_Period_1_Tbl[[#All],[$ PT COMM]])+
SUMIF(Feb_Period_1_Tbl[[#All],[STAFF:]],$A14,Feb_Period_1_Tbl[[#All],[$ PT COMM]])+SUMIF(Mar_Period_1_Tbl[[#All],[STAFF:]],$A14,Mar_Period_1_Tbl[[#All],[$ PT COMM]])+SUMIF(Apr_Period_1_Tbl[[#All],[STAFF:]],$A14,Apr_Period_1_Tbl[[#All],[$ PT COMM]])+   SUMIF(May_Period_1_Tbl[[#All],[STAFF:]],$A14,May_Period_1_Tbl[[#All],[$ PT COMM]])+   SUMIF(Jun_Period_1_Tbl[[#All],[STAFF:]],$A14,Jun_Period_1_Tbl[[#All],[$ PT COMM]])+  SUMIF(Jul_Period_1_Tbl[[#All],[STAFF:]],$A14,Jul_Period_1_Tbl[[#All],[$ PT COMM]])+  SUMIF(Aug_Period_1_Tbl[[#All],[STAFF:]],$A14,Aug_Period_1_Tbl[[#All],[$ PT COMM]])+  SUMIF(Sep_Period_1_Tbl[[#All],[STAFF:]],$A14,Sep_Period_1_Tbl[[#All],[$ PT COMM]])+  SUMIF(Oct_Period_1_Tbl[[#All],[STAFF:]],$A14,Oct_Period_1_Tbl[[#All],[$ PT COMM]])+     SUMIF(Nov_Period_1_Tbl[[#All],[STAFF:]],$A14,Nov_Period_1_Tbl[[#All],[$ PT COMM]])+  SUMIF(Dec_Period_1_Tbl[[#All],[STAFF:]],$A14,Dec_Period_1_Tbl[[#All],[$ PT COMM]]))+   (SUMIF(Jan_Period_2_Tbl[[#All],[STAFF:]],$A14,Jan_Period_2_Tbl[[#All],[$ PT COMM]])+
SUMIF(Feb_Period_2_Tbl[[#All],[STAFF:]],$A14,Feb_Period_2_Tbl[[#All],[$ PT COMM]])+SUMIF(Mar_Period_2_Tbl[[#All],[STAFF:]],$A14,Mar_Period_2_Tbl[[#All],[$ PT COMM]])+SUMIF(Apr_Period_2_Tbl[[#All],[STAFF:]],$A14,Apr_Period_2_Tbl[[#All],[$ PT COMM]])+   SUMIF(May_Period_2_Tbl[[#All],[STAFF:]],$A14,May_Period_2_Tbl[[#All],[$ PT COMM]])+   SUMIF(Jun_Period_2_Tbl[[#All],[STAFF:]],$A14,Jun_Period_2_Tbl[[#All],[$ PT COMM]])+  SUMIF(Jul_Period_2_Tbl[[#All],[STAFF:]],$A14,Jul_Period_2_Tbl[[#All],[$ PT COMM]])+  SUMIF(Aug_Period_2_Tbl[[#All],[STAFF:]],$A14,Aug_Period_2_Tbl[[#All],[$ PT COMM]])+  SUMIF(Sep_Period_2_Tbl[[#All],[STAFF:]],$A14,Sep_Period_2_Tbl[[#All],[$ PT COMM]])+  SUMIF(Oct_Period_2_Tbl[[#All],[STAFF:]],$A14,Oct_Period_2_Tbl[[#All],[$ PT COMM]])+     SUMIF(Nov_Period_2_Tbl[[#All],[STAFF:]],$A14,Nov_Period_2_Tbl[[#All],[$ PT COMM]])+  SUMIF(Dec_Period_2_Tbl[[#All],[STAFF:]],$A14,Dec_Period_2_Tbl[[#All],[$ PT COMM]]))</f>
        <v>0</v>
      </c>
      <c r="M14" s="190">
        <f>(SUMIF(Jan_Period_1_Tbl[[#All],[STAFF:]],$A14,Jan_Period_1_Tbl[[#All],[$ EFT COMM]])+
SUMIF(Feb_Period_1_Tbl[[#All],[STAFF:]],$A14,Feb_Period_1_Tbl[[#All],[$ EFT COMM]])+SUMIF(Mar_Period_1_Tbl[[#All],[STAFF:]],$A14,Mar_Period_1_Tbl[[#All],[$ EFT COMM]])+SUMIF(Apr_Period_1_Tbl[[#All],[STAFF:]],$A14,Apr_Period_1_Tbl[[#All],[$ EFT COMM]])+   SUMIF(May_Period_1_Tbl[[#All],[STAFF:]],$A14,May_Period_1_Tbl[[#All],[$ EFT COMM]])+   SUMIF(Jun_Period_1_Tbl[[#All],[STAFF:]],$A14,Jun_Period_1_Tbl[[#All],[$ EFT COMM]])+  SUMIF(Jul_Period_1_Tbl[[#All],[STAFF:]],$A14,Jul_Period_1_Tbl[[#All],[$ EFT COMM]])+  SUMIF(Aug_Period_1_Tbl[[#All],[STAFF:]],$A14,Aug_Period_1_Tbl[[#All],[$ EFT COMM]])+  SUMIF(Sep_Period_1_Tbl[[#All],[STAFF:]],$A14,Sep_Period_1_Tbl[[#All],[$ EFT COMM]])+  SUMIF(Oct_Period_1_Tbl[[#All],[STAFF:]],$A14,Oct_Period_1_Tbl[[#All],[$ EFT COMM]])+     SUMIF(Nov_Period_1_Tbl[[#All],[STAFF:]],$A14,Nov_Period_1_Tbl[[#All],[$ EFT COMM]])+  SUMIF(Dec_Period_1_Tbl[[#All],[STAFF:]],$A14,Dec_Period_1_Tbl[[#All],[$ EFT COMM]]))+   (SUMIF(Jan_Period_2_Tbl[[#All],[STAFF:]],$A14,Jan_Period_2_Tbl[[#All],[$ EFT COMM]])+
SUMIF(Feb_Period_2_Tbl[[#All],[STAFF:]],$A14,Feb_Period_2_Tbl[[#All],[$ EFT COMM]])+SUMIF(Mar_Period_2_Tbl[[#All],[STAFF:]],$A14,Mar_Period_2_Tbl[[#All],[$ EFT COMM]])+SUMIF(Apr_Period_2_Tbl[[#All],[STAFF:]],$A14,Apr_Period_2_Tbl[[#All],[$ EFT COMM]])+   SUMIF(May_Period_2_Tbl[[#All],[STAFF:]],$A14,May_Period_2_Tbl[[#All],[$ EFT COMM]])+   SUMIF(Jun_Period_2_Tbl[[#All],[STAFF:]],$A14,Jun_Period_2_Tbl[[#All],[$ EFT COMM]])+  SUMIF(Jul_Period_2_Tbl[[#All],[STAFF:]],$A14,Jul_Period_2_Tbl[[#All],[$ EFT COMM]])+  SUMIF(Aug_Period_2_Tbl[[#All],[STAFF:]],$A14,Aug_Period_2_Tbl[[#All],[$ EFT COMM]])+  SUMIF(Sep_Period_2_Tbl[[#All],[STAFF:]],$A14,Sep_Period_2_Tbl[[#All],[$ EFT COMM]])+  SUMIF(Oct_Period_2_Tbl[[#All],[STAFF:]],$A14,Oct_Period_2_Tbl[[#All],[$ EFT COMM]])+     SUMIF(Nov_Period_2_Tbl[[#All],[STAFF:]],$A14,Nov_Period_2_Tbl[[#All],[$ EFT COMM]])+  SUMIF(Dec_Period_2_Tbl[[#All],[STAFF:]],$A14,Dec_Period_2_Tbl[[#All],[$ EFT COMM]]))</f>
        <v>0</v>
      </c>
      <c r="N14" s="190">
        <f>(SUMIF(Jan_Period_1_Tbl[[#All],[STAFF:]],$A14,Jan_Period_1_Tbl[[#All],[$ CLASS PAY]])+
SUMIF(Feb_Period_1_Tbl[[#All],[STAFF:]],$A14,Feb_Period_1_Tbl[[#All],[$ CLASS PAY]])+SUMIF(Mar_Period_1_Tbl[[#All],[STAFF:]],$A14,Mar_Period_1_Tbl[[#All],[$ CLASS PAY]])+SUMIF(Apr_Period_1_Tbl[[#All],[STAFF:]],$A14,Apr_Period_1_Tbl[[#All],[$ CLASS PAY]])+   SUMIF(May_Period_1_Tbl[[#All],[STAFF:]],$A14,May_Period_1_Tbl[[#All],[$ CLASS PAY]])+   SUMIF(Jun_Period_1_Tbl[[#All],[STAFF:]],$A14,Jun_Period_1_Tbl[[#All],[$ CLASS PAY]])+  SUMIF(Jul_Period_1_Tbl[[#All],[STAFF:]],$A14,Jul_Period_1_Tbl[[#All],[$ CLASS PAY]])+  SUMIF(Aug_Period_1_Tbl[[#All],[STAFF:]],$A14,Aug_Period_1_Tbl[[#All],[$ CLASS PAY]])+  SUMIF(Sep_Period_1_Tbl[[#All],[STAFF:]],$A14,Sep_Period_1_Tbl[[#All],[$ CLASS PAY]])+  SUMIF(Oct_Period_1_Tbl[[#All],[STAFF:]],$A14,Oct_Period_1_Tbl[[#All],[$ CLASS PAY]])+     SUMIF(Nov_Period_1_Tbl[[#All],[STAFF:]],$A14,Nov_Period_1_Tbl[[#All],[$ CLASS PAY]])+  SUMIF(Dec_Period_1_Tbl[[#All],[STAFF:]],$A14,Dec_Period_1_Tbl[[#All],[$ CLASS PAY]]))+   (SUMIF(Jan_Period_2_Tbl[[#All],[STAFF:]],$A14,Jan_Period_2_Tbl[[#All],[$ CLASS PAY]])+
SUMIF(Feb_Period_2_Tbl[[#All],[STAFF:]],$A14,Feb_Period_2_Tbl[[#All],[$ CLASS PAY]])+SUMIF(Mar_Period_2_Tbl[[#All],[STAFF:]],$A14,Mar_Period_2_Tbl[[#All],[$ CLASS PAY]])+SUMIF(Apr_Period_2_Tbl[[#All],[STAFF:]],$A14,Apr_Period_2_Tbl[[#All],[$ CLASS PAY]])+   SUMIF(May_Period_2_Tbl[[#All],[STAFF:]],$A14,May_Period_2_Tbl[[#All],[$ CLASS PAY]])+   SUMIF(Jun_Period_2_Tbl[[#All],[STAFF:]],$A14,Jun_Period_2_Tbl[[#All],[$ CLASS PAY]])+  SUMIF(Jul_Period_2_Tbl[[#All],[STAFF:]],$A14,Jul_Period_2_Tbl[[#All],[$ CLASS PAY]])+  SUMIF(Aug_Period_2_Tbl[[#All],[STAFF:]],$A14,Aug_Period_2_Tbl[[#All],[$ CLASS PAY]])+  SUMIF(Sep_Period_2_Tbl[[#All],[STAFF:]],$A14,Sep_Period_2_Tbl[[#All],[$ CLASS PAY]])+  SUMIF(Oct_Period_2_Tbl[[#All],[STAFF:]],$A14,Oct_Period_2_Tbl[[#All],[$ CLASS PAY]])+     SUMIF(Nov_Period_2_Tbl[[#All],[STAFF:]],$A14,Nov_Period_2_Tbl[[#All],[$ CLASS PAY]])+  SUMIF(Dec_Period_2_Tbl[[#All],[STAFF:]],$A14,Dec_Period_2_Tbl[[#All],[$ CLASS PAY]]))</f>
        <v>0</v>
      </c>
      <c r="O14" s="191">
        <f>(SUMIF(Jan_Period_1_Tbl[[#All],[STAFF:]],$A14,Jan_Period_1_Tbl[[#All],[$ BONUS PAY]])+
SUMIF(Feb_Period_1_Tbl[[#All],[STAFF:]],$A14,Feb_Period_1_Tbl[[#All],[$ BONUS PAY]])+SUMIF(Mar_Period_1_Tbl[[#All],[STAFF:]],$A14,Mar_Period_1_Tbl[[#All],[$ BONUS PAY]])+SUMIF(Apr_Period_1_Tbl[[#All],[STAFF:]],$A14,Apr_Period_1_Tbl[[#All],[$ BONUS PAY]])+   SUMIF(May_Period_1_Tbl[[#All],[STAFF:]],$A14,May_Period_1_Tbl[[#All],[$ BONUS PAY]])+   SUMIF(Jun_Period_1_Tbl[[#All],[STAFF:]],$A14,Jun_Period_1_Tbl[[#All],[$ BONUS PAY]])+  SUMIF(Jul_Period_1_Tbl[[#All],[STAFF:]],$A14,Jul_Period_1_Tbl[[#All],[$ BONUS PAY]])+  SUMIF(Aug_Period_1_Tbl[[#All],[STAFF:]],$A14,Aug_Period_1_Tbl[[#All],[$ BONUS PAY]])+  SUMIF(Sep_Period_1_Tbl[[#All],[STAFF:]],$A14,Sep_Period_1_Tbl[[#All],[$ BONUS PAY]])+  SUMIF(Oct_Period_1_Tbl[[#All],[STAFF:]],$A14,Oct_Period_1_Tbl[[#All],[$ BONUS PAY]])+     SUMIF(Nov_Period_1_Tbl[[#All],[STAFF:]],$A14,Nov_Period_1_Tbl[[#All],[$ BONUS PAY]])+  SUMIF(Dec_Period_1_Tbl[[#All],[STAFF:]],$A14,Dec_Period_1_Tbl[[#All],[$ BONUS PAY]]))+   (SUMIF(Jan_Period_2_Tbl[[#All],[STAFF:]],$A14,Jan_Period_2_Tbl[[#All],[$ BONUS PAY]])+
SUMIF(Feb_Period_2_Tbl[[#All],[STAFF:]],$A14,Feb_Period_2_Tbl[[#All],[$ BONUS PAY]])+SUMIF(Mar_Period_2_Tbl[[#All],[STAFF:]],$A14,Mar_Period_2_Tbl[[#All],[$ BONUS PAY]])+SUMIF(Apr_Period_2_Tbl[[#All],[STAFF:]],$A14,Apr_Period_2_Tbl[[#All],[$ BONUS PAY]])+   SUMIF(May_Period_2_Tbl[[#All],[STAFF:]],$A14,May_Period_2_Tbl[[#All],[$ BONUS PAY]])+   SUMIF(Jun_Period_2_Tbl[[#All],[STAFF:]],$A14,Jun_Period_2_Tbl[[#All],[$ BONUS PAY]])+  SUMIF(Jul_Period_2_Tbl[[#All],[STAFF:]],$A14,Jul_Period_2_Tbl[[#All],[$ BONUS PAY]])+  SUMIF(Aug_Period_2_Tbl[[#All],[STAFF:]],$A14,Aug_Period_2_Tbl[[#All],[$ BONUS PAY]])+  SUMIF(Sep_Period_2_Tbl[[#All],[STAFF:]],$A14,Sep_Period_2_Tbl[[#All],[$ BONUS PAY]])+  SUMIF(Oct_Period_2_Tbl[[#All],[STAFF:]],$A14,Oct_Period_2_Tbl[[#All],[$ BONUS PAY]])+     SUMIF(Nov_Period_2_Tbl[[#All],[STAFF:]],$A14,Nov_Period_2_Tbl[[#All],[$ BONUS PAY]])+  SUMIF(Dec_Period_2_Tbl[[#All],[STAFF:]],$A14,Dec_Period_2_Tbl[[#All],[$ BONUS PAY]]))</f>
        <v>0</v>
      </c>
      <c r="P14" s="179">
        <f t="shared" si="0"/>
        <v>0</v>
      </c>
      <c r="Q14" s="149"/>
      <c r="R14" s="152">
        <f>(SUMIF(Jan_Period_1_Tbl[[#All],[STAFF:]],$A14,Jan_Period_1_Tbl[[#All],['# POINTS EARNED]])+
SUMIF(Feb_Period_1_Tbl[[#All],[STAFF:]],$A14,Feb_Period_1_Tbl[[#All],['# POINTS EARNED]])+SUMIF(Mar_Period_1_Tbl[[#All],[STAFF:]],$A14,Mar_Period_1_Tbl[[#All],['# POINTS EARNED]])+SUMIF(Apr_Period_1_Tbl[[#All],[STAFF:]],$A14,Apr_Period_1_Tbl[[#All],['# POINTS EARNED]])+   SUMIF(May_Period_1_Tbl[[#All],[STAFF:]],$A14,May_Period_1_Tbl[[#All],['# POINTS EARNED]])+   SUMIF(Jun_Period_1_Tbl[[#All],[STAFF:]],$A14,Jun_Period_1_Tbl[[#All],['# POINTS EARNED]])+  SUMIF(Jul_Period_1_Tbl[[#All],[STAFF:]],$A14,Jul_Period_1_Tbl[[#All],['# POINTS EARNED]])+  SUMIF(Aug_Period_1_Tbl[[#All],[STAFF:]],$A14,Aug_Period_1_Tbl[[#All],['# POINTS EARNED]])+  SUMIF(Sep_Period_1_Tbl[[#All],[STAFF:]],$A14,Sep_Period_1_Tbl[[#All],['# POINTS EARNED]])+  SUMIF(Oct_Period_1_Tbl[[#All],[STAFF:]],$A14,Oct_Period_1_Tbl[[#All],['# POINTS EARNED]])+     SUMIF(Nov_Period_1_Tbl[[#All],[STAFF:]],$A14,Nov_Period_1_Tbl[[#All],['# POINTS EARNED]])+  SUMIF(Dec_Period_1_Tbl[[#All],[STAFF:]],$A14,Dec_Period_1_Tbl[[#All],['# POINTS EARNED]]))+   (SUMIF(Jan_Period_2_Tbl[[#All],[STAFF:]],$A14,Jan_Period_2_Tbl[[#All],['# POINTS EARNED]])+
SUMIF(Feb_Period_2_Tbl[[#All],[STAFF:]],$A14,Feb_Period_2_Tbl[[#All],['# POINTS EARNED]])+SUMIF(Mar_Period_2_Tbl[[#All],[STAFF:]],$A14,Mar_Period_2_Tbl[[#All],['# POINTS EARNED]])+SUMIF(Apr_Period_2_Tbl[[#All],[STAFF:]],$A14,Apr_Period_2_Tbl[[#All],['# POINTS EARNED]])+   SUMIF(May_Period_2_Tbl[[#All],[STAFF:]],$A14,May_Period_2_Tbl[[#All],['# POINTS EARNED]])+   SUMIF(Jun_Period_2_Tbl[[#All],[STAFF:]],$A14,Jun_Period_2_Tbl[[#All],['# POINTS EARNED]])+  SUMIF(Jul_Period_2_Tbl[[#All],[STAFF:]],$A14,Jul_Period_2_Tbl[[#All],['# POINTS EARNED]])+  SUMIF(Aug_Period_2_Tbl[[#All],[STAFF:]],$A14,Aug_Period_2_Tbl[[#All],['# POINTS EARNED]])+  SUMIF(Sep_Period_2_Tbl[[#All],[STAFF:]],$A14,Sep_Period_2_Tbl[[#All],['# POINTS EARNED]])+  SUMIF(Oct_Period_2_Tbl[[#All],[STAFF:]],$A14,Oct_Period_2_Tbl[[#All],['# POINTS EARNED]])+     SUMIF(Nov_Period_2_Tbl[[#All],[STAFF:]],$A14,Nov_Period_2_Tbl[[#All],['# POINTS EARNED]])+  SUMIF(Dec_Period_2_Tbl[[#All],[STAFF:]],$A14,Dec_Period_2_Tbl[[#All],['# POINTS EARNED]]))</f>
        <v>0</v>
      </c>
      <c r="S14" s="152">
        <f>(SUMIF(Jan_Period_1_Tbl[[#All],[STAFF:]],$A14,Jan_Period_1_Tbl[[#All],['# POINTS USED]])+
SUMIF(Feb_Period_1_Tbl[[#All],[STAFF:]],$A14,Feb_Period_1_Tbl[[#All],['# POINTS USED]])+SUMIF(Mar_Period_1_Tbl[[#All],[STAFF:]],$A14,Mar_Period_1_Tbl[[#All],['# POINTS USED]])+SUMIF(Apr_Period_1_Tbl[[#All],[STAFF:]],$A14,Apr_Period_1_Tbl[[#All],['# POINTS USED]])+   SUMIF(May_Period_1_Tbl[[#All],[STAFF:]],$A14,May_Period_1_Tbl[[#All],['# POINTS USED]])+   SUMIF(Jun_Period_1_Tbl[[#All],[STAFF:]],$A14,Jun_Period_1_Tbl[[#All],['# POINTS USED]])+  SUMIF(Jul_Period_1_Tbl[[#All],[STAFF:]],$A14,Jul_Period_1_Tbl[[#All],['# POINTS USED]])+  SUMIF(Aug_Period_1_Tbl[[#All],[STAFF:]],$A14,Aug_Period_1_Tbl[[#All],['# POINTS USED]])+  SUMIF(Sep_Period_1_Tbl[[#All],[STAFF:]],$A14,Sep_Period_1_Tbl[[#All],['# POINTS USED]])+  SUMIF(Oct_Period_1_Tbl[[#All],[STAFF:]],$A14,Oct_Period_1_Tbl[[#All],['# POINTS USED]])+     SUMIF(Nov_Period_1_Tbl[[#All],[STAFF:]],$A14,Nov_Period_1_Tbl[[#All],['# POINTS USED]])+  SUMIF(Dec_Period_1_Tbl[[#All],[STAFF:]],$A14,Dec_Period_1_Tbl[[#All],['# POINTS USED]]))+   (SUMIF(Jan_Period_2_Tbl[[#All],[STAFF:]],$A14,Jan_Period_2_Tbl[[#All],['# POINTS USED]])+
SUMIF(Feb_Period_2_Tbl[[#All],[STAFF:]],$A14,Feb_Period_2_Tbl[[#All],['# POINTS USED]])+SUMIF(Mar_Period_2_Tbl[[#All],[STAFF:]],$A14,Mar_Period_2_Tbl[[#All],['# POINTS USED]])+SUMIF(Apr_Period_2_Tbl[[#All],[STAFF:]],$A14,Apr_Period_2_Tbl[[#All],['# POINTS USED]])+   SUMIF(May_Period_2_Tbl[[#All],[STAFF:]],$A14,May_Period_2_Tbl[[#All],['# POINTS USED]])+   SUMIF(Jun_Period_2_Tbl[[#All],[STAFF:]],$A14,Jun_Period_2_Tbl[[#All],['# POINTS USED]])+  SUMIF(Jul_Period_2_Tbl[[#All],[STAFF:]],$A14,Jul_Period_2_Tbl[[#All],['# POINTS USED]])+  SUMIF(Aug_Period_2_Tbl[[#All],[STAFF:]],$A14,Aug_Period_2_Tbl[[#All],['# POINTS USED]])+  SUMIF(Sep_Period_2_Tbl[[#All],[STAFF:]],$A14,Sep_Period_2_Tbl[[#All],['# POINTS USED]])+  SUMIF(Oct_Period_2_Tbl[[#All],[STAFF:]],$A14,Oct_Period_2_Tbl[[#All],['# POINTS USED]])+     SUMIF(Nov_Period_2_Tbl[[#All],[STAFF:]],$A14,Nov_Period_2_Tbl[[#All],['# POINTS USED]])+  SUMIF(Dec_Period_2_Tbl[[#All],[STAFF:]],$A14,Dec_Period_2_Tbl[[#All],['# POINTS USED]]))</f>
        <v>0</v>
      </c>
      <c r="T14" s="152">
        <f>(SUMIF(Jan_Period_1_Tbl[[#All],[STAFF:]],$A14,Jan_Period_1_Tbl[[#All],['# CLASSES LEAD]])+
SUMIF(Feb_Period_1_Tbl[[#All],[STAFF:]],$A14,Feb_Period_1_Tbl[[#All],['# CLASSES LEAD]])+SUMIF(Mar_Period_1_Tbl[[#All],[STAFF:]],$A14,Mar_Period_1_Tbl[[#All],['# CLASSES LEAD]])+SUMIF(Apr_Period_1_Tbl[[#All],[STAFF:]],$A14,Apr_Period_1_Tbl[[#All],['# CLASSES LEAD]])+   SUMIF(May_Period_1_Tbl[[#All],[STAFF:]],$A14,May_Period_1_Tbl[[#All],['# CLASSES LEAD]])+   SUMIF(Jun_Period_1_Tbl[[#All],[STAFF:]],$A14,Jun_Period_1_Tbl[[#All],['# CLASSES LEAD]])+  SUMIF(Jul_Period_1_Tbl[[#All],[STAFF:]],$A14,Jul_Period_1_Tbl[[#All],['# CLASSES LEAD]])+  SUMIF(Aug_Period_1_Tbl[[#All],[STAFF:]],$A14,Aug_Period_1_Tbl[[#All],['# CLASSES LEAD]])+  SUMIF(Sep_Period_1_Tbl[[#All],[STAFF:]],$A14,Sep_Period_1_Tbl[[#All],['# CLASSES LEAD]])+  SUMIF(Oct_Period_1_Tbl[[#All],[STAFF:]],$A14,Oct_Period_1_Tbl[[#All],['# CLASSES LEAD]])+     SUMIF(Nov_Period_1_Tbl[[#All],[STAFF:]],$A14,Nov_Period_1_Tbl[[#All],['# CLASSES LEAD]])+  SUMIF(Dec_Period_1_Tbl[[#All],[STAFF:]],$A14,Dec_Period_1_Tbl[[#All],['# CLASSES LEAD]]))+   (SUMIF(Jan_Period_2_Tbl[[#All],[STAFF:]],$A14,Jan_Period_2_Tbl[[#All],['# CLASSES LEAD]])+
SUMIF(Feb_Period_2_Tbl[[#All],[STAFF:]],$A14,Feb_Period_2_Tbl[[#All],['# CLASSES LEAD]])+SUMIF(Mar_Period_2_Tbl[[#All],[STAFF:]],$A14,Mar_Period_2_Tbl[[#All],['# CLASSES LEAD]])+SUMIF(Apr_Period_2_Tbl[[#All],[STAFF:]],$A14,Apr_Period_2_Tbl[[#All],['# CLASSES LEAD]])+   SUMIF(May_Period_2_Tbl[[#All],[STAFF:]],$A14,May_Period_2_Tbl[[#All],['# CLASSES LEAD]])+   SUMIF(Jun_Period_2_Tbl[[#All],[STAFF:]],$A14,Jun_Period_2_Tbl[[#All],['# CLASSES LEAD]])+  SUMIF(Jul_Period_2_Tbl[[#All],[STAFF:]],$A14,Jul_Period_2_Tbl[[#All],['# CLASSES LEAD]])+  SUMIF(Aug_Period_2_Tbl[[#All],[STAFF:]],$A14,Aug_Period_2_Tbl[[#All],['# CLASSES LEAD]])+  SUMIF(Sep_Period_2_Tbl[[#All],[STAFF:]],$A14,Sep_Period_2_Tbl[[#All],['# CLASSES LEAD]])+  SUMIF(Oct_Period_2_Tbl[[#All],[STAFF:]],$A14,Oct_Period_2_Tbl[[#All],['# CLASSES LEAD]])+     SUMIF(Nov_Period_2_Tbl[[#All],[STAFF:]],$A14,Nov_Period_2_Tbl[[#All],['# CLASSES LEAD]])+  SUMIF(Dec_Period_2_Tbl[[#All],[STAFF:]],$A14,Dec_Period_2_Tbl[[#All],['# CLASSES LEAD]]))</f>
        <v>0</v>
      </c>
      <c r="U14" s="152">
        <f>(SUMIF(Jan_Period_1_Tbl[[#All],[STAFF:]],$A14,Jan_Period_1_Tbl[[#All],['# CLASSES SHOW]])+
SUMIF(Feb_Period_1_Tbl[[#All],[STAFF:]],$A14,Feb_Period_1_Tbl[[#All],['# CLASSES SHOW]])+SUMIF(Mar_Period_1_Tbl[[#All],[STAFF:]],$A14,Mar_Period_1_Tbl[[#All],['# CLASSES SHOW]])+SUMIF(Apr_Period_1_Tbl[[#All],[STAFF:]],$A14,Apr_Period_1_Tbl[[#All],['# CLASSES SHOW]])+   SUMIF(May_Period_1_Tbl[[#All],[STAFF:]],$A14,May_Period_1_Tbl[[#All],['# CLASSES SHOW]])+   SUMIF(Jun_Period_1_Tbl[[#All],[STAFF:]],$A14,Jun_Period_1_Tbl[[#All],['# CLASSES SHOW]])+  SUMIF(Jul_Period_1_Tbl[[#All],[STAFF:]],$A14,Jul_Period_1_Tbl[[#All],['# CLASSES SHOW]])+  SUMIF(Aug_Period_1_Tbl[[#All],[STAFF:]],$A14,Aug_Period_1_Tbl[[#All],['# CLASSES SHOW]])+  SUMIF(Sep_Period_1_Tbl[[#All],[STAFF:]],$A14,Sep_Period_1_Tbl[[#All],['# CLASSES SHOW]])+  SUMIF(Oct_Period_1_Tbl[[#All],[STAFF:]],$A14,Oct_Period_1_Tbl[[#All],['# CLASSES SHOW]])+     SUMIF(Nov_Period_1_Tbl[[#All],[STAFF:]],$A14,Nov_Period_1_Tbl[[#All],['# CLASSES SHOW]])+  SUMIF(Dec_Period_1_Tbl[[#All],[STAFF:]],$A14,Dec_Period_1_Tbl[[#All],['# CLASSES SHOW]]))+   (SUMIF(Jan_Period_2_Tbl[[#All],[STAFF:]],$A14,Jan_Period_2_Tbl[[#All],['# CLASSES SHOW]])+
SUMIF(Feb_Period_2_Tbl[[#All],[STAFF:]],$A14,Feb_Period_2_Tbl[[#All],['# CLASSES SHOW]])+SUMIF(Mar_Period_2_Tbl[[#All],[STAFF:]],$A14,Mar_Period_2_Tbl[[#All],['# CLASSES SHOW]])+SUMIF(Apr_Period_2_Tbl[[#All],[STAFF:]],$A14,Apr_Period_2_Tbl[[#All],['# CLASSES SHOW]])+   SUMIF(May_Period_2_Tbl[[#All],[STAFF:]],$A14,May_Period_2_Tbl[[#All],['# CLASSES SHOW]])+   SUMIF(Jun_Period_2_Tbl[[#All],[STAFF:]],$A14,Jun_Period_2_Tbl[[#All],['# CLASSES SHOW]])+  SUMIF(Jul_Period_2_Tbl[[#All],[STAFF:]],$A14,Jul_Period_2_Tbl[[#All],['# CLASSES SHOW]])+  SUMIF(Aug_Period_2_Tbl[[#All],[STAFF:]],$A14,Aug_Period_2_Tbl[[#All],['# CLASSES SHOW]])+  SUMIF(Sep_Period_2_Tbl[[#All],[STAFF:]],$A14,Sep_Period_2_Tbl[[#All],['# CLASSES SHOW]])+  SUMIF(Oct_Period_2_Tbl[[#All],[STAFF:]],$A14,Oct_Period_2_Tbl[[#All],['# CLASSES SHOW]])+     SUMIF(Nov_Period_2_Tbl[[#All],[STAFF:]],$A14,Nov_Period_2_Tbl[[#All],['# CLASSES SHOW]])+  SUMIF(Dec_Period_2_Tbl[[#All],[STAFF:]],$A14,Dec_Period_2_Tbl[[#All],['# CLASSES SHOW]]))</f>
        <v>0</v>
      </c>
      <c r="V14" s="156"/>
      <c r="W14" s="156"/>
      <c r="X14" s="154">
        <f t="shared" si="1"/>
        <v>0</v>
      </c>
      <c r="Y14" s="154">
        <f t="shared" si="2"/>
        <v>0</v>
      </c>
      <c r="Z14" s="154">
        <f t="shared" si="3"/>
        <v>0</v>
      </c>
      <c r="AA14" s="154">
        <f t="shared" si="4"/>
        <v>0</v>
      </c>
      <c r="AB14" s="154">
        <f t="shared" si="5"/>
        <v>0</v>
      </c>
      <c r="AC14" s="154">
        <f t="shared" si="6"/>
        <v>0</v>
      </c>
      <c r="AD14" s="154">
        <f t="shared" si="7"/>
        <v>0</v>
      </c>
      <c r="AE14" s="149"/>
      <c r="AF14" s="149"/>
      <c r="AG14" s="149"/>
      <c r="AH14" s="149"/>
      <c r="AJ14" s="75" t="str">
        <f t="shared" si="8"/>
        <v>zBlank</v>
      </c>
      <c r="AK14" s="210"/>
      <c r="AL14" s="168">
        <f>IFERROR(VLOOKUP(B14,List!$A:$B,2,FALSE),-1)</f>
        <v>-1</v>
      </c>
      <c r="AM14" s="168">
        <f>IFERROR(VLOOKUP(C14,List!$A:$B,2,FALSE),-1)</f>
        <v>-1</v>
      </c>
    </row>
    <row r="15" spans="1:40" ht="15" hidden="1" customHeight="1" x14ac:dyDescent="0.25">
      <c r="A15" s="20"/>
      <c r="B15" s="186"/>
      <c r="C15" s="186"/>
      <c r="D15" s="187"/>
      <c r="E15" s="188">
        <f>(SUMIF(Jan_Period_1_Tbl[[#All],[STAFF:]],$A15,Jan_Period_1_Tbl[[#All],['# PTO USED]])+
SUMIF(Feb_Period_1_Tbl[[#All],[STAFF:]],$A15,Feb_Period_1_Tbl[[#All],['# PTO USED]])+SUMIF(Mar_Period_1_Tbl[[#All],[STAFF:]],$A15,Mar_Period_1_Tbl[[#All],['# PTO USED]])+SUMIF(Apr_Period_1_Tbl[[#All],[STAFF:]],$A15,Apr_Period_1_Tbl[[#All],['# PTO USED]])+   SUMIF(May_Period_1_Tbl[[#All],[STAFF:]],$A15,May_Period_1_Tbl[[#All],['# PTO USED]])+   SUMIF(Jun_Period_1_Tbl[[#All],[STAFF:]],$A15,Jun_Period_1_Tbl[[#All],['# PTO USED]])+  SUMIF(Jul_Period_1_Tbl[[#All],[STAFF:]],$A15,Jul_Period_1_Tbl[[#All],['# PTO USED]])+  SUMIF(Aug_Period_1_Tbl[[#All],[STAFF:]],$A15,Aug_Period_1_Tbl[[#All],['# PTO USED]])+  SUMIF(Sep_Period_1_Tbl[[#All],[STAFF:]],$A15,Sep_Period_1_Tbl[[#All],['# PTO USED]])+  SUMIF(Oct_Period_1_Tbl[[#All],[STAFF:]],$A15,Oct_Period_1_Tbl[[#All],['# PTO USED]])+     SUMIF(Nov_Period_1_Tbl[[#All],[STAFF:]],$A15,Nov_Period_1_Tbl[[#All],['# PTO USED]])+  SUMIF(Dec_Period_1_Tbl[[#All],[STAFF:]],$A15,Dec_Period_1_Tbl[[#All],['# PTO USED]]))+   (SUMIF(Jan_Period_2_Tbl[[#All],[STAFF:]],$A15,Jan_Period_2_Tbl[[#All],['# PTO USED]])+
SUMIF(Feb_Period_2_Tbl[[#All],[STAFF:]],$A15,Feb_Period_2_Tbl[[#All],['# PTO USED]])+SUMIF(Mar_Period_2_Tbl[[#All],[STAFF:]],$A15,Mar_Period_2_Tbl[[#All],['# PTO USED]])+SUMIF(Apr_Period_2_Tbl[[#All],[STAFF:]],$A15,Apr_Period_2_Tbl[[#All],['# PTO USED]])+   SUMIF(May_Period_2_Tbl[[#All],[STAFF:]],$A15,May_Period_2_Tbl[[#All],['# PTO USED]])+   SUMIF(Jun_Period_2_Tbl[[#All],[STAFF:]],$A15,Jun_Period_2_Tbl[[#All],['# PTO USED]])+  SUMIF(Jul_Period_2_Tbl[[#All],[STAFF:]],$A15,Jul_Period_2_Tbl[[#All],['# PTO USED]])+  SUMIF(Aug_Period_2_Tbl[[#All],[STAFF:]],$A15,Aug_Period_2_Tbl[[#All],['# PTO USED]])+  SUMIF(Sep_Period_2_Tbl[[#All],[STAFF:]],$A15,Sep_Period_2_Tbl[[#All],['# PTO USED]])+  SUMIF(Oct_Period_2_Tbl[[#All],[STAFF:]],$A15,Oct_Period_2_Tbl[[#All],['# PTO USED]])+     SUMIF(Nov_Period_2_Tbl[[#All],[STAFF:]],$A15,Nov_Period_2_Tbl[[#All],['# PTO USED]])+  SUMIF(Dec_Period_2_Tbl[[#All],[STAFF:]],$A15,Dec_Period_2_Tbl[[#All],['# PTO USED]]))</f>
        <v>0</v>
      </c>
      <c r="F15" s="189">
        <f>(SUMIF(Jan_Period_1_Tbl[[#All],[STAFF:]],$A15,Jan_Period_1_Tbl[[#All],['# HRS WORKED]])+
SUMIF(Feb_Period_1_Tbl[[#All],[STAFF:]],$A15,Feb_Period_1_Tbl[[#All],['# HRS WORKED]])+SUMIF(Mar_Period_1_Tbl[[#All],[STAFF:]],$A15,Mar_Period_1_Tbl[[#All],['# HRS WORKED]])+SUMIF(Apr_Period_1_Tbl[[#All],[STAFF:]],$A15,Apr_Period_1_Tbl[[#All],['# HRS WORKED]])+   SUMIF(May_Period_1_Tbl[[#All],[STAFF:]],$A15,May_Period_1_Tbl[[#All],['# HRS WORKED]])+   SUMIF(Jun_Period_1_Tbl[[#All],[STAFF:]],$A15,Jun_Period_1_Tbl[[#All],['# HRS WORKED]])+  SUMIF(Jul_Period_1_Tbl[[#All],[STAFF:]],$A15,Jul_Period_1_Tbl[[#All],['# HRS WORKED]])+  SUMIF(Aug_Period_1_Tbl[[#All],[STAFF:]],$A15,Aug_Period_1_Tbl[[#All],['# HRS WORKED]])+  SUMIF(Sep_Period_1_Tbl[[#All],[STAFF:]],$A15,Sep_Period_1_Tbl[[#All],['# HRS WORKED]])+  SUMIF(Oct_Period_1_Tbl[[#All],[STAFF:]],$A15,Oct_Period_1_Tbl[[#All],['# HRS WORKED]])+     SUMIF(Nov_Period_1_Tbl[[#All],[STAFF:]],$A15,Nov_Period_1_Tbl[[#All],['# HRS WORKED]])+  SUMIF(Dec_Period_1_Tbl[[#All],[STAFF:]],$A15,Dec_Period_1_Tbl[[#All],['# HRS WORKED]]))+   (SUMIF(Jan_Period_2_Tbl[[#All],[STAFF:]],$A15,Jan_Period_2_Tbl[[#All],['# HRS WORKED]])+
SUMIF(Feb_Period_2_Tbl[[#All],[STAFF:]],$A15,Feb_Period_2_Tbl[[#All],['# HRS WORKED]])+SUMIF(Mar_Period_2_Tbl[[#All],[STAFF:]],$A15,Mar_Period_2_Tbl[[#All],['# HRS WORKED]])+SUMIF(Apr_Period_2_Tbl[[#All],[STAFF:]],$A15,Apr_Period_2_Tbl[[#All],['# HRS WORKED]])+   SUMIF(May_Period_2_Tbl[[#All],[STAFF:]],$A15,May_Period_2_Tbl[[#All],['# HRS WORKED]])+   SUMIF(Jun_Period_2_Tbl[[#All],[STAFF:]],$A15,Jun_Period_2_Tbl[[#All],['# HRS WORKED]])+  SUMIF(Jul_Period_2_Tbl[[#All],[STAFF:]],$A15,Jul_Period_2_Tbl[[#All],['# HRS WORKED]])+  SUMIF(Aug_Period_2_Tbl[[#All],[STAFF:]],$A15,Aug_Period_2_Tbl[[#All],['# HRS WORKED]])+  SUMIF(Sep_Period_2_Tbl[[#All],[STAFF:]],$A15,Sep_Period_2_Tbl[[#All],['# HRS WORKED]])+  SUMIF(Oct_Period_2_Tbl[[#All],[STAFF:]],$A15,Oct_Period_2_Tbl[[#All],['# HRS WORKED]])+     SUMIF(Nov_Period_2_Tbl[[#All],[STAFF:]],$A15,Nov_Period_2_Tbl[[#All],['# HRS WORKED]])+  SUMIF(Dec_Period_2_Tbl[[#All],[STAFF:]],$A15,Dec_Period_2_Tbl[[#All],['# HRS WORKED]]))</f>
        <v>0</v>
      </c>
      <c r="G15" s="190">
        <f>(SUMIF(Jan_Period_1_Tbl[[#All],[STAFF:]],$A15,Jan_Period_1_Tbl[[#All],[$ Hourly WAGES]])+
SUMIF(Feb_Period_1_Tbl[[#All],[STAFF:]],$A15,Feb_Period_1_Tbl[[#All],[$ Hourly WAGES]])+SUMIF(Mar_Period_1_Tbl[[#All],[STAFF:]],$A15,Mar_Period_1_Tbl[[#All],[$ Hourly WAGES]])+SUMIF(Apr_Period_1_Tbl[[#All],[STAFF:]],$A15,Apr_Period_1_Tbl[[#All],[$ Hourly WAGES]])+   SUMIF(May_Period_1_Tbl[[#All],[STAFF:]],$A15,May_Period_1_Tbl[[#All],[$ Hourly WAGES]])+   SUMIF(Jun_Period_1_Tbl[[#All],[STAFF:]],$A15,Jun_Period_1_Tbl[[#All],[$ Hourly WAGES]])+  SUMIF(Jul_Period_1_Tbl[[#All],[STAFF:]],$A15,Jul_Period_1_Tbl[[#All],[$ Hourly WAGES]])+  SUMIF(Aug_Period_1_Tbl[[#All],[STAFF:]],$A15,Aug_Period_1_Tbl[[#All],[$ Hourly WAGES]])+  SUMIF(Sep_Period_1_Tbl[[#All],[STAFF:]],$A15,Sep_Period_1_Tbl[[#All],[$ Hourly WAGES]])+  SUMIF(Oct_Period_1_Tbl[[#All],[STAFF:]],$A15,Oct_Period_1_Tbl[[#All],[$ Hourly WAGES]])+     SUMIF(Nov_Period_1_Tbl[[#All],[STAFF:]],$A15,Nov_Period_1_Tbl[[#All],[$ Hourly WAGES]])+  SUMIF(Dec_Period_1_Tbl[[#All],[STAFF:]],$A15,Dec_Period_1_Tbl[[#All],[$ Hourly WAGES]]))+   (SUMIF(Jan_Period_2_Tbl[[#All],[STAFF:]],$A15,Jan_Period_2_Tbl[[#All],[$ Hourly WAGES]])+
SUMIF(Feb_Period_2_Tbl[[#All],[STAFF:]],$A15,Feb_Period_2_Tbl[[#All],[$ Hourly WAGES]])+SUMIF(Mar_Period_2_Tbl[[#All],[STAFF:]],$A15,Mar_Period_2_Tbl[[#All],[$ Hourly WAGES]])+SUMIF(Apr_Period_2_Tbl[[#All],[STAFF:]],$A15,Apr_Period_2_Tbl[[#All],[$ Hourly WAGES]])+   SUMIF(May_Period_2_Tbl[[#All],[STAFF:]],$A15,May_Period_2_Tbl[[#All],[$ Hourly WAGES]])+   SUMIF(Jun_Period_2_Tbl[[#All],[STAFF:]],$A15,Jun_Period_2_Tbl[[#All],[$ Hourly WAGES]])+  SUMIF(Jul_Period_2_Tbl[[#All],[STAFF:]],$A15,Jul_Period_2_Tbl[[#All],[$ Hourly WAGES]])+  SUMIF(Aug_Period_2_Tbl[[#All],[STAFF:]],$A15,Aug_Period_2_Tbl[[#All],[$ Hourly WAGES]])+  SUMIF(Sep_Period_2_Tbl[[#All],[STAFF:]],$A15,Sep_Period_2_Tbl[[#All],[$ Hourly WAGES]])+  SUMIF(Oct_Period_2_Tbl[[#All],[STAFF:]],$A15,Oct_Period_2_Tbl[[#All],[$ Hourly WAGES]])+     SUMIF(Nov_Period_2_Tbl[[#All],[STAFF:]],$A15,Nov_Period_2_Tbl[[#All],[$ Hourly WAGES]])+  SUMIF(Dec_Period_2_Tbl[[#All],[STAFF:]],$A15,Dec_Period_2_Tbl[[#All],[$ Hourly WAGES]]))</f>
        <v>0</v>
      </c>
      <c r="H15" s="190">
        <f>(SUMIF(Jan_Period_1_Tbl[[#All],[STAFF:]],$A15,Jan_Period_1_Tbl[[#All],[$ SALARY]])+
SUMIF(Feb_Period_1_Tbl[[#All],[STAFF:]],$A15,Feb_Period_1_Tbl[[#All],[$ SALARY]])+SUMIF(Mar_Period_1_Tbl[[#All],[STAFF:]],$A15,Mar_Period_1_Tbl[[#All],[$ SALARY]])+SUMIF(Apr_Period_1_Tbl[[#All],[STAFF:]],$A15,Apr_Period_1_Tbl[[#All],[$ SALARY]])+   SUMIF(May_Period_1_Tbl[[#All],[STAFF:]],$A15,May_Period_1_Tbl[[#All],[$ SALARY]])+   SUMIF(Jun_Period_1_Tbl[[#All],[STAFF:]],$A15,Jun_Period_1_Tbl[[#All],[$ SALARY]])+  SUMIF(Jul_Period_1_Tbl[[#All],[STAFF:]],$A15,Jul_Period_1_Tbl[[#All],[$ SALARY]])+  SUMIF(Aug_Period_1_Tbl[[#All],[STAFF:]],$A15,Aug_Period_1_Tbl[[#All],[$ SALARY]])+  SUMIF(Sep_Period_1_Tbl[[#All],[STAFF:]],$A15,Sep_Period_1_Tbl[[#All],[$ SALARY]])+  SUMIF(Oct_Period_1_Tbl[[#All],[STAFF:]],$A15,Oct_Period_1_Tbl[[#All],[$ SALARY]])+     SUMIF(Nov_Period_1_Tbl[[#All],[STAFF:]],$A15,Nov_Period_1_Tbl[[#All],[$ SALARY]])+  SUMIF(Dec_Period_1_Tbl[[#All],[STAFF:]],$A15,Dec_Period_1_Tbl[[#All],[$ SALARY]]))+   (SUMIF(Jan_Period_2_Tbl[[#All],[STAFF:]],$A15,Jan_Period_2_Tbl[[#All],[$ SALARY]])+
SUMIF(Feb_Period_2_Tbl[[#All],[STAFF:]],$A15,Feb_Period_2_Tbl[[#All],[$ SALARY]])+SUMIF(Mar_Period_2_Tbl[[#All],[STAFF:]],$A15,Mar_Period_2_Tbl[[#All],[$ SALARY]])+SUMIF(Apr_Period_2_Tbl[[#All],[STAFF:]],$A15,Apr_Period_2_Tbl[[#All],[$ SALARY]])+   SUMIF(May_Period_2_Tbl[[#All],[STAFF:]],$A15,May_Period_2_Tbl[[#All],[$ SALARY]])+   SUMIF(Jun_Period_2_Tbl[[#All],[STAFF:]],$A15,Jun_Period_2_Tbl[[#All],[$ SALARY]])+  SUMIF(Jul_Period_2_Tbl[[#All],[STAFF:]],$A15,Jul_Period_2_Tbl[[#All],[$ SALARY]])+  SUMIF(Aug_Period_2_Tbl[[#All],[STAFF:]],$A15,Aug_Period_2_Tbl[[#All],[$ SALARY]])+  SUMIF(Sep_Period_2_Tbl[[#All],[STAFF:]],$A15,Sep_Period_2_Tbl[[#All],[$ SALARY]])+  SUMIF(Oct_Period_2_Tbl[[#All],[STAFF:]],$A15,Oct_Period_2_Tbl[[#All],[$ SALARY]])+     SUMIF(Nov_Period_2_Tbl[[#All],[STAFF:]],$A15,Nov_Period_2_Tbl[[#All],[$ SALARY]])+  SUMIF(Dec_Period_2_Tbl[[#All],[STAFF:]],$A15,Dec_Period_2_Tbl[[#All],[$ SALARY]]))</f>
        <v>0</v>
      </c>
      <c r="I15" s="190">
        <f>(SUMIF(Jan_Period_1_Tbl[[#All],[STAFF:]],$A15,Jan_Period_1_Tbl[[#All],[$ SALARY PT]])+
SUMIF(Feb_Period_1_Tbl[[#All],[STAFF:]],$A15,Feb_Period_1_Tbl[[#All],[$ SALARY PT]])+SUMIF(Mar_Period_1_Tbl[[#All],[STAFF:]],$A15,Mar_Period_1_Tbl[[#All],[$ SALARY PT]])+SUMIF(Apr_Period_1_Tbl[[#All],[STAFF:]],$A15,Apr_Period_1_Tbl[[#All],[$ SALARY PT]])+   SUMIF(May_Period_1_Tbl[[#All],[STAFF:]],$A15,May_Period_1_Tbl[[#All],[$ SALARY PT]])+   SUMIF(Jun_Period_1_Tbl[[#All],[STAFF:]],$A15,Jun_Period_1_Tbl[[#All],[$ SALARY PT]])+  SUMIF(Jul_Period_1_Tbl[[#All],[STAFF:]],$A15,Jul_Period_1_Tbl[[#All],[$ SALARY PT]])+  SUMIF(Aug_Period_1_Tbl[[#All],[STAFF:]],$A15,Aug_Period_1_Tbl[[#All],[$ SALARY PT]])+  SUMIF(Sep_Period_1_Tbl[[#All],[STAFF:]],$A15,Sep_Period_1_Tbl[[#All],[$ SALARY PT]])+  SUMIF(Oct_Period_1_Tbl[[#All],[STAFF:]],$A15,Oct_Period_1_Tbl[[#All],[$ SALARY PT]])+     SUMIF(Nov_Period_1_Tbl[[#All],[STAFF:]],$A15,Nov_Period_1_Tbl[[#All],[$ SALARY PT]])+  SUMIF(Dec_Period_1_Tbl[[#All],[STAFF:]],$A15,Dec_Period_1_Tbl[[#All],[$ SALARY PT]]))+   (SUMIF(Jan_Period_2_Tbl[[#All],[STAFF:]],$A15,Jan_Period_2_Tbl[[#All],[$ SALARY PT]])+
SUMIF(Feb_Period_2_Tbl[[#All],[STAFF:]],$A15,Feb_Period_2_Tbl[[#All],[$ SALARY PT]])+SUMIF(Mar_Period_2_Tbl[[#All],[STAFF:]],$A15,Mar_Period_2_Tbl[[#All],[$ SALARY PT]])+SUMIF(Apr_Period_2_Tbl[[#All],[STAFF:]],$A15,Apr_Period_2_Tbl[[#All],[$ SALARY PT]])+   SUMIF(May_Period_2_Tbl[[#All],[STAFF:]],$A15,May_Period_2_Tbl[[#All],[$ SALARY PT]])+   SUMIF(Jun_Period_2_Tbl[[#All],[STAFF:]],$A15,Jun_Period_2_Tbl[[#All],[$ SALARY PT]])+  SUMIF(Jul_Period_2_Tbl[[#All],[STAFF:]],$A15,Jul_Period_2_Tbl[[#All],[$ SALARY PT]])+  SUMIF(Aug_Period_2_Tbl[[#All],[STAFF:]],$A15,Aug_Period_2_Tbl[[#All],[$ SALARY PT]])+  SUMIF(Sep_Period_2_Tbl[[#All],[STAFF:]],$A15,Sep_Period_2_Tbl[[#All],[$ SALARY PT]])+  SUMIF(Oct_Period_2_Tbl[[#All],[STAFF:]],$A15,Oct_Period_2_Tbl[[#All],[$ SALARY PT]])+     SUMIF(Nov_Period_2_Tbl[[#All],[STAFF:]],$A15,Nov_Period_2_Tbl[[#All],[$ SALARY PT]])+  SUMIF(Dec_Period_2_Tbl[[#All],[STAFF:]],$A15,Dec_Period_2_Tbl[[#All],[$ SALARY PT]]))</f>
        <v>0</v>
      </c>
      <c r="J15" s="190">
        <f>(SUMIF(Jan_Period_1_Tbl[[#All],[STAFF:]],$A15,Jan_Period_1_Tbl[[#All],[$ FREE PT]])+
SUMIF(Feb_Period_1_Tbl[[#All],[STAFF:]],$A15,Feb_Period_1_Tbl[[#All],[$ FREE PT]])+SUMIF(Mar_Period_1_Tbl[[#All],[STAFF:]],$A15,Mar_Period_1_Tbl[[#All],[$ FREE PT]])+SUMIF(Apr_Period_1_Tbl[[#All],[STAFF:]],$A15,Apr_Period_1_Tbl[[#All],[$ FREE PT]])+   SUMIF(May_Period_1_Tbl[[#All],[STAFF:]],$A15,May_Period_1_Tbl[[#All],[$ FREE PT]])+   SUMIF(Jun_Period_1_Tbl[[#All],[STAFF:]],$A15,Jun_Period_1_Tbl[[#All],[$ FREE PT]])+  SUMIF(Jul_Period_1_Tbl[[#All],[STAFF:]],$A15,Jul_Period_1_Tbl[[#All],[$ FREE PT]])+  SUMIF(Aug_Period_1_Tbl[[#All],[STAFF:]],$A15,Aug_Period_1_Tbl[[#All],[$ FREE PT]])+  SUMIF(Sep_Period_1_Tbl[[#All],[STAFF:]],$A15,Sep_Period_1_Tbl[[#All],[$ FREE PT]])+  SUMIF(Oct_Period_1_Tbl[[#All],[STAFF:]],$A15,Oct_Period_1_Tbl[[#All],[$ FREE PT]])+     SUMIF(Nov_Period_1_Tbl[[#All],[STAFF:]],$A15,Nov_Period_1_Tbl[[#All],[$ FREE PT]])+  SUMIF(Dec_Period_1_Tbl[[#All],[STAFF:]],$A15,Dec_Period_1_Tbl[[#All],[$ FREE PT]]))+   (SUMIF(Jan_Period_2_Tbl[[#All],[STAFF:]],$A15,Jan_Period_2_Tbl[[#All],[$ FREE PT]])+
SUMIF(Feb_Period_2_Tbl[[#All],[STAFF:]],$A15,Feb_Period_2_Tbl[[#All],[$ FREE PT]])+SUMIF(Mar_Period_2_Tbl[[#All],[STAFF:]],$A15,Mar_Period_2_Tbl[[#All],[$ FREE PT]])+SUMIF(Apr_Period_2_Tbl[[#All],[STAFF:]],$A15,Apr_Period_2_Tbl[[#All],[$ FREE PT]])+   SUMIF(May_Period_2_Tbl[[#All],[STAFF:]],$A15,May_Period_2_Tbl[[#All],[$ FREE PT]])+   SUMIF(Jun_Period_2_Tbl[[#All],[STAFF:]],$A15,Jun_Period_2_Tbl[[#All],[$ FREE PT]])+  SUMIF(Jul_Period_2_Tbl[[#All],[STAFF:]],$A15,Jul_Period_2_Tbl[[#All],[$ FREE PT]])+  SUMIF(Aug_Period_2_Tbl[[#All],[STAFF:]],$A15,Aug_Period_2_Tbl[[#All],[$ FREE PT]])+  SUMIF(Sep_Period_2_Tbl[[#All],[STAFF:]],$A15,Sep_Period_2_Tbl[[#All],[$ FREE PT]])+  SUMIF(Oct_Period_2_Tbl[[#All],[STAFF:]],$A15,Oct_Period_2_Tbl[[#All],[$ FREE PT]])+     SUMIF(Nov_Period_2_Tbl[[#All],[STAFF:]],$A15,Nov_Period_2_Tbl[[#All],[$ FREE PT]])+  SUMIF(Dec_Period_2_Tbl[[#All],[STAFF:]],$A15,Dec_Period_2_Tbl[[#All],[$ FREE PT]]))</f>
        <v>0</v>
      </c>
      <c r="K15" s="190">
        <f>(SUMIF(Jan_Period_1_Tbl[[#All],[STAFF:]],$A15,Jan_Period_1_Tbl[[#All],[$ PAID PT]])+
SUMIF(Feb_Period_1_Tbl[[#All],[STAFF:]],$A15,Feb_Period_1_Tbl[[#All],[$ PAID PT]])+SUMIF(Mar_Period_1_Tbl[[#All],[STAFF:]],$A15,Mar_Period_1_Tbl[[#All],[$ PAID PT]])+SUMIF(Apr_Period_1_Tbl[[#All],[STAFF:]],$A15,Apr_Period_1_Tbl[[#All],[$ PAID PT]])+   SUMIF(May_Period_1_Tbl[[#All],[STAFF:]],$A15,May_Period_1_Tbl[[#All],[$ PAID PT]])+   SUMIF(Jun_Period_1_Tbl[[#All],[STAFF:]],$A15,Jun_Period_1_Tbl[[#All],[$ PAID PT]])+  SUMIF(Jul_Period_1_Tbl[[#All],[STAFF:]],$A15,Jul_Period_1_Tbl[[#All],[$ PAID PT]])+  SUMIF(Aug_Period_1_Tbl[[#All],[STAFF:]],$A15,Aug_Period_1_Tbl[[#All],[$ PAID PT]])+  SUMIF(Sep_Period_1_Tbl[[#All],[STAFF:]],$A15,Sep_Period_1_Tbl[[#All],[$ PAID PT]])+  SUMIF(Oct_Period_1_Tbl[[#All],[STAFF:]],$A15,Oct_Period_1_Tbl[[#All],[$ PAID PT]])+     SUMIF(Nov_Period_1_Tbl[[#All],[STAFF:]],$A15,Nov_Period_1_Tbl[[#All],[$ PAID PT]])+  SUMIF(Dec_Period_1_Tbl[[#All],[STAFF:]],$A15,Dec_Period_1_Tbl[[#All],[$ PAID PT]]))+   (SUMIF(Jan_Period_2_Tbl[[#All],[STAFF:]],$A15,Jan_Period_2_Tbl[[#All],[$ PAID PT]])+
SUMIF(Feb_Period_2_Tbl[[#All],[STAFF:]],$A15,Feb_Period_2_Tbl[[#All],[$ PAID PT]])+SUMIF(Mar_Period_2_Tbl[[#All],[STAFF:]],$A15,Mar_Period_2_Tbl[[#All],[$ PAID PT]])+SUMIF(Apr_Period_2_Tbl[[#All],[STAFF:]],$A15,Apr_Period_2_Tbl[[#All],[$ PAID PT]])+   SUMIF(May_Period_2_Tbl[[#All],[STAFF:]],$A15,May_Period_2_Tbl[[#All],[$ PAID PT]])+   SUMIF(Jun_Period_2_Tbl[[#All],[STAFF:]],$A15,Jun_Period_2_Tbl[[#All],[$ PAID PT]])+  SUMIF(Jul_Period_2_Tbl[[#All],[STAFF:]],$A15,Jul_Period_2_Tbl[[#All],[$ PAID PT]])+  SUMIF(Aug_Period_2_Tbl[[#All],[STAFF:]],$A15,Aug_Period_2_Tbl[[#All],[$ PAID PT]])+  SUMIF(Sep_Period_2_Tbl[[#All],[STAFF:]],$A15,Sep_Period_2_Tbl[[#All],[$ PAID PT]])+  SUMIF(Oct_Period_2_Tbl[[#All],[STAFF:]],$A15,Oct_Period_2_Tbl[[#All],[$ PAID PT]])+     SUMIF(Nov_Period_2_Tbl[[#All],[STAFF:]],$A15,Nov_Period_2_Tbl[[#All],[$ PAID PT]])+  SUMIF(Dec_Period_2_Tbl[[#All],[STAFF:]],$A15,Dec_Period_2_Tbl[[#All],[$ PAID PT]]))</f>
        <v>0</v>
      </c>
      <c r="L15" s="190">
        <f>(SUMIF(Jan_Period_1_Tbl[[#All],[STAFF:]],$A15,Jan_Period_1_Tbl[[#All],[$ PT COMM]])+
SUMIF(Feb_Period_1_Tbl[[#All],[STAFF:]],$A15,Feb_Period_1_Tbl[[#All],[$ PT COMM]])+SUMIF(Mar_Period_1_Tbl[[#All],[STAFF:]],$A15,Mar_Period_1_Tbl[[#All],[$ PT COMM]])+SUMIF(Apr_Period_1_Tbl[[#All],[STAFF:]],$A15,Apr_Period_1_Tbl[[#All],[$ PT COMM]])+   SUMIF(May_Period_1_Tbl[[#All],[STAFF:]],$A15,May_Period_1_Tbl[[#All],[$ PT COMM]])+   SUMIF(Jun_Period_1_Tbl[[#All],[STAFF:]],$A15,Jun_Period_1_Tbl[[#All],[$ PT COMM]])+  SUMIF(Jul_Period_1_Tbl[[#All],[STAFF:]],$A15,Jul_Period_1_Tbl[[#All],[$ PT COMM]])+  SUMIF(Aug_Period_1_Tbl[[#All],[STAFF:]],$A15,Aug_Period_1_Tbl[[#All],[$ PT COMM]])+  SUMIF(Sep_Period_1_Tbl[[#All],[STAFF:]],$A15,Sep_Period_1_Tbl[[#All],[$ PT COMM]])+  SUMIF(Oct_Period_1_Tbl[[#All],[STAFF:]],$A15,Oct_Period_1_Tbl[[#All],[$ PT COMM]])+     SUMIF(Nov_Period_1_Tbl[[#All],[STAFF:]],$A15,Nov_Period_1_Tbl[[#All],[$ PT COMM]])+  SUMIF(Dec_Period_1_Tbl[[#All],[STAFF:]],$A15,Dec_Period_1_Tbl[[#All],[$ PT COMM]]))+   (SUMIF(Jan_Period_2_Tbl[[#All],[STAFF:]],$A15,Jan_Period_2_Tbl[[#All],[$ PT COMM]])+
SUMIF(Feb_Period_2_Tbl[[#All],[STAFF:]],$A15,Feb_Period_2_Tbl[[#All],[$ PT COMM]])+SUMIF(Mar_Period_2_Tbl[[#All],[STAFF:]],$A15,Mar_Period_2_Tbl[[#All],[$ PT COMM]])+SUMIF(Apr_Period_2_Tbl[[#All],[STAFF:]],$A15,Apr_Period_2_Tbl[[#All],[$ PT COMM]])+   SUMIF(May_Period_2_Tbl[[#All],[STAFF:]],$A15,May_Period_2_Tbl[[#All],[$ PT COMM]])+   SUMIF(Jun_Period_2_Tbl[[#All],[STAFF:]],$A15,Jun_Period_2_Tbl[[#All],[$ PT COMM]])+  SUMIF(Jul_Period_2_Tbl[[#All],[STAFF:]],$A15,Jul_Period_2_Tbl[[#All],[$ PT COMM]])+  SUMIF(Aug_Period_2_Tbl[[#All],[STAFF:]],$A15,Aug_Period_2_Tbl[[#All],[$ PT COMM]])+  SUMIF(Sep_Period_2_Tbl[[#All],[STAFF:]],$A15,Sep_Period_2_Tbl[[#All],[$ PT COMM]])+  SUMIF(Oct_Period_2_Tbl[[#All],[STAFF:]],$A15,Oct_Period_2_Tbl[[#All],[$ PT COMM]])+     SUMIF(Nov_Period_2_Tbl[[#All],[STAFF:]],$A15,Nov_Period_2_Tbl[[#All],[$ PT COMM]])+  SUMIF(Dec_Period_2_Tbl[[#All],[STAFF:]],$A15,Dec_Period_2_Tbl[[#All],[$ PT COMM]]))</f>
        <v>0</v>
      </c>
      <c r="M15" s="190">
        <f>(SUMIF(Jan_Period_1_Tbl[[#All],[STAFF:]],$A15,Jan_Period_1_Tbl[[#All],[$ EFT COMM]])+
SUMIF(Feb_Period_1_Tbl[[#All],[STAFF:]],$A15,Feb_Period_1_Tbl[[#All],[$ EFT COMM]])+SUMIF(Mar_Period_1_Tbl[[#All],[STAFF:]],$A15,Mar_Period_1_Tbl[[#All],[$ EFT COMM]])+SUMIF(Apr_Period_1_Tbl[[#All],[STAFF:]],$A15,Apr_Period_1_Tbl[[#All],[$ EFT COMM]])+   SUMIF(May_Period_1_Tbl[[#All],[STAFF:]],$A15,May_Period_1_Tbl[[#All],[$ EFT COMM]])+   SUMIF(Jun_Period_1_Tbl[[#All],[STAFF:]],$A15,Jun_Period_1_Tbl[[#All],[$ EFT COMM]])+  SUMIF(Jul_Period_1_Tbl[[#All],[STAFF:]],$A15,Jul_Period_1_Tbl[[#All],[$ EFT COMM]])+  SUMIF(Aug_Period_1_Tbl[[#All],[STAFF:]],$A15,Aug_Period_1_Tbl[[#All],[$ EFT COMM]])+  SUMIF(Sep_Period_1_Tbl[[#All],[STAFF:]],$A15,Sep_Period_1_Tbl[[#All],[$ EFT COMM]])+  SUMIF(Oct_Period_1_Tbl[[#All],[STAFF:]],$A15,Oct_Period_1_Tbl[[#All],[$ EFT COMM]])+     SUMIF(Nov_Period_1_Tbl[[#All],[STAFF:]],$A15,Nov_Period_1_Tbl[[#All],[$ EFT COMM]])+  SUMIF(Dec_Period_1_Tbl[[#All],[STAFF:]],$A15,Dec_Period_1_Tbl[[#All],[$ EFT COMM]]))+   (SUMIF(Jan_Period_2_Tbl[[#All],[STAFF:]],$A15,Jan_Period_2_Tbl[[#All],[$ EFT COMM]])+
SUMIF(Feb_Period_2_Tbl[[#All],[STAFF:]],$A15,Feb_Period_2_Tbl[[#All],[$ EFT COMM]])+SUMIF(Mar_Period_2_Tbl[[#All],[STAFF:]],$A15,Mar_Period_2_Tbl[[#All],[$ EFT COMM]])+SUMIF(Apr_Period_2_Tbl[[#All],[STAFF:]],$A15,Apr_Period_2_Tbl[[#All],[$ EFT COMM]])+   SUMIF(May_Period_2_Tbl[[#All],[STAFF:]],$A15,May_Period_2_Tbl[[#All],[$ EFT COMM]])+   SUMIF(Jun_Period_2_Tbl[[#All],[STAFF:]],$A15,Jun_Period_2_Tbl[[#All],[$ EFT COMM]])+  SUMIF(Jul_Period_2_Tbl[[#All],[STAFF:]],$A15,Jul_Period_2_Tbl[[#All],[$ EFT COMM]])+  SUMIF(Aug_Period_2_Tbl[[#All],[STAFF:]],$A15,Aug_Period_2_Tbl[[#All],[$ EFT COMM]])+  SUMIF(Sep_Period_2_Tbl[[#All],[STAFF:]],$A15,Sep_Period_2_Tbl[[#All],[$ EFT COMM]])+  SUMIF(Oct_Period_2_Tbl[[#All],[STAFF:]],$A15,Oct_Period_2_Tbl[[#All],[$ EFT COMM]])+     SUMIF(Nov_Period_2_Tbl[[#All],[STAFF:]],$A15,Nov_Period_2_Tbl[[#All],[$ EFT COMM]])+  SUMIF(Dec_Period_2_Tbl[[#All],[STAFF:]],$A15,Dec_Period_2_Tbl[[#All],[$ EFT COMM]]))</f>
        <v>0</v>
      </c>
      <c r="N15" s="190">
        <f>(SUMIF(Jan_Period_1_Tbl[[#All],[STAFF:]],$A15,Jan_Period_1_Tbl[[#All],[$ CLASS PAY]])+
SUMIF(Feb_Period_1_Tbl[[#All],[STAFF:]],$A15,Feb_Period_1_Tbl[[#All],[$ CLASS PAY]])+SUMIF(Mar_Period_1_Tbl[[#All],[STAFF:]],$A15,Mar_Period_1_Tbl[[#All],[$ CLASS PAY]])+SUMIF(Apr_Period_1_Tbl[[#All],[STAFF:]],$A15,Apr_Period_1_Tbl[[#All],[$ CLASS PAY]])+   SUMIF(May_Period_1_Tbl[[#All],[STAFF:]],$A15,May_Period_1_Tbl[[#All],[$ CLASS PAY]])+   SUMIF(Jun_Period_1_Tbl[[#All],[STAFF:]],$A15,Jun_Period_1_Tbl[[#All],[$ CLASS PAY]])+  SUMIF(Jul_Period_1_Tbl[[#All],[STAFF:]],$A15,Jul_Period_1_Tbl[[#All],[$ CLASS PAY]])+  SUMIF(Aug_Period_1_Tbl[[#All],[STAFF:]],$A15,Aug_Period_1_Tbl[[#All],[$ CLASS PAY]])+  SUMIF(Sep_Period_1_Tbl[[#All],[STAFF:]],$A15,Sep_Period_1_Tbl[[#All],[$ CLASS PAY]])+  SUMIF(Oct_Period_1_Tbl[[#All],[STAFF:]],$A15,Oct_Period_1_Tbl[[#All],[$ CLASS PAY]])+     SUMIF(Nov_Period_1_Tbl[[#All],[STAFF:]],$A15,Nov_Period_1_Tbl[[#All],[$ CLASS PAY]])+  SUMIF(Dec_Period_1_Tbl[[#All],[STAFF:]],$A15,Dec_Period_1_Tbl[[#All],[$ CLASS PAY]]))+   (SUMIF(Jan_Period_2_Tbl[[#All],[STAFF:]],$A15,Jan_Period_2_Tbl[[#All],[$ CLASS PAY]])+
SUMIF(Feb_Period_2_Tbl[[#All],[STAFF:]],$A15,Feb_Period_2_Tbl[[#All],[$ CLASS PAY]])+SUMIF(Mar_Period_2_Tbl[[#All],[STAFF:]],$A15,Mar_Period_2_Tbl[[#All],[$ CLASS PAY]])+SUMIF(Apr_Period_2_Tbl[[#All],[STAFF:]],$A15,Apr_Period_2_Tbl[[#All],[$ CLASS PAY]])+   SUMIF(May_Period_2_Tbl[[#All],[STAFF:]],$A15,May_Period_2_Tbl[[#All],[$ CLASS PAY]])+   SUMIF(Jun_Period_2_Tbl[[#All],[STAFF:]],$A15,Jun_Period_2_Tbl[[#All],[$ CLASS PAY]])+  SUMIF(Jul_Period_2_Tbl[[#All],[STAFF:]],$A15,Jul_Period_2_Tbl[[#All],[$ CLASS PAY]])+  SUMIF(Aug_Period_2_Tbl[[#All],[STAFF:]],$A15,Aug_Period_2_Tbl[[#All],[$ CLASS PAY]])+  SUMIF(Sep_Period_2_Tbl[[#All],[STAFF:]],$A15,Sep_Period_2_Tbl[[#All],[$ CLASS PAY]])+  SUMIF(Oct_Period_2_Tbl[[#All],[STAFF:]],$A15,Oct_Period_2_Tbl[[#All],[$ CLASS PAY]])+     SUMIF(Nov_Period_2_Tbl[[#All],[STAFF:]],$A15,Nov_Period_2_Tbl[[#All],[$ CLASS PAY]])+  SUMIF(Dec_Period_2_Tbl[[#All],[STAFF:]],$A15,Dec_Period_2_Tbl[[#All],[$ CLASS PAY]]))</f>
        <v>0</v>
      </c>
      <c r="O15" s="191">
        <f>(SUMIF(Jan_Period_1_Tbl[[#All],[STAFF:]],$A15,Jan_Period_1_Tbl[[#All],[$ BONUS PAY]])+
SUMIF(Feb_Period_1_Tbl[[#All],[STAFF:]],$A15,Feb_Period_1_Tbl[[#All],[$ BONUS PAY]])+SUMIF(Mar_Period_1_Tbl[[#All],[STAFF:]],$A15,Mar_Period_1_Tbl[[#All],[$ BONUS PAY]])+SUMIF(Apr_Period_1_Tbl[[#All],[STAFF:]],$A15,Apr_Period_1_Tbl[[#All],[$ BONUS PAY]])+   SUMIF(May_Period_1_Tbl[[#All],[STAFF:]],$A15,May_Period_1_Tbl[[#All],[$ BONUS PAY]])+   SUMIF(Jun_Period_1_Tbl[[#All],[STAFF:]],$A15,Jun_Period_1_Tbl[[#All],[$ BONUS PAY]])+  SUMIF(Jul_Period_1_Tbl[[#All],[STAFF:]],$A15,Jul_Period_1_Tbl[[#All],[$ BONUS PAY]])+  SUMIF(Aug_Period_1_Tbl[[#All],[STAFF:]],$A15,Aug_Period_1_Tbl[[#All],[$ BONUS PAY]])+  SUMIF(Sep_Period_1_Tbl[[#All],[STAFF:]],$A15,Sep_Period_1_Tbl[[#All],[$ BONUS PAY]])+  SUMIF(Oct_Period_1_Tbl[[#All],[STAFF:]],$A15,Oct_Period_1_Tbl[[#All],[$ BONUS PAY]])+     SUMIF(Nov_Period_1_Tbl[[#All],[STAFF:]],$A15,Nov_Period_1_Tbl[[#All],[$ BONUS PAY]])+  SUMIF(Dec_Period_1_Tbl[[#All],[STAFF:]],$A15,Dec_Period_1_Tbl[[#All],[$ BONUS PAY]]))+   (SUMIF(Jan_Period_2_Tbl[[#All],[STAFF:]],$A15,Jan_Period_2_Tbl[[#All],[$ BONUS PAY]])+
SUMIF(Feb_Period_2_Tbl[[#All],[STAFF:]],$A15,Feb_Period_2_Tbl[[#All],[$ BONUS PAY]])+SUMIF(Mar_Period_2_Tbl[[#All],[STAFF:]],$A15,Mar_Period_2_Tbl[[#All],[$ BONUS PAY]])+SUMIF(Apr_Period_2_Tbl[[#All],[STAFF:]],$A15,Apr_Period_2_Tbl[[#All],[$ BONUS PAY]])+   SUMIF(May_Period_2_Tbl[[#All],[STAFF:]],$A15,May_Period_2_Tbl[[#All],[$ BONUS PAY]])+   SUMIF(Jun_Period_2_Tbl[[#All],[STAFF:]],$A15,Jun_Period_2_Tbl[[#All],[$ BONUS PAY]])+  SUMIF(Jul_Period_2_Tbl[[#All],[STAFF:]],$A15,Jul_Period_2_Tbl[[#All],[$ BONUS PAY]])+  SUMIF(Aug_Period_2_Tbl[[#All],[STAFF:]],$A15,Aug_Period_2_Tbl[[#All],[$ BONUS PAY]])+  SUMIF(Sep_Period_2_Tbl[[#All],[STAFF:]],$A15,Sep_Period_2_Tbl[[#All],[$ BONUS PAY]])+  SUMIF(Oct_Period_2_Tbl[[#All],[STAFF:]],$A15,Oct_Period_2_Tbl[[#All],[$ BONUS PAY]])+     SUMIF(Nov_Period_2_Tbl[[#All],[STAFF:]],$A15,Nov_Period_2_Tbl[[#All],[$ BONUS PAY]])+  SUMIF(Dec_Period_2_Tbl[[#All],[STAFF:]],$A15,Dec_Period_2_Tbl[[#All],[$ BONUS PAY]]))</f>
        <v>0</v>
      </c>
      <c r="P15" s="179">
        <f t="shared" si="0"/>
        <v>0</v>
      </c>
      <c r="Q15" s="149"/>
      <c r="R15" s="153">
        <f>(SUMIF(Jan_Period_1_Tbl[[#All],[STAFF:]],$A15,Jan_Period_1_Tbl[[#All],['# POINTS EARNED]])+
SUMIF(Feb_Period_1_Tbl[[#All],[STAFF:]],$A15,Feb_Period_1_Tbl[[#All],['# POINTS EARNED]])+SUMIF(Mar_Period_1_Tbl[[#All],[STAFF:]],$A15,Mar_Period_1_Tbl[[#All],['# POINTS EARNED]])+SUMIF(Apr_Period_1_Tbl[[#All],[STAFF:]],$A15,Apr_Period_1_Tbl[[#All],['# POINTS EARNED]])+   SUMIF(May_Period_1_Tbl[[#All],[STAFF:]],$A15,May_Period_1_Tbl[[#All],['# POINTS EARNED]])+   SUMIF(Jun_Period_1_Tbl[[#All],[STAFF:]],$A15,Jun_Period_1_Tbl[[#All],['# POINTS EARNED]])+  SUMIF(Jul_Period_1_Tbl[[#All],[STAFF:]],$A15,Jul_Period_1_Tbl[[#All],['# POINTS EARNED]])+  SUMIF(Aug_Period_1_Tbl[[#All],[STAFF:]],$A15,Aug_Period_1_Tbl[[#All],['# POINTS EARNED]])+  SUMIF(Sep_Period_1_Tbl[[#All],[STAFF:]],$A15,Sep_Period_1_Tbl[[#All],['# POINTS EARNED]])+  SUMIF(Oct_Period_1_Tbl[[#All],[STAFF:]],$A15,Oct_Period_1_Tbl[[#All],['# POINTS EARNED]])+     SUMIF(Nov_Period_1_Tbl[[#All],[STAFF:]],$A15,Nov_Period_1_Tbl[[#All],['# POINTS EARNED]])+  SUMIF(Dec_Period_1_Tbl[[#All],[STAFF:]],$A15,Dec_Period_1_Tbl[[#All],['# POINTS EARNED]]))+   (SUMIF(Jan_Period_2_Tbl[[#All],[STAFF:]],$A15,Jan_Period_2_Tbl[[#All],['# POINTS EARNED]])+
SUMIF(Feb_Period_2_Tbl[[#All],[STAFF:]],$A15,Feb_Period_2_Tbl[[#All],['# POINTS EARNED]])+SUMIF(Mar_Period_2_Tbl[[#All],[STAFF:]],$A15,Mar_Period_2_Tbl[[#All],['# POINTS EARNED]])+SUMIF(Apr_Period_2_Tbl[[#All],[STAFF:]],$A15,Apr_Period_2_Tbl[[#All],['# POINTS EARNED]])+   SUMIF(May_Period_2_Tbl[[#All],[STAFF:]],$A15,May_Period_2_Tbl[[#All],['# POINTS EARNED]])+   SUMIF(Jun_Period_2_Tbl[[#All],[STAFF:]],$A15,Jun_Period_2_Tbl[[#All],['# POINTS EARNED]])+  SUMIF(Jul_Period_2_Tbl[[#All],[STAFF:]],$A15,Jul_Period_2_Tbl[[#All],['# POINTS EARNED]])+  SUMIF(Aug_Period_2_Tbl[[#All],[STAFF:]],$A15,Aug_Period_2_Tbl[[#All],['# POINTS EARNED]])+  SUMIF(Sep_Period_2_Tbl[[#All],[STAFF:]],$A15,Sep_Period_2_Tbl[[#All],['# POINTS EARNED]])+  SUMIF(Oct_Period_2_Tbl[[#All],[STAFF:]],$A15,Oct_Period_2_Tbl[[#All],['# POINTS EARNED]])+     SUMIF(Nov_Period_2_Tbl[[#All],[STAFF:]],$A15,Nov_Period_2_Tbl[[#All],['# POINTS EARNED]])+  SUMIF(Dec_Period_2_Tbl[[#All],[STAFF:]],$A15,Dec_Period_2_Tbl[[#All],['# POINTS EARNED]]))</f>
        <v>0</v>
      </c>
      <c r="S15" s="153">
        <f>(SUMIF(Jan_Period_1_Tbl[[#All],[STAFF:]],$A15,Jan_Period_1_Tbl[[#All],['# POINTS USED]])+
SUMIF(Feb_Period_1_Tbl[[#All],[STAFF:]],$A15,Feb_Period_1_Tbl[[#All],['# POINTS USED]])+SUMIF(Mar_Period_1_Tbl[[#All],[STAFF:]],$A15,Mar_Period_1_Tbl[[#All],['# POINTS USED]])+SUMIF(Apr_Period_1_Tbl[[#All],[STAFF:]],$A15,Apr_Period_1_Tbl[[#All],['# POINTS USED]])+   SUMIF(May_Period_1_Tbl[[#All],[STAFF:]],$A15,May_Period_1_Tbl[[#All],['# POINTS USED]])+   SUMIF(Jun_Period_1_Tbl[[#All],[STAFF:]],$A15,Jun_Period_1_Tbl[[#All],['# POINTS USED]])+  SUMIF(Jul_Period_1_Tbl[[#All],[STAFF:]],$A15,Jul_Period_1_Tbl[[#All],['# POINTS USED]])+  SUMIF(Aug_Period_1_Tbl[[#All],[STAFF:]],$A15,Aug_Period_1_Tbl[[#All],['# POINTS USED]])+  SUMIF(Sep_Period_1_Tbl[[#All],[STAFF:]],$A15,Sep_Period_1_Tbl[[#All],['# POINTS USED]])+  SUMIF(Oct_Period_1_Tbl[[#All],[STAFF:]],$A15,Oct_Period_1_Tbl[[#All],['# POINTS USED]])+     SUMIF(Nov_Period_1_Tbl[[#All],[STAFF:]],$A15,Nov_Period_1_Tbl[[#All],['# POINTS USED]])+  SUMIF(Dec_Period_1_Tbl[[#All],[STAFF:]],$A15,Dec_Period_1_Tbl[[#All],['# POINTS USED]]))+   (SUMIF(Jan_Period_2_Tbl[[#All],[STAFF:]],$A15,Jan_Period_2_Tbl[[#All],['# POINTS USED]])+
SUMIF(Feb_Period_2_Tbl[[#All],[STAFF:]],$A15,Feb_Period_2_Tbl[[#All],['# POINTS USED]])+SUMIF(Mar_Period_2_Tbl[[#All],[STAFF:]],$A15,Mar_Period_2_Tbl[[#All],['# POINTS USED]])+SUMIF(Apr_Period_2_Tbl[[#All],[STAFF:]],$A15,Apr_Period_2_Tbl[[#All],['# POINTS USED]])+   SUMIF(May_Period_2_Tbl[[#All],[STAFF:]],$A15,May_Period_2_Tbl[[#All],['# POINTS USED]])+   SUMIF(Jun_Period_2_Tbl[[#All],[STAFF:]],$A15,Jun_Period_2_Tbl[[#All],['# POINTS USED]])+  SUMIF(Jul_Period_2_Tbl[[#All],[STAFF:]],$A15,Jul_Period_2_Tbl[[#All],['# POINTS USED]])+  SUMIF(Aug_Period_2_Tbl[[#All],[STAFF:]],$A15,Aug_Period_2_Tbl[[#All],['# POINTS USED]])+  SUMIF(Sep_Period_2_Tbl[[#All],[STAFF:]],$A15,Sep_Period_2_Tbl[[#All],['# POINTS USED]])+  SUMIF(Oct_Period_2_Tbl[[#All],[STAFF:]],$A15,Oct_Period_2_Tbl[[#All],['# POINTS USED]])+     SUMIF(Nov_Period_2_Tbl[[#All],[STAFF:]],$A15,Nov_Period_2_Tbl[[#All],['# POINTS USED]])+  SUMIF(Dec_Period_2_Tbl[[#All],[STAFF:]],$A15,Dec_Period_2_Tbl[[#All],['# POINTS USED]]))</f>
        <v>0</v>
      </c>
      <c r="T15" s="153">
        <f>(SUMIF(Jan_Period_1_Tbl[[#All],[STAFF:]],$A15,Jan_Period_1_Tbl[[#All],['# CLASSES LEAD]])+
SUMIF(Feb_Period_1_Tbl[[#All],[STAFF:]],$A15,Feb_Period_1_Tbl[[#All],['# CLASSES LEAD]])+SUMIF(Mar_Period_1_Tbl[[#All],[STAFF:]],$A15,Mar_Period_1_Tbl[[#All],['# CLASSES LEAD]])+SUMIF(Apr_Period_1_Tbl[[#All],[STAFF:]],$A15,Apr_Period_1_Tbl[[#All],['# CLASSES LEAD]])+   SUMIF(May_Period_1_Tbl[[#All],[STAFF:]],$A15,May_Period_1_Tbl[[#All],['# CLASSES LEAD]])+   SUMIF(Jun_Period_1_Tbl[[#All],[STAFF:]],$A15,Jun_Period_1_Tbl[[#All],['# CLASSES LEAD]])+  SUMIF(Jul_Period_1_Tbl[[#All],[STAFF:]],$A15,Jul_Period_1_Tbl[[#All],['# CLASSES LEAD]])+  SUMIF(Aug_Period_1_Tbl[[#All],[STAFF:]],$A15,Aug_Period_1_Tbl[[#All],['# CLASSES LEAD]])+  SUMIF(Sep_Period_1_Tbl[[#All],[STAFF:]],$A15,Sep_Period_1_Tbl[[#All],['# CLASSES LEAD]])+  SUMIF(Oct_Period_1_Tbl[[#All],[STAFF:]],$A15,Oct_Period_1_Tbl[[#All],['# CLASSES LEAD]])+     SUMIF(Nov_Period_1_Tbl[[#All],[STAFF:]],$A15,Nov_Period_1_Tbl[[#All],['# CLASSES LEAD]])+  SUMIF(Dec_Period_1_Tbl[[#All],[STAFF:]],$A15,Dec_Period_1_Tbl[[#All],['# CLASSES LEAD]]))+   (SUMIF(Jan_Period_2_Tbl[[#All],[STAFF:]],$A15,Jan_Period_2_Tbl[[#All],['# CLASSES LEAD]])+
SUMIF(Feb_Period_2_Tbl[[#All],[STAFF:]],$A15,Feb_Period_2_Tbl[[#All],['# CLASSES LEAD]])+SUMIF(Mar_Period_2_Tbl[[#All],[STAFF:]],$A15,Mar_Period_2_Tbl[[#All],['# CLASSES LEAD]])+SUMIF(Apr_Period_2_Tbl[[#All],[STAFF:]],$A15,Apr_Period_2_Tbl[[#All],['# CLASSES LEAD]])+   SUMIF(May_Period_2_Tbl[[#All],[STAFF:]],$A15,May_Period_2_Tbl[[#All],['# CLASSES LEAD]])+   SUMIF(Jun_Period_2_Tbl[[#All],[STAFF:]],$A15,Jun_Period_2_Tbl[[#All],['# CLASSES LEAD]])+  SUMIF(Jul_Period_2_Tbl[[#All],[STAFF:]],$A15,Jul_Period_2_Tbl[[#All],['# CLASSES LEAD]])+  SUMIF(Aug_Period_2_Tbl[[#All],[STAFF:]],$A15,Aug_Period_2_Tbl[[#All],['# CLASSES LEAD]])+  SUMIF(Sep_Period_2_Tbl[[#All],[STAFF:]],$A15,Sep_Period_2_Tbl[[#All],['# CLASSES LEAD]])+  SUMIF(Oct_Period_2_Tbl[[#All],[STAFF:]],$A15,Oct_Period_2_Tbl[[#All],['# CLASSES LEAD]])+     SUMIF(Nov_Period_2_Tbl[[#All],[STAFF:]],$A15,Nov_Period_2_Tbl[[#All],['# CLASSES LEAD]])+  SUMIF(Dec_Period_2_Tbl[[#All],[STAFF:]],$A15,Dec_Period_2_Tbl[[#All],['# CLASSES LEAD]]))</f>
        <v>0</v>
      </c>
      <c r="U15" s="153">
        <f>(SUMIF(Jan_Period_1_Tbl[[#All],[STAFF:]],$A15,Jan_Period_1_Tbl[[#All],['# CLASSES SHOW]])+
SUMIF(Feb_Period_1_Tbl[[#All],[STAFF:]],$A15,Feb_Period_1_Tbl[[#All],['# CLASSES SHOW]])+SUMIF(Mar_Period_1_Tbl[[#All],[STAFF:]],$A15,Mar_Period_1_Tbl[[#All],['# CLASSES SHOW]])+SUMIF(Apr_Period_1_Tbl[[#All],[STAFF:]],$A15,Apr_Period_1_Tbl[[#All],['# CLASSES SHOW]])+   SUMIF(May_Period_1_Tbl[[#All],[STAFF:]],$A15,May_Period_1_Tbl[[#All],['# CLASSES SHOW]])+   SUMIF(Jun_Period_1_Tbl[[#All],[STAFF:]],$A15,Jun_Period_1_Tbl[[#All],['# CLASSES SHOW]])+  SUMIF(Jul_Period_1_Tbl[[#All],[STAFF:]],$A15,Jul_Period_1_Tbl[[#All],['# CLASSES SHOW]])+  SUMIF(Aug_Period_1_Tbl[[#All],[STAFF:]],$A15,Aug_Period_1_Tbl[[#All],['# CLASSES SHOW]])+  SUMIF(Sep_Period_1_Tbl[[#All],[STAFF:]],$A15,Sep_Period_1_Tbl[[#All],['# CLASSES SHOW]])+  SUMIF(Oct_Period_1_Tbl[[#All],[STAFF:]],$A15,Oct_Period_1_Tbl[[#All],['# CLASSES SHOW]])+     SUMIF(Nov_Period_1_Tbl[[#All],[STAFF:]],$A15,Nov_Period_1_Tbl[[#All],['# CLASSES SHOW]])+  SUMIF(Dec_Period_1_Tbl[[#All],[STAFF:]],$A15,Dec_Period_1_Tbl[[#All],['# CLASSES SHOW]]))+   (SUMIF(Jan_Period_2_Tbl[[#All],[STAFF:]],$A15,Jan_Period_2_Tbl[[#All],['# CLASSES SHOW]])+
SUMIF(Feb_Period_2_Tbl[[#All],[STAFF:]],$A15,Feb_Period_2_Tbl[[#All],['# CLASSES SHOW]])+SUMIF(Mar_Period_2_Tbl[[#All],[STAFF:]],$A15,Mar_Period_2_Tbl[[#All],['# CLASSES SHOW]])+SUMIF(Apr_Period_2_Tbl[[#All],[STAFF:]],$A15,Apr_Period_2_Tbl[[#All],['# CLASSES SHOW]])+   SUMIF(May_Period_2_Tbl[[#All],[STAFF:]],$A15,May_Period_2_Tbl[[#All],['# CLASSES SHOW]])+   SUMIF(Jun_Period_2_Tbl[[#All],[STAFF:]],$A15,Jun_Period_2_Tbl[[#All],['# CLASSES SHOW]])+  SUMIF(Jul_Period_2_Tbl[[#All],[STAFF:]],$A15,Jul_Period_2_Tbl[[#All],['# CLASSES SHOW]])+  SUMIF(Aug_Period_2_Tbl[[#All],[STAFF:]],$A15,Aug_Period_2_Tbl[[#All],['# CLASSES SHOW]])+  SUMIF(Sep_Period_2_Tbl[[#All],[STAFF:]],$A15,Sep_Period_2_Tbl[[#All],['# CLASSES SHOW]])+  SUMIF(Oct_Period_2_Tbl[[#All],[STAFF:]],$A15,Oct_Period_2_Tbl[[#All],['# CLASSES SHOW]])+     SUMIF(Nov_Period_2_Tbl[[#All],[STAFF:]],$A15,Nov_Period_2_Tbl[[#All],['# CLASSES SHOW]])+  SUMIF(Dec_Period_2_Tbl[[#All],[STAFF:]],$A15,Dec_Period_2_Tbl[[#All],['# CLASSES SHOW]]))</f>
        <v>0</v>
      </c>
      <c r="V15" s="156"/>
      <c r="W15" s="156"/>
      <c r="X15" s="155">
        <f t="shared" si="1"/>
        <v>0</v>
      </c>
      <c r="Y15" s="155">
        <f t="shared" si="2"/>
        <v>0</v>
      </c>
      <c r="Z15" s="155">
        <f t="shared" si="3"/>
        <v>0</v>
      </c>
      <c r="AA15" s="155">
        <f t="shared" si="4"/>
        <v>0</v>
      </c>
      <c r="AB15" s="155">
        <f t="shared" si="5"/>
        <v>0</v>
      </c>
      <c r="AC15" s="155">
        <f t="shared" si="6"/>
        <v>0</v>
      </c>
      <c r="AD15" s="155">
        <f t="shared" si="7"/>
        <v>0</v>
      </c>
      <c r="AE15" s="149"/>
      <c r="AF15" s="149"/>
      <c r="AG15" s="149"/>
      <c r="AH15" s="149"/>
      <c r="AJ15" s="75" t="str">
        <f t="shared" si="8"/>
        <v>zBlank</v>
      </c>
      <c r="AK15" s="210"/>
      <c r="AL15" s="168">
        <f>IFERROR(VLOOKUP(B15,List!$A:$B,2,FALSE),-1)</f>
        <v>-1</v>
      </c>
      <c r="AM15" s="168">
        <f>IFERROR(VLOOKUP(C15,List!$A:$B,2,FALSE),-1)</f>
        <v>-1</v>
      </c>
    </row>
    <row r="16" spans="1:40" ht="15" hidden="1" customHeight="1" x14ac:dyDescent="0.25">
      <c r="A16" s="20"/>
      <c r="B16" s="186"/>
      <c r="C16" s="186"/>
      <c r="D16" s="187"/>
      <c r="E16" s="188">
        <f>(SUMIF(Jan_Period_1_Tbl[[#All],[STAFF:]],$A16,Jan_Period_1_Tbl[[#All],['# PTO USED]])+
SUMIF(Feb_Period_1_Tbl[[#All],[STAFF:]],$A16,Feb_Period_1_Tbl[[#All],['# PTO USED]])+SUMIF(Mar_Period_1_Tbl[[#All],[STAFF:]],$A16,Mar_Period_1_Tbl[[#All],['# PTO USED]])+SUMIF(Apr_Period_1_Tbl[[#All],[STAFF:]],$A16,Apr_Period_1_Tbl[[#All],['# PTO USED]])+   SUMIF(May_Period_1_Tbl[[#All],[STAFF:]],$A16,May_Period_1_Tbl[[#All],['# PTO USED]])+   SUMIF(Jun_Period_1_Tbl[[#All],[STAFF:]],$A16,Jun_Period_1_Tbl[[#All],['# PTO USED]])+  SUMIF(Jul_Period_1_Tbl[[#All],[STAFF:]],$A16,Jul_Period_1_Tbl[[#All],['# PTO USED]])+  SUMIF(Aug_Period_1_Tbl[[#All],[STAFF:]],$A16,Aug_Period_1_Tbl[[#All],['# PTO USED]])+  SUMIF(Sep_Period_1_Tbl[[#All],[STAFF:]],$A16,Sep_Period_1_Tbl[[#All],['# PTO USED]])+  SUMIF(Oct_Period_1_Tbl[[#All],[STAFF:]],$A16,Oct_Period_1_Tbl[[#All],['# PTO USED]])+     SUMIF(Nov_Period_1_Tbl[[#All],[STAFF:]],$A16,Nov_Period_1_Tbl[[#All],['# PTO USED]])+  SUMIF(Dec_Period_1_Tbl[[#All],[STAFF:]],$A16,Dec_Period_1_Tbl[[#All],['# PTO USED]]))+   (SUMIF(Jan_Period_2_Tbl[[#All],[STAFF:]],$A16,Jan_Period_2_Tbl[[#All],['# PTO USED]])+
SUMIF(Feb_Period_2_Tbl[[#All],[STAFF:]],$A16,Feb_Period_2_Tbl[[#All],['# PTO USED]])+SUMIF(Mar_Period_2_Tbl[[#All],[STAFF:]],$A16,Mar_Period_2_Tbl[[#All],['# PTO USED]])+SUMIF(Apr_Period_2_Tbl[[#All],[STAFF:]],$A16,Apr_Period_2_Tbl[[#All],['# PTO USED]])+   SUMIF(May_Period_2_Tbl[[#All],[STAFF:]],$A16,May_Period_2_Tbl[[#All],['# PTO USED]])+   SUMIF(Jun_Period_2_Tbl[[#All],[STAFF:]],$A16,Jun_Period_2_Tbl[[#All],['# PTO USED]])+  SUMIF(Jul_Period_2_Tbl[[#All],[STAFF:]],$A16,Jul_Period_2_Tbl[[#All],['# PTO USED]])+  SUMIF(Aug_Period_2_Tbl[[#All],[STAFF:]],$A16,Aug_Period_2_Tbl[[#All],['# PTO USED]])+  SUMIF(Sep_Period_2_Tbl[[#All],[STAFF:]],$A16,Sep_Period_2_Tbl[[#All],['# PTO USED]])+  SUMIF(Oct_Period_2_Tbl[[#All],[STAFF:]],$A16,Oct_Period_2_Tbl[[#All],['# PTO USED]])+     SUMIF(Nov_Period_2_Tbl[[#All],[STAFF:]],$A16,Nov_Period_2_Tbl[[#All],['# PTO USED]])+  SUMIF(Dec_Period_2_Tbl[[#All],[STAFF:]],$A16,Dec_Period_2_Tbl[[#All],['# PTO USED]]))</f>
        <v>0</v>
      </c>
      <c r="F16" s="189">
        <f>(SUMIF(Jan_Period_1_Tbl[[#All],[STAFF:]],$A16,Jan_Period_1_Tbl[[#All],['# HRS WORKED]])+
SUMIF(Feb_Period_1_Tbl[[#All],[STAFF:]],$A16,Feb_Period_1_Tbl[[#All],['# HRS WORKED]])+SUMIF(Mar_Period_1_Tbl[[#All],[STAFF:]],$A16,Mar_Period_1_Tbl[[#All],['# HRS WORKED]])+SUMIF(Apr_Period_1_Tbl[[#All],[STAFF:]],$A16,Apr_Period_1_Tbl[[#All],['# HRS WORKED]])+   SUMIF(May_Period_1_Tbl[[#All],[STAFF:]],$A16,May_Period_1_Tbl[[#All],['# HRS WORKED]])+   SUMIF(Jun_Period_1_Tbl[[#All],[STAFF:]],$A16,Jun_Period_1_Tbl[[#All],['# HRS WORKED]])+  SUMIF(Jul_Period_1_Tbl[[#All],[STAFF:]],$A16,Jul_Period_1_Tbl[[#All],['# HRS WORKED]])+  SUMIF(Aug_Period_1_Tbl[[#All],[STAFF:]],$A16,Aug_Period_1_Tbl[[#All],['# HRS WORKED]])+  SUMIF(Sep_Period_1_Tbl[[#All],[STAFF:]],$A16,Sep_Period_1_Tbl[[#All],['# HRS WORKED]])+  SUMIF(Oct_Period_1_Tbl[[#All],[STAFF:]],$A16,Oct_Period_1_Tbl[[#All],['# HRS WORKED]])+     SUMIF(Nov_Period_1_Tbl[[#All],[STAFF:]],$A16,Nov_Period_1_Tbl[[#All],['# HRS WORKED]])+  SUMIF(Dec_Period_1_Tbl[[#All],[STAFF:]],$A16,Dec_Period_1_Tbl[[#All],['# HRS WORKED]]))+   (SUMIF(Jan_Period_2_Tbl[[#All],[STAFF:]],$A16,Jan_Period_2_Tbl[[#All],['# HRS WORKED]])+
SUMIF(Feb_Period_2_Tbl[[#All],[STAFF:]],$A16,Feb_Period_2_Tbl[[#All],['# HRS WORKED]])+SUMIF(Mar_Period_2_Tbl[[#All],[STAFF:]],$A16,Mar_Period_2_Tbl[[#All],['# HRS WORKED]])+SUMIF(Apr_Period_2_Tbl[[#All],[STAFF:]],$A16,Apr_Period_2_Tbl[[#All],['# HRS WORKED]])+   SUMIF(May_Period_2_Tbl[[#All],[STAFF:]],$A16,May_Period_2_Tbl[[#All],['# HRS WORKED]])+   SUMIF(Jun_Period_2_Tbl[[#All],[STAFF:]],$A16,Jun_Period_2_Tbl[[#All],['# HRS WORKED]])+  SUMIF(Jul_Period_2_Tbl[[#All],[STAFF:]],$A16,Jul_Period_2_Tbl[[#All],['# HRS WORKED]])+  SUMIF(Aug_Period_2_Tbl[[#All],[STAFF:]],$A16,Aug_Period_2_Tbl[[#All],['# HRS WORKED]])+  SUMIF(Sep_Period_2_Tbl[[#All],[STAFF:]],$A16,Sep_Period_2_Tbl[[#All],['# HRS WORKED]])+  SUMIF(Oct_Period_2_Tbl[[#All],[STAFF:]],$A16,Oct_Period_2_Tbl[[#All],['# HRS WORKED]])+     SUMIF(Nov_Period_2_Tbl[[#All],[STAFF:]],$A16,Nov_Period_2_Tbl[[#All],['# HRS WORKED]])+  SUMIF(Dec_Period_2_Tbl[[#All],[STAFF:]],$A16,Dec_Period_2_Tbl[[#All],['# HRS WORKED]]))</f>
        <v>0</v>
      </c>
      <c r="G16" s="190">
        <f>(SUMIF(Jan_Period_1_Tbl[[#All],[STAFF:]],$A16,Jan_Period_1_Tbl[[#All],[$ Hourly WAGES]])+
SUMIF(Feb_Period_1_Tbl[[#All],[STAFF:]],$A16,Feb_Period_1_Tbl[[#All],[$ Hourly WAGES]])+SUMIF(Mar_Period_1_Tbl[[#All],[STAFF:]],$A16,Mar_Period_1_Tbl[[#All],[$ Hourly WAGES]])+SUMIF(Apr_Period_1_Tbl[[#All],[STAFF:]],$A16,Apr_Period_1_Tbl[[#All],[$ Hourly WAGES]])+   SUMIF(May_Period_1_Tbl[[#All],[STAFF:]],$A16,May_Period_1_Tbl[[#All],[$ Hourly WAGES]])+   SUMIF(Jun_Period_1_Tbl[[#All],[STAFF:]],$A16,Jun_Period_1_Tbl[[#All],[$ Hourly WAGES]])+  SUMIF(Jul_Period_1_Tbl[[#All],[STAFF:]],$A16,Jul_Period_1_Tbl[[#All],[$ Hourly WAGES]])+  SUMIF(Aug_Period_1_Tbl[[#All],[STAFF:]],$A16,Aug_Period_1_Tbl[[#All],[$ Hourly WAGES]])+  SUMIF(Sep_Period_1_Tbl[[#All],[STAFF:]],$A16,Sep_Period_1_Tbl[[#All],[$ Hourly WAGES]])+  SUMIF(Oct_Period_1_Tbl[[#All],[STAFF:]],$A16,Oct_Period_1_Tbl[[#All],[$ Hourly WAGES]])+     SUMIF(Nov_Period_1_Tbl[[#All],[STAFF:]],$A16,Nov_Period_1_Tbl[[#All],[$ Hourly WAGES]])+  SUMIF(Dec_Period_1_Tbl[[#All],[STAFF:]],$A16,Dec_Period_1_Tbl[[#All],[$ Hourly WAGES]]))+   (SUMIF(Jan_Period_2_Tbl[[#All],[STAFF:]],$A16,Jan_Period_2_Tbl[[#All],[$ Hourly WAGES]])+
SUMIF(Feb_Period_2_Tbl[[#All],[STAFF:]],$A16,Feb_Period_2_Tbl[[#All],[$ Hourly WAGES]])+SUMIF(Mar_Period_2_Tbl[[#All],[STAFF:]],$A16,Mar_Period_2_Tbl[[#All],[$ Hourly WAGES]])+SUMIF(Apr_Period_2_Tbl[[#All],[STAFF:]],$A16,Apr_Period_2_Tbl[[#All],[$ Hourly WAGES]])+   SUMIF(May_Period_2_Tbl[[#All],[STAFF:]],$A16,May_Period_2_Tbl[[#All],[$ Hourly WAGES]])+   SUMIF(Jun_Period_2_Tbl[[#All],[STAFF:]],$A16,Jun_Period_2_Tbl[[#All],[$ Hourly WAGES]])+  SUMIF(Jul_Period_2_Tbl[[#All],[STAFF:]],$A16,Jul_Period_2_Tbl[[#All],[$ Hourly WAGES]])+  SUMIF(Aug_Period_2_Tbl[[#All],[STAFF:]],$A16,Aug_Period_2_Tbl[[#All],[$ Hourly WAGES]])+  SUMIF(Sep_Period_2_Tbl[[#All],[STAFF:]],$A16,Sep_Period_2_Tbl[[#All],[$ Hourly WAGES]])+  SUMIF(Oct_Period_2_Tbl[[#All],[STAFF:]],$A16,Oct_Period_2_Tbl[[#All],[$ Hourly WAGES]])+     SUMIF(Nov_Period_2_Tbl[[#All],[STAFF:]],$A16,Nov_Period_2_Tbl[[#All],[$ Hourly WAGES]])+  SUMIF(Dec_Period_2_Tbl[[#All],[STAFF:]],$A16,Dec_Period_2_Tbl[[#All],[$ Hourly WAGES]]))</f>
        <v>0</v>
      </c>
      <c r="H16" s="190">
        <f>(SUMIF(Jan_Period_1_Tbl[[#All],[STAFF:]],$A16,Jan_Period_1_Tbl[[#All],[$ SALARY]])+
SUMIF(Feb_Period_1_Tbl[[#All],[STAFF:]],$A16,Feb_Period_1_Tbl[[#All],[$ SALARY]])+SUMIF(Mar_Period_1_Tbl[[#All],[STAFF:]],$A16,Mar_Period_1_Tbl[[#All],[$ SALARY]])+SUMIF(Apr_Period_1_Tbl[[#All],[STAFF:]],$A16,Apr_Period_1_Tbl[[#All],[$ SALARY]])+   SUMIF(May_Period_1_Tbl[[#All],[STAFF:]],$A16,May_Period_1_Tbl[[#All],[$ SALARY]])+   SUMIF(Jun_Period_1_Tbl[[#All],[STAFF:]],$A16,Jun_Period_1_Tbl[[#All],[$ SALARY]])+  SUMIF(Jul_Period_1_Tbl[[#All],[STAFF:]],$A16,Jul_Period_1_Tbl[[#All],[$ SALARY]])+  SUMIF(Aug_Period_1_Tbl[[#All],[STAFF:]],$A16,Aug_Period_1_Tbl[[#All],[$ SALARY]])+  SUMIF(Sep_Period_1_Tbl[[#All],[STAFF:]],$A16,Sep_Period_1_Tbl[[#All],[$ SALARY]])+  SUMIF(Oct_Period_1_Tbl[[#All],[STAFF:]],$A16,Oct_Period_1_Tbl[[#All],[$ SALARY]])+     SUMIF(Nov_Period_1_Tbl[[#All],[STAFF:]],$A16,Nov_Period_1_Tbl[[#All],[$ SALARY]])+  SUMIF(Dec_Period_1_Tbl[[#All],[STAFF:]],$A16,Dec_Period_1_Tbl[[#All],[$ SALARY]]))+   (SUMIF(Jan_Period_2_Tbl[[#All],[STAFF:]],$A16,Jan_Period_2_Tbl[[#All],[$ SALARY]])+
SUMIF(Feb_Period_2_Tbl[[#All],[STAFF:]],$A16,Feb_Period_2_Tbl[[#All],[$ SALARY]])+SUMIF(Mar_Period_2_Tbl[[#All],[STAFF:]],$A16,Mar_Period_2_Tbl[[#All],[$ SALARY]])+SUMIF(Apr_Period_2_Tbl[[#All],[STAFF:]],$A16,Apr_Period_2_Tbl[[#All],[$ SALARY]])+   SUMIF(May_Period_2_Tbl[[#All],[STAFF:]],$A16,May_Period_2_Tbl[[#All],[$ SALARY]])+   SUMIF(Jun_Period_2_Tbl[[#All],[STAFF:]],$A16,Jun_Period_2_Tbl[[#All],[$ SALARY]])+  SUMIF(Jul_Period_2_Tbl[[#All],[STAFF:]],$A16,Jul_Period_2_Tbl[[#All],[$ SALARY]])+  SUMIF(Aug_Period_2_Tbl[[#All],[STAFF:]],$A16,Aug_Period_2_Tbl[[#All],[$ SALARY]])+  SUMIF(Sep_Period_2_Tbl[[#All],[STAFF:]],$A16,Sep_Period_2_Tbl[[#All],[$ SALARY]])+  SUMIF(Oct_Period_2_Tbl[[#All],[STAFF:]],$A16,Oct_Period_2_Tbl[[#All],[$ SALARY]])+     SUMIF(Nov_Period_2_Tbl[[#All],[STAFF:]],$A16,Nov_Period_2_Tbl[[#All],[$ SALARY]])+  SUMIF(Dec_Period_2_Tbl[[#All],[STAFF:]],$A16,Dec_Period_2_Tbl[[#All],[$ SALARY]]))</f>
        <v>0</v>
      </c>
      <c r="I16" s="190">
        <f>(SUMIF(Jan_Period_1_Tbl[[#All],[STAFF:]],$A16,Jan_Period_1_Tbl[[#All],[$ SALARY PT]])+
SUMIF(Feb_Period_1_Tbl[[#All],[STAFF:]],$A16,Feb_Period_1_Tbl[[#All],[$ SALARY PT]])+SUMIF(Mar_Period_1_Tbl[[#All],[STAFF:]],$A16,Mar_Period_1_Tbl[[#All],[$ SALARY PT]])+SUMIF(Apr_Period_1_Tbl[[#All],[STAFF:]],$A16,Apr_Period_1_Tbl[[#All],[$ SALARY PT]])+   SUMIF(May_Period_1_Tbl[[#All],[STAFF:]],$A16,May_Period_1_Tbl[[#All],[$ SALARY PT]])+   SUMIF(Jun_Period_1_Tbl[[#All],[STAFF:]],$A16,Jun_Period_1_Tbl[[#All],[$ SALARY PT]])+  SUMIF(Jul_Period_1_Tbl[[#All],[STAFF:]],$A16,Jul_Period_1_Tbl[[#All],[$ SALARY PT]])+  SUMIF(Aug_Period_1_Tbl[[#All],[STAFF:]],$A16,Aug_Period_1_Tbl[[#All],[$ SALARY PT]])+  SUMIF(Sep_Period_1_Tbl[[#All],[STAFF:]],$A16,Sep_Period_1_Tbl[[#All],[$ SALARY PT]])+  SUMIF(Oct_Period_1_Tbl[[#All],[STAFF:]],$A16,Oct_Period_1_Tbl[[#All],[$ SALARY PT]])+     SUMIF(Nov_Period_1_Tbl[[#All],[STAFF:]],$A16,Nov_Period_1_Tbl[[#All],[$ SALARY PT]])+  SUMIF(Dec_Period_1_Tbl[[#All],[STAFF:]],$A16,Dec_Period_1_Tbl[[#All],[$ SALARY PT]]))+   (SUMIF(Jan_Period_2_Tbl[[#All],[STAFF:]],$A16,Jan_Period_2_Tbl[[#All],[$ SALARY PT]])+
SUMIF(Feb_Period_2_Tbl[[#All],[STAFF:]],$A16,Feb_Period_2_Tbl[[#All],[$ SALARY PT]])+SUMIF(Mar_Period_2_Tbl[[#All],[STAFF:]],$A16,Mar_Period_2_Tbl[[#All],[$ SALARY PT]])+SUMIF(Apr_Period_2_Tbl[[#All],[STAFF:]],$A16,Apr_Period_2_Tbl[[#All],[$ SALARY PT]])+   SUMIF(May_Period_2_Tbl[[#All],[STAFF:]],$A16,May_Period_2_Tbl[[#All],[$ SALARY PT]])+   SUMIF(Jun_Period_2_Tbl[[#All],[STAFF:]],$A16,Jun_Period_2_Tbl[[#All],[$ SALARY PT]])+  SUMIF(Jul_Period_2_Tbl[[#All],[STAFF:]],$A16,Jul_Period_2_Tbl[[#All],[$ SALARY PT]])+  SUMIF(Aug_Period_2_Tbl[[#All],[STAFF:]],$A16,Aug_Period_2_Tbl[[#All],[$ SALARY PT]])+  SUMIF(Sep_Period_2_Tbl[[#All],[STAFF:]],$A16,Sep_Period_2_Tbl[[#All],[$ SALARY PT]])+  SUMIF(Oct_Period_2_Tbl[[#All],[STAFF:]],$A16,Oct_Period_2_Tbl[[#All],[$ SALARY PT]])+     SUMIF(Nov_Period_2_Tbl[[#All],[STAFF:]],$A16,Nov_Period_2_Tbl[[#All],[$ SALARY PT]])+  SUMIF(Dec_Period_2_Tbl[[#All],[STAFF:]],$A16,Dec_Period_2_Tbl[[#All],[$ SALARY PT]]))</f>
        <v>0</v>
      </c>
      <c r="J16" s="190">
        <f>(SUMIF(Jan_Period_1_Tbl[[#All],[STAFF:]],$A16,Jan_Period_1_Tbl[[#All],[$ FREE PT]])+
SUMIF(Feb_Period_1_Tbl[[#All],[STAFF:]],$A16,Feb_Period_1_Tbl[[#All],[$ FREE PT]])+SUMIF(Mar_Period_1_Tbl[[#All],[STAFF:]],$A16,Mar_Period_1_Tbl[[#All],[$ FREE PT]])+SUMIF(Apr_Period_1_Tbl[[#All],[STAFF:]],$A16,Apr_Period_1_Tbl[[#All],[$ FREE PT]])+   SUMIF(May_Period_1_Tbl[[#All],[STAFF:]],$A16,May_Period_1_Tbl[[#All],[$ FREE PT]])+   SUMIF(Jun_Period_1_Tbl[[#All],[STAFF:]],$A16,Jun_Period_1_Tbl[[#All],[$ FREE PT]])+  SUMIF(Jul_Period_1_Tbl[[#All],[STAFF:]],$A16,Jul_Period_1_Tbl[[#All],[$ FREE PT]])+  SUMIF(Aug_Period_1_Tbl[[#All],[STAFF:]],$A16,Aug_Period_1_Tbl[[#All],[$ FREE PT]])+  SUMIF(Sep_Period_1_Tbl[[#All],[STAFF:]],$A16,Sep_Period_1_Tbl[[#All],[$ FREE PT]])+  SUMIF(Oct_Period_1_Tbl[[#All],[STAFF:]],$A16,Oct_Period_1_Tbl[[#All],[$ FREE PT]])+     SUMIF(Nov_Period_1_Tbl[[#All],[STAFF:]],$A16,Nov_Period_1_Tbl[[#All],[$ FREE PT]])+  SUMIF(Dec_Period_1_Tbl[[#All],[STAFF:]],$A16,Dec_Period_1_Tbl[[#All],[$ FREE PT]]))+   (SUMIF(Jan_Period_2_Tbl[[#All],[STAFF:]],$A16,Jan_Period_2_Tbl[[#All],[$ FREE PT]])+
SUMIF(Feb_Period_2_Tbl[[#All],[STAFF:]],$A16,Feb_Period_2_Tbl[[#All],[$ FREE PT]])+SUMIF(Mar_Period_2_Tbl[[#All],[STAFF:]],$A16,Mar_Period_2_Tbl[[#All],[$ FREE PT]])+SUMIF(Apr_Period_2_Tbl[[#All],[STAFF:]],$A16,Apr_Period_2_Tbl[[#All],[$ FREE PT]])+   SUMIF(May_Period_2_Tbl[[#All],[STAFF:]],$A16,May_Period_2_Tbl[[#All],[$ FREE PT]])+   SUMIF(Jun_Period_2_Tbl[[#All],[STAFF:]],$A16,Jun_Period_2_Tbl[[#All],[$ FREE PT]])+  SUMIF(Jul_Period_2_Tbl[[#All],[STAFF:]],$A16,Jul_Period_2_Tbl[[#All],[$ FREE PT]])+  SUMIF(Aug_Period_2_Tbl[[#All],[STAFF:]],$A16,Aug_Period_2_Tbl[[#All],[$ FREE PT]])+  SUMIF(Sep_Period_2_Tbl[[#All],[STAFF:]],$A16,Sep_Period_2_Tbl[[#All],[$ FREE PT]])+  SUMIF(Oct_Period_2_Tbl[[#All],[STAFF:]],$A16,Oct_Period_2_Tbl[[#All],[$ FREE PT]])+     SUMIF(Nov_Period_2_Tbl[[#All],[STAFF:]],$A16,Nov_Period_2_Tbl[[#All],[$ FREE PT]])+  SUMIF(Dec_Period_2_Tbl[[#All],[STAFF:]],$A16,Dec_Period_2_Tbl[[#All],[$ FREE PT]]))</f>
        <v>0</v>
      </c>
      <c r="K16" s="190">
        <f>(SUMIF(Jan_Period_1_Tbl[[#All],[STAFF:]],$A16,Jan_Period_1_Tbl[[#All],[$ PAID PT]])+
SUMIF(Feb_Period_1_Tbl[[#All],[STAFF:]],$A16,Feb_Period_1_Tbl[[#All],[$ PAID PT]])+SUMIF(Mar_Period_1_Tbl[[#All],[STAFF:]],$A16,Mar_Period_1_Tbl[[#All],[$ PAID PT]])+SUMIF(Apr_Period_1_Tbl[[#All],[STAFF:]],$A16,Apr_Period_1_Tbl[[#All],[$ PAID PT]])+   SUMIF(May_Period_1_Tbl[[#All],[STAFF:]],$A16,May_Period_1_Tbl[[#All],[$ PAID PT]])+   SUMIF(Jun_Period_1_Tbl[[#All],[STAFF:]],$A16,Jun_Period_1_Tbl[[#All],[$ PAID PT]])+  SUMIF(Jul_Period_1_Tbl[[#All],[STAFF:]],$A16,Jul_Period_1_Tbl[[#All],[$ PAID PT]])+  SUMIF(Aug_Period_1_Tbl[[#All],[STAFF:]],$A16,Aug_Period_1_Tbl[[#All],[$ PAID PT]])+  SUMIF(Sep_Period_1_Tbl[[#All],[STAFF:]],$A16,Sep_Period_1_Tbl[[#All],[$ PAID PT]])+  SUMIF(Oct_Period_1_Tbl[[#All],[STAFF:]],$A16,Oct_Period_1_Tbl[[#All],[$ PAID PT]])+     SUMIF(Nov_Period_1_Tbl[[#All],[STAFF:]],$A16,Nov_Period_1_Tbl[[#All],[$ PAID PT]])+  SUMIF(Dec_Period_1_Tbl[[#All],[STAFF:]],$A16,Dec_Period_1_Tbl[[#All],[$ PAID PT]]))+   (SUMIF(Jan_Period_2_Tbl[[#All],[STAFF:]],$A16,Jan_Period_2_Tbl[[#All],[$ PAID PT]])+
SUMIF(Feb_Period_2_Tbl[[#All],[STAFF:]],$A16,Feb_Period_2_Tbl[[#All],[$ PAID PT]])+SUMIF(Mar_Period_2_Tbl[[#All],[STAFF:]],$A16,Mar_Period_2_Tbl[[#All],[$ PAID PT]])+SUMIF(Apr_Period_2_Tbl[[#All],[STAFF:]],$A16,Apr_Period_2_Tbl[[#All],[$ PAID PT]])+   SUMIF(May_Period_2_Tbl[[#All],[STAFF:]],$A16,May_Period_2_Tbl[[#All],[$ PAID PT]])+   SUMIF(Jun_Period_2_Tbl[[#All],[STAFF:]],$A16,Jun_Period_2_Tbl[[#All],[$ PAID PT]])+  SUMIF(Jul_Period_2_Tbl[[#All],[STAFF:]],$A16,Jul_Period_2_Tbl[[#All],[$ PAID PT]])+  SUMIF(Aug_Period_2_Tbl[[#All],[STAFF:]],$A16,Aug_Period_2_Tbl[[#All],[$ PAID PT]])+  SUMIF(Sep_Period_2_Tbl[[#All],[STAFF:]],$A16,Sep_Period_2_Tbl[[#All],[$ PAID PT]])+  SUMIF(Oct_Period_2_Tbl[[#All],[STAFF:]],$A16,Oct_Period_2_Tbl[[#All],[$ PAID PT]])+     SUMIF(Nov_Period_2_Tbl[[#All],[STAFF:]],$A16,Nov_Period_2_Tbl[[#All],[$ PAID PT]])+  SUMIF(Dec_Period_2_Tbl[[#All],[STAFF:]],$A16,Dec_Period_2_Tbl[[#All],[$ PAID PT]]))</f>
        <v>0</v>
      </c>
      <c r="L16" s="190">
        <f>(SUMIF(Jan_Period_1_Tbl[[#All],[STAFF:]],$A16,Jan_Period_1_Tbl[[#All],[$ PT COMM]])+
SUMIF(Feb_Period_1_Tbl[[#All],[STAFF:]],$A16,Feb_Period_1_Tbl[[#All],[$ PT COMM]])+SUMIF(Mar_Period_1_Tbl[[#All],[STAFF:]],$A16,Mar_Period_1_Tbl[[#All],[$ PT COMM]])+SUMIF(Apr_Period_1_Tbl[[#All],[STAFF:]],$A16,Apr_Period_1_Tbl[[#All],[$ PT COMM]])+   SUMIF(May_Period_1_Tbl[[#All],[STAFF:]],$A16,May_Period_1_Tbl[[#All],[$ PT COMM]])+   SUMIF(Jun_Period_1_Tbl[[#All],[STAFF:]],$A16,Jun_Period_1_Tbl[[#All],[$ PT COMM]])+  SUMIF(Jul_Period_1_Tbl[[#All],[STAFF:]],$A16,Jul_Period_1_Tbl[[#All],[$ PT COMM]])+  SUMIF(Aug_Period_1_Tbl[[#All],[STAFF:]],$A16,Aug_Period_1_Tbl[[#All],[$ PT COMM]])+  SUMIF(Sep_Period_1_Tbl[[#All],[STAFF:]],$A16,Sep_Period_1_Tbl[[#All],[$ PT COMM]])+  SUMIF(Oct_Period_1_Tbl[[#All],[STAFF:]],$A16,Oct_Period_1_Tbl[[#All],[$ PT COMM]])+     SUMIF(Nov_Period_1_Tbl[[#All],[STAFF:]],$A16,Nov_Period_1_Tbl[[#All],[$ PT COMM]])+  SUMIF(Dec_Period_1_Tbl[[#All],[STAFF:]],$A16,Dec_Period_1_Tbl[[#All],[$ PT COMM]]))+   (SUMIF(Jan_Period_2_Tbl[[#All],[STAFF:]],$A16,Jan_Period_2_Tbl[[#All],[$ PT COMM]])+
SUMIF(Feb_Period_2_Tbl[[#All],[STAFF:]],$A16,Feb_Period_2_Tbl[[#All],[$ PT COMM]])+SUMIF(Mar_Period_2_Tbl[[#All],[STAFF:]],$A16,Mar_Period_2_Tbl[[#All],[$ PT COMM]])+SUMIF(Apr_Period_2_Tbl[[#All],[STAFF:]],$A16,Apr_Period_2_Tbl[[#All],[$ PT COMM]])+   SUMIF(May_Period_2_Tbl[[#All],[STAFF:]],$A16,May_Period_2_Tbl[[#All],[$ PT COMM]])+   SUMIF(Jun_Period_2_Tbl[[#All],[STAFF:]],$A16,Jun_Period_2_Tbl[[#All],[$ PT COMM]])+  SUMIF(Jul_Period_2_Tbl[[#All],[STAFF:]],$A16,Jul_Period_2_Tbl[[#All],[$ PT COMM]])+  SUMIF(Aug_Period_2_Tbl[[#All],[STAFF:]],$A16,Aug_Period_2_Tbl[[#All],[$ PT COMM]])+  SUMIF(Sep_Period_2_Tbl[[#All],[STAFF:]],$A16,Sep_Period_2_Tbl[[#All],[$ PT COMM]])+  SUMIF(Oct_Period_2_Tbl[[#All],[STAFF:]],$A16,Oct_Period_2_Tbl[[#All],[$ PT COMM]])+     SUMIF(Nov_Period_2_Tbl[[#All],[STAFF:]],$A16,Nov_Period_2_Tbl[[#All],[$ PT COMM]])+  SUMIF(Dec_Period_2_Tbl[[#All],[STAFF:]],$A16,Dec_Period_2_Tbl[[#All],[$ PT COMM]]))</f>
        <v>0</v>
      </c>
      <c r="M16" s="190">
        <f>(SUMIF(Jan_Period_1_Tbl[[#All],[STAFF:]],$A16,Jan_Period_1_Tbl[[#All],[$ EFT COMM]])+
SUMIF(Feb_Period_1_Tbl[[#All],[STAFF:]],$A16,Feb_Period_1_Tbl[[#All],[$ EFT COMM]])+SUMIF(Mar_Period_1_Tbl[[#All],[STAFF:]],$A16,Mar_Period_1_Tbl[[#All],[$ EFT COMM]])+SUMIF(Apr_Period_1_Tbl[[#All],[STAFF:]],$A16,Apr_Period_1_Tbl[[#All],[$ EFT COMM]])+   SUMIF(May_Period_1_Tbl[[#All],[STAFF:]],$A16,May_Period_1_Tbl[[#All],[$ EFT COMM]])+   SUMIF(Jun_Period_1_Tbl[[#All],[STAFF:]],$A16,Jun_Period_1_Tbl[[#All],[$ EFT COMM]])+  SUMIF(Jul_Period_1_Tbl[[#All],[STAFF:]],$A16,Jul_Period_1_Tbl[[#All],[$ EFT COMM]])+  SUMIF(Aug_Period_1_Tbl[[#All],[STAFF:]],$A16,Aug_Period_1_Tbl[[#All],[$ EFT COMM]])+  SUMIF(Sep_Period_1_Tbl[[#All],[STAFF:]],$A16,Sep_Period_1_Tbl[[#All],[$ EFT COMM]])+  SUMIF(Oct_Period_1_Tbl[[#All],[STAFF:]],$A16,Oct_Period_1_Tbl[[#All],[$ EFT COMM]])+     SUMIF(Nov_Period_1_Tbl[[#All],[STAFF:]],$A16,Nov_Period_1_Tbl[[#All],[$ EFT COMM]])+  SUMIF(Dec_Period_1_Tbl[[#All],[STAFF:]],$A16,Dec_Period_1_Tbl[[#All],[$ EFT COMM]]))+   (SUMIF(Jan_Period_2_Tbl[[#All],[STAFF:]],$A16,Jan_Period_2_Tbl[[#All],[$ EFT COMM]])+
SUMIF(Feb_Period_2_Tbl[[#All],[STAFF:]],$A16,Feb_Period_2_Tbl[[#All],[$ EFT COMM]])+SUMIF(Mar_Period_2_Tbl[[#All],[STAFF:]],$A16,Mar_Period_2_Tbl[[#All],[$ EFT COMM]])+SUMIF(Apr_Period_2_Tbl[[#All],[STAFF:]],$A16,Apr_Period_2_Tbl[[#All],[$ EFT COMM]])+   SUMIF(May_Period_2_Tbl[[#All],[STAFF:]],$A16,May_Period_2_Tbl[[#All],[$ EFT COMM]])+   SUMIF(Jun_Period_2_Tbl[[#All],[STAFF:]],$A16,Jun_Period_2_Tbl[[#All],[$ EFT COMM]])+  SUMIF(Jul_Period_2_Tbl[[#All],[STAFF:]],$A16,Jul_Period_2_Tbl[[#All],[$ EFT COMM]])+  SUMIF(Aug_Period_2_Tbl[[#All],[STAFF:]],$A16,Aug_Period_2_Tbl[[#All],[$ EFT COMM]])+  SUMIF(Sep_Period_2_Tbl[[#All],[STAFF:]],$A16,Sep_Period_2_Tbl[[#All],[$ EFT COMM]])+  SUMIF(Oct_Period_2_Tbl[[#All],[STAFF:]],$A16,Oct_Period_2_Tbl[[#All],[$ EFT COMM]])+     SUMIF(Nov_Period_2_Tbl[[#All],[STAFF:]],$A16,Nov_Period_2_Tbl[[#All],[$ EFT COMM]])+  SUMIF(Dec_Period_2_Tbl[[#All],[STAFF:]],$A16,Dec_Period_2_Tbl[[#All],[$ EFT COMM]]))</f>
        <v>0</v>
      </c>
      <c r="N16" s="190">
        <f>(SUMIF(Jan_Period_1_Tbl[[#All],[STAFF:]],$A16,Jan_Period_1_Tbl[[#All],[$ CLASS PAY]])+
SUMIF(Feb_Period_1_Tbl[[#All],[STAFF:]],$A16,Feb_Period_1_Tbl[[#All],[$ CLASS PAY]])+SUMIF(Mar_Period_1_Tbl[[#All],[STAFF:]],$A16,Mar_Period_1_Tbl[[#All],[$ CLASS PAY]])+SUMIF(Apr_Period_1_Tbl[[#All],[STAFF:]],$A16,Apr_Period_1_Tbl[[#All],[$ CLASS PAY]])+   SUMIF(May_Period_1_Tbl[[#All],[STAFF:]],$A16,May_Period_1_Tbl[[#All],[$ CLASS PAY]])+   SUMIF(Jun_Period_1_Tbl[[#All],[STAFF:]],$A16,Jun_Period_1_Tbl[[#All],[$ CLASS PAY]])+  SUMIF(Jul_Period_1_Tbl[[#All],[STAFF:]],$A16,Jul_Period_1_Tbl[[#All],[$ CLASS PAY]])+  SUMIF(Aug_Period_1_Tbl[[#All],[STAFF:]],$A16,Aug_Period_1_Tbl[[#All],[$ CLASS PAY]])+  SUMIF(Sep_Period_1_Tbl[[#All],[STAFF:]],$A16,Sep_Period_1_Tbl[[#All],[$ CLASS PAY]])+  SUMIF(Oct_Period_1_Tbl[[#All],[STAFF:]],$A16,Oct_Period_1_Tbl[[#All],[$ CLASS PAY]])+     SUMIF(Nov_Period_1_Tbl[[#All],[STAFF:]],$A16,Nov_Period_1_Tbl[[#All],[$ CLASS PAY]])+  SUMIF(Dec_Period_1_Tbl[[#All],[STAFF:]],$A16,Dec_Period_1_Tbl[[#All],[$ CLASS PAY]]))+   (SUMIF(Jan_Period_2_Tbl[[#All],[STAFF:]],$A16,Jan_Period_2_Tbl[[#All],[$ CLASS PAY]])+
SUMIF(Feb_Period_2_Tbl[[#All],[STAFF:]],$A16,Feb_Period_2_Tbl[[#All],[$ CLASS PAY]])+SUMIF(Mar_Period_2_Tbl[[#All],[STAFF:]],$A16,Mar_Period_2_Tbl[[#All],[$ CLASS PAY]])+SUMIF(Apr_Period_2_Tbl[[#All],[STAFF:]],$A16,Apr_Period_2_Tbl[[#All],[$ CLASS PAY]])+   SUMIF(May_Period_2_Tbl[[#All],[STAFF:]],$A16,May_Period_2_Tbl[[#All],[$ CLASS PAY]])+   SUMIF(Jun_Period_2_Tbl[[#All],[STAFF:]],$A16,Jun_Period_2_Tbl[[#All],[$ CLASS PAY]])+  SUMIF(Jul_Period_2_Tbl[[#All],[STAFF:]],$A16,Jul_Period_2_Tbl[[#All],[$ CLASS PAY]])+  SUMIF(Aug_Period_2_Tbl[[#All],[STAFF:]],$A16,Aug_Period_2_Tbl[[#All],[$ CLASS PAY]])+  SUMIF(Sep_Period_2_Tbl[[#All],[STAFF:]],$A16,Sep_Period_2_Tbl[[#All],[$ CLASS PAY]])+  SUMIF(Oct_Period_2_Tbl[[#All],[STAFF:]],$A16,Oct_Period_2_Tbl[[#All],[$ CLASS PAY]])+     SUMIF(Nov_Period_2_Tbl[[#All],[STAFF:]],$A16,Nov_Period_2_Tbl[[#All],[$ CLASS PAY]])+  SUMIF(Dec_Period_2_Tbl[[#All],[STAFF:]],$A16,Dec_Period_2_Tbl[[#All],[$ CLASS PAY]]))</f>
        <v>0</v>
      </c>
      <c r="O16" s="191">
        <f>(SUMIF(Jan_Period_1_Tbl[[#All],[STAFF:]],$A16,Jan_Period_1_Tbl[[#All],[$ BONUS PAY]])+
SUMIF(Feb_Period_1_Tbl[[#All],[STAFF:]],$A16,Feb_Period_1_Tbl[[#All],[$ BONUS PAY]])+SUMIF(Mar_Period_1_Tbl[[#All],[STAFF:]],$A16,Mar_Period_1_Tbl[[#All],[$ BONUS PAY]])+SUMIF(Apr_Period_1_Tbl[[#All],[STAFF:]],$A16,Apr_Period_1_Tbl[[#All],[$ BONUS PAY]])+   SUMIF(May_Period_1_Tbl[[#All],[STAFF:]],$A16,May_Period_1_Tbl[[#All],[$ BONUS PAY]])+   SUMIF(Jun_Period_1_Tbl[[#All],[STAFF:]],$A16,Jun_Period_1_Tbl[[#All],[$ BONUS PAY]])+  SUMIF(Jul_Period_1_Tbl[[#All],[STAFF:]],$A16,Jul_Period_1_Tbl[[#All],[$ BONUS PAY]])+  SUMIF(Aug_Period_1_Tbl[[#All],[STAFF:]],$A16,Aug_Period_1_Tbl[[#All],[$ BONUS PAY]])+  SUMIF(Sep_Period_1_Tbl[[#All],[STAFF:]],$A16,Sep_Period_1_Tbl[[#All],[$ BONUS PAY]])+  SUMIF(Oct_Period_1_Tbl[[#All],[STAFF:]],$A16,Oct_Period_1_Tbl[[#All],[$ BONUS PAY]])+     SUMIF(Nov_Period_1_Tbl[[#All],[STAFF:]],$A16,Nov_Period_1_Tbl[[#All],[$ BONUS PAY]])+  SUMIF(Dec_Period_1_Tbl[[#All],[STAFF:]],$A16,Dec_Period_1_Tbl[[#All],[$ BONUS PAY]]))+   (SUMIF(Jan_Period_2_Tbl[[#All],[STAFF:]],$A16,Jan_Period_2_Tbl[[#All],[$ BONUS PAY]])+
SUMIF(Feb_Period_2_Tbl[[#All],[STAFF:]],$A16,Feb_Period_2_Tbl[[#All],[$ BONUS PAY]])+SUMIF(Mar_Period_2_Tbl[[#All],[STAFF:]],$A16,Mar_Period_2_Tbl[[#All],[$ BONUS PAY]])+SUMIF(Apr_Period_2_Tbl[[#All],[STAFF:]],$A16,Apr_Period_2_Tbl[[#All],[$ BONUS PAY]])+   SUMIF(May_Period_2_Tbl[[#All],[STAFF:]],$A16,May_Period_2_Tbl[[#All],[$ BONUS PAY]])+   SUMIF(Jun_Period_2_Tbl[[#All],[STAFF:]],$A16,Jun_Period_2_Tbl[[#All],[$ BONUS PAY]])+  SUMIF(Jul_Period_2_Tbl[[#All],[STAFF:]],$A16,Jul_Period_2_Tbl[[#All],[$ BONUS PAY]])+  SUMIF(Aug_Period_2_Tbl[[#All],[STAFF:]],$A16,Aug_Period_2_Tbl[[#All],[$ BONUS PAY]])+  SUMIF(Sep_Period_2_Tbl[[#All],[STAFF:]],$A16,Sep_Period_2_Tbl[[#All],[$ BONUS PAY]])+  SUMIF(Oct_Period_2_Tbl[[#All],[STAFF:]],$A16,Oct_Period_2_Tbl[[#All],[$ BONUS PAY]])+     SUMIF(Nov_Period_2_Tbl[[#All],[STAFF:]],$A16,Nov_Period_2_Tbl[[#All],[$ BONUS PAY]])+  SUMIF(Dec_Period_2_Tbl[[#All],[STAFF:]],$A16,Dec_Period_2_Tbl[[#All],[$ BONUS PAY]]))</f>
        <v>0</v>
      </c>
      <c r="P16" s="179">
        <f t="shared" si="0"/>
        <v>0</v>
      </c>
      <c r="Q16" s="149"/>
      <c r="R16" s="152">
        <f>(SUMIF(Jan_Period_1_Tbl[[#All],[STAFF:]],$A16,Jan_Period_1_Tbl[[#All],['# POINTS EARNED]])+
SUMIF(Feb_Period_1_Tbl[[#All],[STAFF:]],$A16,Feb_Period_1_Tbl[[#All],['# POINTS EARNED]])+SUMIF(Mar_Period_1_Tbl[[#All],[STAFF:]],$A16,Mar_Period_1_Tbl[[#All],['# POINTS EARNED]])+SUMIF(Apr_Period_1_Tbl[[#All],[STAFF:]],$A16,Apr_Period_1_Tbl[[#All],['# POINTS EARNED]])+   SUMIF(May_Period_1_Tbl[[#All],[STAFF:]],$A16,May_Period_1_Tbl[[#All],['# POINTS EARNED]])+   SUMIF(Jun_Period_1_Tbl[[#All],[STAFF:]],$A16,Jun_Period_1_Tbl[[#All],['# POINTS EARNED]])+  SUMIF(Jul_Period_1_Tbl[[#All],[STAFF:]],$A16,Jul_Period_1_Tbl[[#All],['# POINTS EARNED]])+  SUMIF(Aug_Period_1_Tbl[[#All],[STAFF:]],$A16,Aug_Period_1_Tbl[[#All],['# POINTS EARNED]])+  SUMIF(Sep_Period_1_Tbl[[#All],[STAFF:]],$A16,Sep_Period_1_Tbl[[#All],['# POINTS EARNED]])+  SUMIF(Oct_Period_1_Tbl[[#All],[STAFF:]],$A16,Oct_Period_1_Tbl[[#All],['# POINTS EARNED]])+     SUMIF(Nov_Period_1_Tbl[[#All],[STAFF:]],$A16,Nov_Period_1_Tbl[[#All],['# POINTS EARNED]])+  SUMIF(Dec_Period_1_Tbl[[#All],[STAFF:]],$A16,Dec_Period_1_Tbl[[#All],['# POINTS EARNED]]))+   (SUMIF(Jan_Period_2_Tbl[[#All],[STAFF:]],$A16,Jan_Period_2_Tbl[[#All],['# POINTS EARNED]])+
SUMIF(Feb_Period_2_Tbl[[#All],[STAFF:]],$A16,Feb_Period_2_Tbl[[#All],['# POINTS EARNED]])+SUMIF(Mar_Period_2_Tbl[[#All],[STAFF:]],$A16,Mar_Period_2_Tbl[[#All],['# POINTS EARNED]])+SUMIF(Apr_Period_2_Tbl[[#All],[STAFF:]],$A16,Apr_Period_2_Tbl[[#All],['# POINTS EARNED]])+   SUMIF(May_Period_2_Tbl[[#All],[STAFF:]],$A16,May_Period_2_Tbl[[#All],['# POINTS EARNED]])+   SUMIF(Jun_Period_2_Tbl[[#All],[STAFF:]],$A16,Jun_Period_2_Tbl[[#All],['# POINTS EARNED]])+  SUMIF(Jul_Period_2_Tbl[[#All],[STAFF:]],$A16,Jul_Period_2_Tbl[[#All],['# POINTS EARNED]])+  SUMIF(Aug_Period_2_Tbl[[#All],[STAFF:]],$A16,Aug_Period_2_Tbl[[#All],['# POINTS EARNED]])+  SUMIF(Sep_Period_2_Tbl[[#All],[STAFF:]],$A16,Sep_Period_2_Tbl[[#All],['# POINTS EARNED]])+  SUMIF(Oct_Period_2_Tbl[[#All],[STAFF:]],$A16,Oct_Period_2_Tbl[[#All],['# POINTS EARNED]])+     SUMIF(Nov_Period_2_Tbl[[#All],[STAFF:]],$A16,Nov_Period_2_Tbl[[#All],['# POINTS EARNED]])+  SUMIF(Dec_Period_2_Tbl[[#All],[STAFF:]],$A16,Dec_Period_2_Tbl[[#All],['# POINTS EARNED]]))</f>
        <v>0</v>
      </c>
      <c r="S16" s="152">
        <f>(SUMIF(Jan_Period_1_Tbl[[#All],[STAFF:]],$A16,Jan_Period_1_Tbl[[#All],['# POINTS USED]])+
SUMIF(Feb_Period_1_Tbl[[#All],[STAFF:]],$A16,Feb_Period_1_Tbl[[#All],['# POINTS USED]])+SUMIF(Mar_Period_1_Tbl[[#All],[STAFF:]],$A16,Mar_Period_1_Tbl[[#All],['# POINTS USED]])+SUMIF(Apr_Period_1_Tbl[[#All],[STAFF:]],$A16,Apr_Period_1_Tbl[[#All],['# POINTS USED]])+   SUMIF(May_Period_1_Tbl[[#All],[STAFF:]],$A16,May_Period_1_Tbl[[#All],['# POINTS USED]])+   SUMIF(Jun_Period_1_Tbl[[#All],[STAFF:]],$A16,Jun_Period_1_Tbl[[#All],['# POINTS USED]])+  SUMIF(Jul_Period_1_Tbl[[#All],[STAFF:]],$A16,Jul_Period_1_Tbl[[#All],['# POINTS USED]])+  SUMIF(Aug_Period_1_Tbl[[#All],[STAFF:]],$A16,Aug_Period_1_Tbl[[#All],['# POINTS USED]])+  SUMIF(Sep_Period_1_Tbl[[#All],[STAFF:]],$A16,Sep_Period_1_Tbl[[#All],['# POINTS USED]])+  SUMIF(Oct_Period_1_Tbl[[#All],[STAFF:]],$A16,Oct_Period_1_Tbl[[#All],['# POINTS USED]])+     SUMIF(Nov_Period_1_Tbl[[#All],[STAFF:]],$A16,Nov_Period_1_Tbl[[#All],['# POINTS USED]])+  SUMIF(Dec_Period_1_Tbl[[#All],[STAFF:]],$A16,Dec_Period_1_Tbl[[#All],['# POINTS USED]]))+   (SUMIF(Jan_Period_2_Tbl[[#All],[STAFF:]],$A16,Jan_Period_2_Tbl[[#All],['# POINTS USED]])+
SUMIF(Feb_Period_2_Tbl[[#All],[STAFF:]],$A16,Feb_Period_2_Tbl[[#All],['# POINTS USED]])+SUMIF(Mar_Period_2_Tbl[[#All],[STAFF:]],$A16,Mar_Period_2_Tbl[[#All],['# POINTS USED]])+SUMIF(Apr_Period_2_Tbl[[#All],[STAFF:]],$A16,Apr_Period_2_Tbl[[#All],['# POINTS USED]])+   SUMIF(May_Period_2_Tbl[[#All],[STAFF:]],$A16,May_Period_2_Tbl[[#All],['# POINTS USED]])+   SUMIF(Jun_Period_2_Tbl[[#All],[STAFF:]],$A16,Jun_Period_2_Tbl[[#All],['# POINTS USED]])+  SUMIF(Jul_Period_2_Tbl[[#All],[STAFF:]],$A16,Jul_Period_2_Tbl[[#All],['# POINTS USED]])+  SUMIF(Aug_Period_2_Tbl[[#All],[STAFF:]],$A16,Aug_Period_2_Tbl[[#All],['# POINTS USED]])+  SUMIF(Sep_Period_2_Tbl[[#All],[STAFF:]],$A16,Sep_Period_2_Tbl[[#All],['# POINTS USED]])+  SUMIF(Oct_Period_2_Tbl[[#All],[STAFF:]],$A16,Oct_Period_2_Tbl[[#All],['# POINTS USED]])+     SUMIF(Nov_Period_2_Tbl[[#All],[STAFF:]],$A16,Nov_Period_2_Tbl[[#All],['# POINTS USED]])+  SUMIF(Dec_Period_2_Tbl[[#All],[STAFF:]],$A16,Dec_Period_2_Tbl[[#All],['# POINTS USED]]))</f>
        <v>0</v>
      </c>
      <c r="T16" s="152">
        <f>(SUMIF(Jan_Period_1_Tbl[[#All],[STAFF:]],$A16,Jan_Period_1_Tbl[[#All],['# CLASSES LEAD]])+
SUMIF(Feb_Period_1_Tbl[[#All],[STAFF:]],$A16,Feb_Period_1_Tbl[[#All],['# CLASSES LEAD]])+SUMIF(Mar_Period_1_Tbl[[#All],[STAFF:]],$A16,Mar_Period_1_Tbl[[#All],['# CLASSES LEAD]])+SUMIF(Apr_Period_1_Tbl[[#All],[STAFF:]],$A16,Apr_Period_1_Tbl[[#All],['# CLASSES LEAD]])+   SUMIF(May_Period_1_Tbl[[#All],[STAFF:]],$A16,May_Period_1_Tbl[[#All],['# CLASSES LEAD]])+   SUMIF(Jun_Period_1_Tbl[[#All],[STAFF:]],$A16,Jun_Period_1_Tbl[[#All],['# CLASSES LEAD]])+  SUMIF(Jul_Period_1_Tbl[[#All],[STAFF:]],$A16,Jul_Period_1_Tbl[[#All],['# CLASSES LEAD]])+  SUMIF(Aug_Period_1_Tbl[[#All],[STAFF:]],$A16,Aug_Period_1_Tbl[[#All],['# CLASSES LEAD]])+  SUMIF(Sep_Period_1_Tbl[[#All],[STAFF:]],$A16,Sep_Period_1_Tbl[[#All],['# CLASSES LEAD]])+  SUMIF(Oct_Period_1_Tbl[[#All],[STAFF:]],$A16,Oct_Period_1_Tbl[[#All],['# CLASSES LEAD]])+     SUMIF(Nov_Period_1_Tbl[[#All],[STAFF:]],$A16,Nov_Period_1_Tbl[[#All],['# CLASSES LEAD]])+  SUMIF(Dec_Period_1_Tbl[[#All],[STAFF:]],$A16,Dec_Period_1_Tbl[[#All],['# CLASSES LEAD]]))+   (SUMIF(Jan_Period_2_Tbl[[#All],[STAFF:]],$A16,Jan_Period_2_Tbl[[#All],['# CLASSES LEAD]])+
SUMIF(Feb_Period_2_Tbl[[#All],[STAFF:]],$A16,Feb_Period_2_Tbl[[#All],['# CLASSES LEAD]])+SUMIF(Mar_Period_2_Tbl[[#All],[STAFF:]],$A16,Mar_Period_2_Tbl[[#All],['# CLASSES LEAD]])+SUMIF(Apr_Period_2_Tbl[[#All],[STAFF:]],$A16,Apr_Period_2_Tbl[[#All],['# CLASSES LEAD]])+   SUMIF(May_Period_2_Tbl[[#All],[STAFF:]],$A16,May_Period_2_Tbl[[#All],['# CLASSES LEAD]])+   SUMIF(Jun_Period_2_Tbl[[#All],[STAFF:]],$A16,Jun_Period_2_Tbl[[#All],['# CLASSES LEAD]])+  SUMIF(Jul_Period_2_Tbl[[#All],[STAFF:]],$A16,Jul_Period_2_Tbl[[#All],['# CLASSES LEAD]])+  SUMIF(Aug_Period_2_Tbl[[#All],[STAFF:]],$A16,Aug_Period_2_Tbl[[#All],['# CLASSES LEAD]])+  SUMIF(Sep_Period_2_Tbl[[#All],[STAFF:]],$A16,Sep_Period_2_Tbl[[#All],['# CLASSES LEAD]])+  SUMIF(Oct_Period_2_Tbl[[#All],[STAFF:]],$A16,Oct_Period_2_Tbl[[#All],['# CLASSES LEAD]])+     SUMIF(Nov_Period_2_Tbl[[#All],[STAFF:]],$A16,Nov_Period_2_Tbl[[#All],['# CLASSES LEAD]])+  SUMIF(Dec_Period_2_Tbl[[#All],[STAFF:]],$A16,Dec_Period_2_Tbl[[#All],['# CLASSES LEAD]]))</f>
        <v>0</v>
      </c>
      <c r="U16" s="152">
        <f>(SUMIF(Jan_Period_1_Tbl[[#All],[STAFF:]],$A16,Jan_Period_1_Tbl[[#All],['# CLASSES SHOW]])+
SUMIF(Feb_Period_1_Tbl[[#All],[STAFF:]],$A16,Feb_Period_1_Tbl[[#All],['# CLASSES SHOW]])+SUMIF(Mar_Period_1_Tbl[[#All],[STAFF:]],$A16,Mar_Period_1_Tbl[[#All],['# CLASSES SHOW]])+SUMIF(Apr_Period_1_Tbl[[#All],[STAFF:]],$A16,Apr_Period_1_Tbl[[#All],['# CLASSES SHOW]])+   SUMIF(May_Period_1_Tbl[[#All],[STAFF:]],$A16,May_Period_1_Tbl[[#All],['# CLASSES SHOW]])+   SUMIF(Jun_Period_1_Tbl[[#All],[STAFF:]],$A16,Jun_Period_1_Tbl[[#All],['# CLASSES SHOW]])+  SUMIF(Jul_Period_1_Tbl[[#All],[STAFF:]],$A16,Jul_Period_1_Tbl[[#All],['# CLASSES SHOW]])+  SUMIF(Aug_Period_1_Tbl[[#All],[STAFF:]],$A16,Aug_Period_1_Tbl[[#All],['# CLASSES SHOW]])+  SUMIF(Sep_Period_1_Tbl[[#All],[STAFF:]],$A16,Sep_Period_1_Tbl[[#All],['# CLASSES SHOW]])+  SUMIF(Oct_Period_1_Tbl[[#All],[STAFF:]],$A16,Oct_Period_1_Tbl[[#All],['# CLASSES SHOW]])+     SUMIF(Nov_Period_1_Tbl[[#All],[STAFF:]],$A16,Nov_Period_1_Tbl[[#All],['# CLASSES SHOW]])+  SUMIF(Dec_Period_1_Tbl[[#All],[STAFF:]],$A16,Dec_Period_1_Tbl[[#All],['# CLASSES SHOW]]))+   (SUMIF(Jan_Period_2_Tbl[[#All],[STAFF:]],$A16,Jan_Period_2_Tbl[[#All],['# CLASSES SHOW]])+
SUMIF(Feb_Period_2_Tbl[[#All],[STAFF:]],$A16,Feb_Period_2_Tbl[[#All],['# CLASSES SHOW]])+SUMIF(Mar_Period_2_Tbl[[#All],[STAFF:]],$A16,Mar_Period_2_Tbl[[#All],['# CLASSES SHOW]])+SUMIF(Apr_Period_2_Tbl[[#All],[STAFF:]],$A16,Apr_Period_2_Tbl[[#All],['# CLASSES SHOW]])+   SUMIF(May_Period_2_Tbl[[#All],[STAFF:]],$A16,May_Period_2_Tbl[[#All],['# CLASSES SHOW]])+   SUMIF(Jun_Period_2_Tbl[[#All],[STAFF:]],$A16,Jun_Period_2_Tbl[[#All],['# CLASSES SHOW]])+  SUMIF(Jul_Period_2_Tbl[[#All],[STAFF:]],$A16,Jul_Period_2_Tbl[[#All],['# CLASSES SHOW]])+  SUMIF(Aug_Period_2_Tbl[[#All],[STAFF:]],$A16,Aug_Period_2_Tbl[[#All],['# CLASSES SHOW]])+  SUMIF(Sep_Period_2_Tbl[[#All],[STAFF:]],$A16,Sep_Period_2_Tbl[[#All],['# CLASSES SHOW]])+  SUMIF(Oct_Period_2_Tbl[[#All],[STAFF:]],$A16,Oct_Period_2_Tbl[[#All],['# CLASSES SHOW]])+     SUMIF(Nov_Period_2_Tbl[[#All],[STAFF:]],$A16,Nov_Period_2_Tbl[[#All],['# CLASSES SHOW]])+  SUMIF(Dec_Period_2_Tbl[[#All],[STAFF:]],$A16,Dec_Period_2_Tbl[[#All],['# CLASSES SHOW]]))</f>
        <v>0</v>
      </c>
      <c r="V16" s="156"/>
      <c r="W16" s="156"/>
      <c r="X16" s="154">
        <f t="shared" si="1"/>
        <v>0</v>
      </c>
      <c r="Y16" s="154">
        <f t="shared" si="2"/>
        <v>0</v>
      </c>
      <c r="Z16" s="154">
        <f t="shared" si="3"/>
        <v>0</v>
      </c>
      <c r="AA16" s="154">
        <f t="shared" si="4"/>
        <v>0</v>
      </c>
      <c r="AB16" s="154">
        <f t="shared" si="5"/>
        <v>0</v>
      </c>
      <c r="AC16" s="154">
        <f t="shared" si="6"/>
        <v>0</v>
      </c>
      <c r="AD16" s="154">
        <f t="shared" si="7"/>
        <v>0</v>
      </c>
      <c r="AE16" s="149"/>
      <c r="AF16" s="149"/>
      <c r="AG16" s="149"/>
      <c r="AH16" s="149"/>
      <c r="AJ16" s="75" t="str">
        <f t="shared" si="8"/>
        <v>zBlank</v>
      </c>
      <c r="AK16" s="210"/>
      <c r="AL16" s="168">
        <f>IFERROR(VLOOKUP(B16,List!$A:$B,2,FALSE),-1)</f>
        <v>-1</v>
      </c>
      <c r="AM16" s="168">
        <f>IFERROR(VLOOKUP(C16,List!$A:$B,2,FALSE),-1)</f>
        <v>-1</v>
      </c>
    </row>
    <row r="17" spans="1:39" ht="15" hidden="1" customHeight="1" x14ac:dyDescent="0.25">
      <c r="A17" s="20"/>
      <c r="B17" s="186"/>
      <c r="C17" s="186"/>
      <c r="D17" s="187"/>
      <c r="E17" s="188">
        <f>(SUMIF(Jan_Period_1_Tbl[[#All],[STAFF:]],$A17,Jan_Period_1_Tbl[[#All],['# PTO USED]])+
SUMIF(Feb_Period_1_Tbl[[#All],[STAFF:]],$A17,Feb_Period_1_Tbl[[#All],['# PTO USED]])+SUMIF(Mar_Period_1_Tbl[[#All],[STAFF:]],$A17,Mar_Period_1_Tbl[[#All],['# PTO USED]])+SUMIF(Apr_Period_1_Tbl[[#All],[STAFF:]],$A17,Apr_Period_1_Tbl[[#All],['# PTO USED]])+   SUMIF(May_Period_1_Tbl[[#All],[STAFF:]],$A17,May_Period_1_Tbl[[#All],['# PTO USED]])+   SUMIF(Jun_Period_1_Tbl[[#All],[STAFF:]],$A17,Jun_Period_1_Tbl[[#All],['# PTO USED]])+  SUMIF(Jul_Period_1_Tbl[[#All],[STAFF:]],$A17,Jul_Period_1_Tbl[[#All],['# PTO USED]])+  SUMIF(Aug_Period_1_Tbl[[#All],[STAFF:]],$A17,Aug_Period_1_Tbl[[#All],['# PTO USED]])+  SUMIF(Sep_Period_1_Tbl[[#All],[STAFF:]],$A17,Sep_Period_1_Tbl[[#All],['# PTO USED]])+  SUMIF(Oct_Period_1_Tbl[[#All],[STAFF:]],$A17,Oct_Period_1_Tbl[[#All],['# PTO USED]])+     SUMIF(Nov_Period_1_Tbl[[#All],[STAFF:]],$A17,Nov_Period_1_Tbl[[#All],['# PTO USED]])+  SUMIF(Dec_Period_1_Tbl[[#All],[STAFF:]],$A17,Dec_Period_1_Tbl[[#All],['# PTO USED]]))+   (SUMIF(Jan_Period_2_Tbl[[#All],[STAFF:]],$A17,Jan_Period_2_Tbl[[#All],['# PTO USED]])+
SUMIF(Feb_Period_2_Tbl[[#All],[STAFF:]],$A17,Feb_Period_2_Tbl[[#All],['# PTO USED]])+SUMIF(Mar_Period_2_Tbl[[#All],[STAFF:]],$A17,Mar_Period_2_Tbl[[#All],['# PTO USED]])+SUMIF(Apr_Period_2_Tbl[[#All],[STAFF:]],$A17,Apr_Period_2_Tbl[[#All],['# PTO USED]])+   SUMIF(May_Period_2_Tbl[[#All],[STAFF:]],$A17,May_Period_2_Tbl[[#All],['# PTO USED]])+   SUMIF(Jun_Period_2_Tbl[[#All],[STAFF:]],$A17,Jun_Period_2_Tbl[[#All],['# PTO USED]])+  SUMIF(Jul_Period_2_Tbl[[#All],[STAFF:]],$A17,Jul_Period_2_Tbl[[#All],['# PTO USED]])+  SUMIF(Aug_Period_2_Tbl[[#All],[STAFF:]],$A17,Aug_Period_2_Tbl[[#All],['# PTO USED]])+  SUMIF(Sep_Period_2_Tbl[[#All],[STAFF:]],$A17,Sep_Period_2_Tbl[[#All],['# PTO USED]])+  SUMIF(Oct_Period_2_Tbl[[#All],[STAFF:]],$A17,Oct_Period_2_Tbl[[#All],['# PTO USED]])+     SUMIF(Nov_Period_2_Tbl[[#All],[STAFF:]],$A17,Nov_Period_2_Tbl[[#All],['# PTO USED]])+  SUMIF(Dec_Period_2_Tbl[[#All],[STAFF:]],$A17,Dec_Period_2_Tbl[[#All],['# PTO USED]]))</f>
        <v>0</v>
      </c>
      <c r="F17" s="189">
        <f>(SUMIF(Jan_Period_1_Tbl[[#All],[STAFF:]],$A17,Jan_Period_1_Tbl[[#All],['# HRS WORKED]])+
SUMIF(Feb_Period_1_Tbl[[#All],[STAFF:]],$A17,Feb_Period_1_Tbl[[#All],['# HRS WORKED]])+SUMIF(Mar_Period_1_Tbl[[#All],[STAFF:]],$A17,Mar_Period_1_Tbl[[#All],['# HRS WORKED]])+SUMIF(Apr_Period_1_Tbl[[#All],[STAFF:]],$A17,Apr_Period_1_Tbl[[#All],['# HRS WORKED]])+   SUMIF(May_Period_1_Tbl[[#All],[STAFF:]],$A17,May_Period_1_Tbl[[#All],['# HRS WORKED]])+   SUMIF(Jun_Period_1_Tbl[[#All],[STAFF:]],$A17,Jun_Period_1_Tbl[[#All],['# HRS WORKED]])+  SUMIF(Jul_Period_1_Tbl[[#All],[STAFF:]],$A17,Jul_Period_1_Tbl[[#All],['# HRS WORKED]])+  SUMIF(Aug_Period_1_Tbl[[#All],[STAFF:]],$A17,Aug_Period_1_Tbl[[#All],['# HRS WORKED]])+  SUMIF(Sep_Period_1_Tbl[[#All],[STAFF:]],$A17,Sep_Period_1_Tbl[[#All],['# HRS WORKED]])+  SUMIF(Oct_Period_1_Tbl[[#All],[STAFF:]],$A17,Oct_Period_1_Tbl[[#All],['# HRS WORKED]])+     SUMIF(Nov_Period_1_Tbl[[#All],[STAFF:]],$A17,Nov_Period_1_Tbl[[#All],['# HRS WORKED]])+  SUMIF(Dec_Period_1_Tbl[[#All],[STAFF:]],$A17,Dec_Period_1_Tbl[[#All],['# HRS WORKED]]))+   (SUMIF(Jan_Period_2_Tbl[[#All],[STAFF:]],$A17,Jan_Period_2_Tbl[[#All],['# HRS WORKED]])+
SUMIF(Feb_Period_2_Tbl[[#All],[STAFF:]],$A17,Feb_Period_2_Tbl[[#All],['# HRS WORKED]])+SUMIF(Mar_Period_2_Tbl[[#All],[STAFF:]],$A17,Mar_Period_2_Tbl[[#All],['# HRS WORKED]])+SUMIF(Apr_Period_2_Tbl[[#All],[STAFF:]],$A17,Apr_Period_2_Tbl[[#All],['# HRS WORKED]])+   SUMIF(May_Period_2_Tbl[[#All],[STAFF:]],$A17,May_Period_2_Tbl[[#All],['# HRS WORKED]])+   SUMIF(Jun_Period_2_Tbl[[#All],[STAFF:]],$A17,Jun_Period_2_Tbl[[#All],['# HRS WORKED]])+  SUMIF(Jul_Period_2_Tbl[[#All],[STAFF:]],$A17,Jul_Period_2_Tbl[[#All],['# HRS WORKED]])+  SUMIF(Aug_Period_2_Tbl[[#All],[STAFF:]],$A17,Aug_Period_2_Tbl[[#All],['# HRS WORKED]])+  SUMIF(Sep_Period_2_Tbl[[#All],[STAFF:]],$A17,Sep_Period_2_Tbl[[#All],['# HRS WORKED]])+  SUMIF(Oct_Period_2_Tbl[[#All],[STAFF:]],$A17,Oct_Period_2_Tbl[[#All],['# HRS WORKED]])+     SUMIF(Nov_Period_2_Tbl[[#All],[STAFF:]],$A17,Nov_Period_2_Tbl[[#All],['# HRS WORKED]])+  SUMIF(Dec_Period_2_Tbl[[#All],[STAFF:]],$A17,Dec_Period_2_Tbl[[#All],['# HRS WORKED]]))</f>
        <v>0</v>
      </c>
      <c r="G17" s="190">
        <f>(SUMIF(Jan_Period_1_Tbl[[#All],[STAFF:]],$A17,Jan_Period_1_Tbl[[#All],[$ Hourly WAGES]])+
SUMIF(Feb_Period_1_Tbl[[#All],[STAFF:]],$A17,Feb_Period_1_Tbl[[#All],[$ Hourly WAGES]])+SUMIF(Mar_Period_1_Tbl[[#All],[STAFF:]],$A17,Mar_Period_1_Tbl[[#All],[$ Hourly WAGES]])+SUMIF(Apr_Period_1_Tbl[[#All],[STAFF:]],$A17,Apr_Period_1_Tbl[[#All],[$ Hourly WAGES]])+   SUMIF(May_Period_1_Tbl[[#All],[STAFF:]],$A17,May_Period_1_Tbl[[#All],[$ Hourly WAGES]])+   SUMIF(Jun_Period_1_Tbl[[#All],[STAFF:]],$A17,Jun_Period_1_Tbl[[#All],[$ Hourly WAGES]])+  SUMIF(Jul_Period_1_Tbl[[#All],[STAFF:]],$A17,Jul_Period_1_Tbl[[#All],[$ Hourly WAGES]])+  SUMIF(Aug_Period_1_Tbl[[#All],[STAFF:]],$A17,Aug_Period_1_Tbl[[#All],[$ Hourly WAGES]])+  SUMIF(Sep_Period_1_Tbl[[#All],[STAFF:]],$A17,Sep_Period_1_Tbl[[#All],[$ Hourly WAGES]])+  SUMIF(Oct_Period_1_Tbl[[#All],[STAFF:]],$A17,Oct_Period_1_Tbl[[#All],[$ Hourly WAGES]])+     SUMIF(Nov_Period_1_Tbl[[#All],[STAFF:]],$A17,Nov_Period_1_Tbl[[#All],[$ Hourly WAGES]])+  SUMIF(Dec_Period_1_Tbl[[#All],[STAFF:]],$A17,Dec_Period_1_Tbl[[#All],[$ Hourly WAGES]]))+   (SUMIF(Jan_Period_2_Tbl[[#All],[STAFF:]],$A17,Jan_Period_2_Tbl[[#All],[$ Hourly WAGES]])+
SUMIF(Feb_Period_2_Tbl[[#All],[STAFF:]],$A17,Feb_Period_2_Tbl[[#All],[$ Hourly WAGES]])+SUMIF(Mar_Period_2_Tbl[[#All],[STAFF:]],$A17,Mar_Period_2_Tbl[[#All],[$ Hourly WAGES]])+SUMIF(Apr_Period_2_Tbl[[#All],[STAFF:]],$A17,Apr_Period_2_Tbl[[#All],[$ Hourly WAGES]])+   SUMIF(May_Period_2_Tbl[[#All],[STAFF:]],$A17,May_Period_2_Tbl[[#All],[$ Hourly WAGES]])+   SUMIF(Jun_Period_2_Tbl[[#All],[STAFF:]],$A17,Jun_Period_2_Tbl[[#All],[$ Hourly WAGES]])+  SUMIF(Jul_Period_2_Tbl[[#All],[STAFF:]],$A17,Jul_Period_2_Tbl[[#All],[$ Hourly WAGES]])+  SUMIF(Aug_Period_2_Tbl[[#All],[STAFF:]],$A17,Aug_Period_2_Tbl[[#All],[$ Hourly WAGES]])+  SUMIF(Sep_Period_2_Tbl[[#All],[STAFF:]],$A17,Sep_Period_2_Tbl[[#All],[$ Hourly WAGES]])+  SUMIF(Oct_Period_2_Tbl[[#All],[STAFF:]],$A17,Oct_Period_2_Tbl[[#All],[$ Hourly WAGES]])+     SUMIF(Nov_Period_2_Tbl[[#All],[STAFF:]],$A17,Nov_Period_2_Tbl[[#All],[$ Hourly WAGES]])+  SUMIF(Dec_Period_2_Tbl[[#All],[STAFF:]],$A17,Dec_Period_2_Tbl[[#All],[$ Hourly WAGES]]))</f>
        <v>0</v>
      </c>
      <c r="H17" s="190">
        <f>(SUMIF(Jan_Period_1_Tbl[[#All],[STAFF:]],$A17,Jan_Period_1_Tbl[[#All],[$ SALARY]])+
SUMIF(Feb_Period_1_Tbl[[#All],[STAFF:]],$A17,Feb_Period_1_Tbl[[#All],[$ SALARY]])+SUMIF(Mar_Period_1_Tbl[[#All],[STAFF:]],$A17,Mar_Period_1_Tbl[[#All],[$ SALARY]])+SUMIF(Apr_Period_1_Tbl[[#All],[STAFF:]],$A17,Apr_Period_1_Tbl[[#All],[$ SALARY]])+   SUMIF(May_Period_1_Tbl[[#All],[STAFF:]],$A17,May_Period_1_Tbl[[#All],[$ SALARY]])+   SUMIF(Jun_Period_1_Tbl[[#All],[STAFF:]],$A17,Jun_Period_1_Tbl[[#All],[$ SALARY]])+  SUMIF(Jul_Period_1_Tbl[[#All],[STAFF:]],$A17,Jul_Period_1_Tbl[[#All],[$ SALARY]])+  SUMIF(Aug_Period_1_Tbl[[#All],[STAFF:]],$A17,Aug_Period_1_Tbl[[#All],[$ SALARY]])+  SUMIF(Sep_Period_1_Tbl[[#All],[STAFF:]],$A17,Sep_Period_1_Tbl[[#All],[$ SALARY]])+  SUMIF(Oct_Period_1_Tbl[[#All],[STAFF:]],$A17,Oct_Period_1_Tbl[[#All],[$ SALARY]])+     SUMIF(Nov_Period_1_Tbl[[#All],[STAFF:]],$A17,Nov_Period_1_Tbl[[#All],[$ SALARY]])+  SUMIF(Dec_Period_1_Tbl[[#All],[STAFF:]],$A17,Dec_Period_1_Tbl[[#All],[$ SALARY]]))+   (SUMIF(Jan_Period_2_Tbl[[#All],[STAFF:]],$A17,Jan_Period_2_Tbl[[#All],[$ SALARY]])+
SUMIF(Feb_Period_2_Tbl[[#All],[STAFF:]],$A17,Feb_Period_2_Tbl[[#All],[$ SALARY]])+SUMIF(Mar_Period_2_Tbl[[#All],[STAFF:]],$A17,Mar_Period_2_Tbl[[#All],[$ SALARY]])+SUMIF(Apr_Period_2_Tbl[[#All],[STAFF:]],$A17,Apr_Period_2_Tbl[[#All],[$ SALARY]])+   SUMIF(May_Period_2_Tbl[[#All],[STAFF:]],$A17,May_Period_2_Tbl[[#All],[$ SALARY]])+   SUMIF(Jun_Period_2_Tbl[[#All],[STAFF:]],$A17,Jun_Period_2_Tbl[[#All],[$ SALARY]])+  SUMIF(Jul_Period_2_Tbl[[#All],[STAFF:]],$A17,Jul_Period_2_Tbl[[#All],[$ SALARY]])+  SUMIF(Aug_Period_2_Tbl[[#All],[STAFF:]],$A17,Aug_Period_2_Tbl[[#All],[$ SALARY]])+  SUMIF(Sep_Period_2_Tbl[[#All],[STAFF:]],$A17,Sep_Period_2_Tbl[[#All],[$ SALARY]])+  SUMIF(Oct_Period_2_Tbl[[#All],[STAFF:]],$A17,Oct_Period_2_Tbl[[#All],[$ SALARY]])+     SUMIF(Nov_Period_2_Tbl[[#All],[STAFF:]],$A17,Nov_Period_2_Tbl[[#All],[$ SALARY]])+  SUMIF(Dec_Period_2_Tbl[[#All],[STAFF:]],$A17,Dec_Period_2_Tbl[[#All],[$ SALARY]]))</f>
        <v>0</v>
      </c>
      <c r="I17" s="190">
        <f>(SUMIF(Jan_Period_1_Tbl[[#All],[STAFF:]],$A17,Jan_Period_1_Tbl[[#All],[$ SALARY PT]])+
SUMIF(Feb_Period_1_Tbl[[#All],[STAFF:]],$A17,Feb_Period_1_Tbl[[#All],[$ SALARY PT]])+SUMIF(Mar_Period_1_Tbl[[#All],[STAFF:]],$A17,Mar_Period_1_Tbl[[#All],[$ SALARY PT]])+SUMIF(Apr_Period_1_Tbl[[#All],[STAFF:]],$A17,Apr_Period_1_Tbl[[#All],[$ SALARY PT]])+   SUMIF(May_Period_1_Tbl[[#All],[STAFF:]],$A17,May_Period_1_Tbl[[#All],[$ SALARY PT]])+   SUMIF(Jun_Period_1_Tbl[[#All],[STAFF:]],$A17,Jun_Period_1_Tbl[[#All],[$ SALARY PT]])+  SUMIF(Jul_Period_1_Tbl[[#All],[STAFF:]],$A17,Jul_Period_1_Tbl[[#All],[$ SALARY PT]])+  SUMIF(Aug_Period_1_Tbl[[#All],[STAFF:]],$A17,Aug_Period_1_Tbl[[#All],[$ SALARY PT]])+  SUMIF(Sep_Period_1_Tbl[[#All],[STAFF:]],$A17,Sep_Period_1_Tbl[[#All],[$ SALARY PT]])+  SUMIF(Oct_Period_1_Tbl[[#All],[STAFF:]],$A17,Oct_Period_1_Tbl[[#All],[$ SALARY PT]])+     SUMIF(Nov_Period_1_Tbl[[#All],[STAFF:]],$A17,Nov_Period_1_Tbl[[#All],[$ SALARY PT]])+  SUMIF(Dec_Period_1_Tbl[[#All],[STAFF:]],$A17,Dec_Period_1_Tbl[[#All],[$ SALARY PT]]))+   (SUMIF(Jan_Period_2_Tbl[[#All],[STAFF:]],$A17,Jan_Period_2_Tbl[[#All],[$ SALARY PT]])+
SUMIF(Feb_Period_2_Tbl[[#All],[STAFF:]],$A17,Feb_Period_2_Tbl[[#All],[$ SALARY PT]])+SUMIF(Mar_Period_2_Tbl[[#All],[STAFF:]],$A17,Mar_Period_2_Tbl[[#All],[$ SALARY PT]])+SUMIF(Apr_Period_2_Tbl[[#All],[STAFF:]],$A17,Apr_Period_2_Tbl[[#All],[$ SALARY PT]])+   SUMIF(May_Period_2_Tbl[[#All],[STAFF:]],$A17,May_Period_2_Tbl[[#All],[$ SALARY PT]])+   SUMIF(Jun_Period_2_Tbl[[#All],[STAFF:]],$A17,Jun_Period_2_Tbl[[#All],[$ SALARY PT]])+  SUMIF(Jul_Period_2_Tbl[[#All],[STAFF:]],$A17,Jul_Period_2_Tbl[[#All],[$ SALARY PT]])+  SUMIF(Aug_Period_2_Tbl[[#All],[STAFF:]],$A17,Aug_Period_2_Tbl[[#All],[$ SALARY PT]])+  SUMIF(Sep_Period_2_Tbl[[#All],[STAFF:]],$A17,Sep_Period_2_Tbl[[#All],[$ SALARY PT]])+  SUMIF(Oct_Period_2_Tbl[[#All],[STAFF:]],$A17,Oct_Period_2_Tbl[[#All],[$ SALARY PT]])+     SUMIF(Nov_Period_2_Tbl[[#All],[STAFF:]],$A17,Nov_Period_2_Tbl[[#All],[$ SALARY PT]])+  SUMIF(Dec_Period_2_Tbl[[#All],[STAFF:]],$A17,Dec_Period_2_Tbl[[#All],[$ SALARY PT]]))</f>
        <v>0</v>
      </c>
      <c r="J17" s="190">
        <f>(SUMIF(Jan_Period_1_Tbl[[#All],[STAFF:]],$A17,Jan_Period_1_Tbl[[#All],[$ FREE PT]])+
SUMIF(Feb_Period_1_Tbl[[#All],[STAFF:]],$A17,Feb_Period_1_Tbl[[#All],[$ FREE PT]])+SUMIF(Mar_Period_1_Tbl[[#All],[STAFF:]],$A17,Mar_Period_1_Tbl[[#All],[$ FREE PT]])+SUMIF(Apr_Period_1_Tbl[[#All],[STAFF:]],$A17,Apr_Period_1_Tbl[[#All],[$ FREE PT]])+   SUMIF(May_Period_1_Tbl[[#All],[STAFF:]],$A17,May_Period_1_Tbl[[#All],[$ FREE PT]])+   SUMIF(Jun_Period_1_Tbl[[#All],[STAFF:]],$A17,Jun_Period_1_Tbl[[#All],[$ FREE PT]])+  SUMIF(Jul_Period_1_Tbl[[#All],[STAFF:]],$A17,Jul_Period_1_Tbl[[#All],[$ FREE PT]])+  SUMIF(Aug_Period_1_Tbl[[#All],[STAFF:]],$A17,Aug_Period_1_Tbl[[#All],[$ FREE PT]])+  SUMIF(Sep_Period_1_Tbl[[#All],[STAFF:]],$A17,Sep_Period_1_Tbl[[#All],[$ FREE PT]])+  SUMIF(Oct_Period_1_Tbl[[#All],[STAFF:]],$A17,Oct_Period_1_Tbl[[#All],[$ FREE PT]])+     SUMIF(Nov_Period_1_Tbl[[#All],[STAFF:]],$A17,Nov_Period_1_Tbl[[#All],[$ FREE PT]])+  SUMIF(Dec_Period_1_Tbl[[#All],[STAFF:]],$A17,Dec_Period_1_Tbl[[#All],[$ FREE PT]]))+   (SUMIF(Jan_Period_2_Tbl[[#All],[STAFF:]],$A17,Jan_Period_2_Tbl[[#All],[$ FREE PT]])+
SUMIF(Feb_Period_2_Tbl[[#All],[STAFF:]],$A17,Feb_Period_2_Tbl[[#All],[$ FREE PT]])+SUMIF(Mar_Period_2_Tbl[[#All],[STAFF:]],$A17,Mar_Period_2_Tbl[[#All],[$ FREE PT]])+SUMIF(Apr_Period_2_Tbl[[#All],[STAFF:]],$A17,Apr_Period_2_Tbl[[#All],[$ FREE PT]])+   SUMIF(May_Period_2_Tbl[[#All],[STAFF:]],$A17,May_Period_2_Tbl[[#All],[$ FREE PT]])+   SUMIF(Jun_Period_2_Tbl[[#All],[STAFF:]],$A17,Jun_Period_2_Tbl[[#All],[$ FREE PT]])+  SUMIF(Jul_Period_2_Tbl[[#All],[STAFF:]],$A17,Jul_Period_2_Tbl[[#All],[$ FREE PT]])+  SUMIF(Aug_Period_2_Tbl[[#All],[STAFF:]],$A17,Aug_Period_2_Tbl[[#All],[$ FREE PT]])+  SUMIF(Sep_Period_2_Tbl[[#All],[STAFF:]],$A17,Sep_Period_2_Tbl[[#All],[$ FREE PT]])+  SUMIF(Oct_Period_2_Tbl[[#All],[STAFF:]],$A17,Oct_Period_2_Tbl[[#All],[$ FREE PT]])+     SUMIF(Nov_Period_2_Tbl[[#All],[STAFF:]],$A17,Nov_Period_2_Tbl[[#All],[$ FREE PT]])+  SUMIF(Dec_Period_2_Tbl[[#All],[STAFF:]],$A17,Dec_Period_2_Tbl[[#All],[$ FREE PT]]))</f>
        <v>0</v>
      </c>
      <c r="K17" s="190">
        <f>(SUMIF(Jan_Period_1_Tbl[[#All],[STAFF:]],$A17,Jan_Period_1_Tbl[[#All],[$ PAID PT]])+
SUMIF(Feb_Period_1_Tbl[[#All],[STAFF:]],$A17,Feb_Period_1_Tbl[[#All],[$ PAID PT]])+SUMIF(Mar_Period_1_Tbl[[#All],[STAFF:]],$A17,Mar_Period_1_Tbl[[#All],[$ PAID PT]])+SUMIF(Apr_Period_1_Tbl[[#All],[STAFF:]],$A17,Apr_Period_1_Tbl[[#All],[$ PAID PT]])+   SUMIF(May_Period_1_Tbl[[#All],[STAFF:]],$A17,May_Period_1_Tbl[[#All],[$ PAID PT]])+   SUMIF(Jun_Period_1_Tbl[[#All],[STAFF:]],$A17,Jun_Period_1_Tbl[[#All],[$ PAID PT]])+  SUMIF(Jul_Period_1_Tbl[[#All],[STAFF:]],$A17,Jul_Period_1_Tbl[[#All],[$ PAID PT]])+  SUMIF(Aug_Period_1_Tbl[[#All],[STAFF:]],$A17,Aug_Period_1_Tbl[[#All],[$ PAID PT]])+  SUMIF(Sep_Period_1_Tbl[[#All],[STAFF:]],$A17,Sep_Period_1_Tbl[[#All],[$ PAID PT]])+  SUMIF(Oct_Period_1_Tbl[[#All],[STAFF:]],$A17,Oct_Period_1_Tbl[[#All],[$ PAID PT]])+     SUMIF(Nov_Period_1_Tbl[[#All],[STAFF:]],$A17,Nov_Period_1_Tbl[[#All],[$ PAID PT]])+  SUMIF(Dec_Period_1_Tbl[[#All],[STAFF:]],$A17,Dec_Period_1_Tbl[[#All],[$ PAID PT]]))+   (SUMIF(Jan_Period_2_Tbl[[#All],[STAFF:]],$A17,Jan_Period_2_Tbl[[#All],[$ PAID PT]])+
SUMIF(Feb_Period_2_Tbl[[#All],[STAFF:]],$A17,Feb_Period_2_Tbl[[#All],[$ PAID PT]])+SUMIF(Mar_Period_2_Tbl[[#All],[STAFF:]],$A17,Mar_Period_2_Tbl[[#All],[$ PAID PT]])+SUMIF(Apr_Period_2_Tbl[[#All],[STAFF:]],$A17,Apr_Period_2_Tbl[[#All],[$ PAID PT]])+   SUMIF(May_Period_2_Tbl[[#All],[STAFF:]],$A17,May_Period_2_Tbl[[#All],[$ PAID PT]])+   SUMIF(Jun_Period_2_Tbl[[#All],[STAFF:]],$A17,Jun_Period_2_Tbl[[#All],[$ PAID PT]])+  SUMIF(Jul_Period_2_Tbl[[#All],[STAFF:]],$A17,Jul_Period_2_Tbl[[#All],[$ PAID PT]])+  SUMIF(Aug_Period_2_Tbl[[#All],[STAFF:]],$A17,Aug_Period_2_Tbl[[#All],[$ PAID PT]])+  SUMIF(Sep_Period_2_Tbl[[#All],[STAFF:]],$A17,Sep_Period_2_Tbl[[#All],[$ PAID PT]])+  SUMIF(Oct_Period_2_Tbl[[#All],[STAFF:]],$A17,Oct_Period_2_Tbl[[#All],[$ PAID PT]])+     SUMIF(Nov_Period_2_Tbl[[#All],[STAFF:]],$A17,Nov_Period_2_Tbl[[#All],[$ PAID PT]])+  SUMIF(Dec_Period_2_Tbl[[#All],[STAFF:]],$A17,Dec_Period_2_Tbl[[#All],[$ PAID PT]]))</f>
        <v>0</v>
      </c>
      <c r="L17" s="190">
        <f>(SUMIF(Jan_Period_1_Tbl[[#All],[STAFF:]],$A17,Jan_Period_1_Tbl[[#All],[$ PT COMM]])+
SUMIF(Feb_Period_1_Tbl[[#All],[STAFF:]],$A17,Feb_Period_1_Tbl[[#All],[$ PT COMM]])+SUMIF(Mar_Period_1_Tbl[[#All],[STAFF:]],$A17,Mar_Period_1_Tbl[[#All],[$ PT COMM]])+SUMIF(Apr_Period_1_Tbl[[#All],[STAFF:]],$A17,Apr_Period_1_Tbl[[#All],[$ PT COMM]])+   SUMIF(May_Period_1_Tbl[[#All],[STAFF:]],$A17,May_Period_1_Tbl[[#All],[$ PT COMM]])+   SUMIF(Jun_Period_1_Tbl[[#All],[STAFF:]],$A17,Jun_Period_1_Tbl[[#All],[$ PT COMM]])+  SUMIF(Jul_Period_1_Tbl[[#All],[STAFF:]],$A17,Jul_Period_1_Tbl[[#All],[$ PT COMM]])+  SUMIF(Aug_Period_1_Tbl[[#All],[STAFF:]],$A17,Aug_Period_1_Tbl[[#All],[$ PT COMM]])+  SUMIF(Sep_Period_1_Tbl[[#All],[STAFF:]],$A17,Sep_Period_1_Tbl[[#All],[$ PT COMM]])+  SUMIF(Oct_Period_1_Tbl[[#All],[STAFF:]],$A17,Oct_Period_1_Tbl[[#All],[$ PT COMM]])+     SUMIF(Nov_Period_1_Tbl[[#All],[STAFF:]],$A17,Nov_Period_1_Tbl[[#All],[$ PT COMM]])+  SUMIF(Dec_Period_1_Tbl[[#All],[STAFF:]],$A17,Dec_Period_1_Tbl[[#All],[$ PT COMM]]))+   (SUMIF(Jan_Period_2_Tbl[[#All],[STAFF:]],$A17,Jan_Period_2_Tbl[[#All],[$ PT COMM]])+
SUMIF(Feb_Period_2_Tbl[[#All],[STAFF:]],$A17,Feb_Period_2_Tbl[[#All],[$ PT COMM]])+SUMIF(Mar_Period_2_Tbl[[#All],[STAFF:]],$A17,Mar_Period_2_Tbl[[#All],[$ PT COMM]])+SUMIF(Apr_Period_2_Tbl[[#All],[STAFF:]],$A17,Apr_Period_2_Tbl[[#All],[$ PT COMM]])+   SUMIF(May_Period_2_Tbl[[#All],[STAFF:]],$A17,May_Period_2_Tbl[[#All],[$ PT COMM]])+   SUMIF(Jun_Period_2_Tbl[[#All],[STAFF:]],$A17,Jun_Period_2_Tbl[[#All],[$ PT COMM]])+  SUMIF(Jul_Period_2_Tbl[[#All],[STAFF:]],$A17,Jul_Period_2_Tbl[[#All],[$ PT COMM]])+  SUMIF(Aug_Period_2_Tbl[[#All],[STAFF:]],$A17,Aug_Period_2_Tbl[[#All],[$ PT COMM]])+  SUMIF(Sep_Period_2_Tbl[[#All],[STAFF:]],$A17,Sep_Period_2_Tbl[[#All],[$ PT COMM]])+  SUMIF(Oct_Period_2_Tbl[[#All],[STAFF:]],$A17,Oct_Period_2_Tbl[[#All],[$ PT COMM]])+     SUMIF(Nov_Period_2_Tbl[[#All],[STAFF:]],$A17,Nov_Period_2_Tbl[[#All],[$ PT COMM]])+  SUMIF(Dec_Period_2_Tbl[[#All],[STAFF:]],$A17,Dec_Period_2_Tbl[[#All],[$ PT COMM]]))</f>
        <v>0</v>
      </c>
      <c r="M17" s="190">
        <f>(SUMIF(Jan_Period_1_Tbl[[#All],[STAFF:]],$A17,Jan_Period_1_Tbl[[#All],[$ EFT COMM]])+
SUMIF(Feb_Period_1_Tbl[[#All],[STAFF:]],$A17,Feb_Period_1_Tbl[[#All],[$ EFT COMM]])+SUMIF(Mar_Period_1_Tbl[[#All],[STAFF:]],$A17,Mar_Period_1_Tbl[[#All],[$ EFT COMM]])+SUMIF(Apr_Period_1_Tbl[[#All],[STAFF:]],$A17,Apr_Period_1_Tbl[[#All],[$ EFT COMM]])+   SUMIF(May_Period_1_Tbl[[#All],[STAFF:]],$A17,May_Period_1_Tbl[[#All],[$ EFT COMM]])+   SUMIF(Jun_Period_1_Tbl[[#All],[STAFF:]],$A17,Jun_Period_1_Tbl[[#All],[$ EFT COMM]])+  SUMIF(Jul_Period_1_Tbl[[#All],[STAFF:]],$A17,Jul_Period_1_Tbl[[#All],[$ EFT COMM]])+  SUMIF(Aug_Period_1_Tbl[[#All],[STAFF:]],$A17,Aug_Period_1_Tbl[[#All],[$ EFT COMM]])+  SUMIF(Sep_Period_1_Tbl[[#All],[STAFF:]],$A17,Sep_Period_1_Tbl[[#All],[$ EFT COMM]])+  SUMIF(Oct_Period_1_Tbl[[#All],[STAFF:]],$A17,Oct_Period_1_Tbl[[#All],[$ EFT COMM]])+     SUMIF(Nov_Period_1_Tbl[[#All],[STAFF:]],$A17,Nov_Period_1_Tbl[[#All],[$ EFT COMM]])+  SUMIF(Dec_Period_1_Tbl[[#All],[STAFF:]],$A17,Dec_Period_1_Tbl[[#All],[$ EFT COMM]]))+   (SUMIF(Jan_Period_2_Tbl[[#All],[STAFF:]],$A17,Jan_Period_2_Tbl[[#All],[$ EFT COMM]])+
SUMIF(Feb_Period_2_Tbl[[#All],[STAFF:]],$A17,Feb_Period_2_Tbl[[#All],[$ EFT COMM]])+SUMIF(Mar_Period_2_Tbl[[#All],[STAFF:]],$A17,Mar_Period_2_Tbl[[#All],[$ EFT COMM]])+SUMIF(Apr_Period_2_Tbl[[#All],[STAFF:]],$A17,Apr_Period_2_Tbl[[#All],[$ EFT COMM]])+   SUMIF(May_Period_2_Tbl[[#All],[STAFF:]],$A17,May_Period_2_Tbl[[#All],[$ EFT COMM]])+   SUMIF(Jun_Period_2_Tbl[[#All],[STAFF:]],$A17,Jun_Period_2_Tbl[[#All],[$ EFT COMM]])+  SUMIF(Jul_Period_2_Tbl[[#All],[STAFF:]],$A17,Jul_Period_2_Tbl[[#All],[$ EFT COMM]])+  SUMIF(Aug_Period_2_Tbl[[#All],[STAFF:]],$A17,Aug_Period_2_Tbl[[#All],[$ EFT COMM]])+  SUMIF(Sep_Period_2_Tbl[[#All],[STAFF:]],$A17,Sep_Period_2_Tbl[[#All],[$ EFT COMM]])+  SUMIF(Oct_Period_2_Tbl[[#All],[STAFF:]],$A17,Oct_Period_2_Tbl[[#All],[$ EFT COMM]])+     SUMIF(Nov_Period_2_Tbl[[#All],[STAFF:]],$A17,Nov_Period_2_Tbl[[#All],[$ EFT COMM]])+  SUMIF(Dec_Period_2_Tbl[[#All],[STAFF:]],$A17,Dec_Period_2_Tbl[[#All],[$ EFT COMM]]))</f>
        <v>0</v>
      </c>
      <c r="N17" s="190">
        <f>(SUMIF(Jan_Period_1_Tbl[[#All],[STAFF:]],$A17,Jan_Period_1_Tbl[[#All],[$ CLASS PAY]])+
SUMIF(Feb_Period_1_Tbl[[#All],[STAFF:]],$A17,Feb_Period_1_Tbl[[#All],[$ CLASS PAY]])+SUMIF(Mar_Period_1_Tbl[[#All],[STAFF:]],$A17,Mar_Period_1_Tbl[[#All],[$ CLASS PAY]])+SUMIF(Apr_Period_1_Tbl[[#All],[STAFF:]],$A17,Apr_Period_1_Tbl[[#All],[$ CLASS PAY]])+   SUMIF(May_Period_1_Tbl[[#All],[STAFF:]],$A17,May_Period_1_Tbl[[#All],[$ CLASS PAY]])+   SUMIF(Jun_Period_1_Tbl[[#All],[STAFF:]],$A17,Jun_Period_1_Tbl[[#All],[$ CLASS PAY]])+  SUMIF(Jul_Period_1_Tbl[[#All],[STAFF:]],$A17,Jul_Period_1_Tbl[[#All],[$ CLASS PAY]])+  SUMIF(Aug_Period_1_Tbl[[#All],[STAFF:]],$A17,Aug_Period_1_Tbl[[#All],[$ CLASS PAY]])+  SUMIF(Sep_Period_1_Tbl[[#All],[STAFF:]],$A17,Sep_Period_1_Tbl[[#All],[$ CLASS PAY]])+  SUMIF(Oct_Period_1_Tbl[[#All],[STAFF:]],$A17,Oct_Period_1_Tbl[[#All],[$ CLASS PAY]])+     SUMIF(Nov_Period_1_Tbl[[#All],[STAFF:]],$A17,Nov_Period_1_Tbl[[#All],[$ CLASS PAY]])+  SUMIF(Dec_Period_1_Tbl[[#All],[STAFF:]],$A17,Dec_Period_1_Tbl[[#All],[$ CLASS PAY]]))+   (SUMIF(Jan_Period_2_Tbl[[#All],[STAFF:]],$A17,Jan_Period_2_Tbl[[#All],[$ CLASS PAY]])+
SUMIF(Feb_Period_2_Tbl[[#All],[STAFF:]],$A17,Feb_Period_2_Tbl[[#All],[$ CLASS PAY]])+SUMIF(Mar_Period_2_Tbl[[#All],[STAFF:]],$A17,Mar_Period_2_Tbl[[#All],[$ CLASS PAY]])+SUMIF(Apr_Period_2_Tbl[[#All],[STAFF:]],$A17,Apr_Period_2_Tbl[[#All],[$ CLASS PAY]])+   SUMIF(May_Period_2_Tbl[[#All],[STAFF:]],$A17,May_Period_2_Tbl[[#All],[$ CLASS PAY]])+   SUMIF(Jun_Period_2_Tbl[[#All],[STAFF:]],$A17,Jun_Period_2_Tbl[[#All],[$ CLASS PAY]])+  SUMIF(Jul_Period_2_Tbl[[#All],[STAFF:]],$A17,Jul_Period_2_Tbl[[#All],[$ CLASS PAY]])+  SUMIF(Aug_Period_2_Tbl[[#All],[STAFF:]],$A17,Aug_Period_2_Tbl[[#All],[$ CLASS PAY]])+  SUMIF(Sep_Period_2_Tbl[[#All],[STAFF:]],$A17,Sep_Period_2_Tbl[[#All],[$ CLASS PAY]])+  SUMIF(Oct_Period_2_Tbl[[#All],[STAFF:]],$A17,Oct_Period_2_Tbl[[#All],[$ CLASS PAY]])+     SUMIF(Nov_Period_2_Tbl[[#All],[STAFF:]],$A17,Nov_Period_2_Tbl[[#All],[$ CLASS PAY]])+  SUMIF(Dec_Period_2_Tbl[[#All],[STAFF:]],$A17,Dec_Period_2_Tbl[[#All],[$ CLASS PAY]]))</f>
        <v>0</v>
      </c>
      <c r="O17" s="191">
        <f>(SUMIF(Jan_Period_1_Tbl[[#All],[STAFF:]],$A17,Jan_Period_1_Tbl[[#All],[$ BONUS PAY]])+
SUMIF(Feb_Period_1_Tbl[[#All],[STAFF:]],$A17,Feb_Period_1_Tbl[[#All],[$ BONUS PAY]])+SUMIF(Mar_Period_1_Tbl[[#All],[STAFF:]],$A17,Mar_Period_1_Tbl[[#All],[$ BONUS PAY]])+SUMIF(Apr_Period_1_Tbl[[#All],[STAFF:]],$A17,Apr_Period_1_Tbl[[#All],[$ BONUS PAY]])+   SUMIF(May_Period_1_Tbl[[#All],[STAFF:]],$A17,May_Period_1_Tbl[[#All],[$ BONUS PAY]])+   SUMIF(Jun_Period_1_Tbl[[#All],[STAFF:]],$A17,Jun_Period_1_Tbl[[#All],[$ BONUS PAY]])+  SUMIF(Jul_Period_1_Tbl[[#All],[STAFF:]],$A17,Jul_Period_1_Tbl[[#All],[$ BONUS PAY]])+  SUMIF(Aug_Period_1_Tbl[[#All],[STAFF:]],$A17,Aug_Period_1_Tbl[[#All],[$ BONUS PAY]])+  SUMIF(Sep_Period_1_Tbl[[#All],[STAFF:]],$A17,Sep_Period_1_Tbl[[#All],[$ BONUS PAY]])+  SUMIF(Oct_Period_1_Tbl[[#All],[STAFF:]],$A17,Oct_Period_1_Tbl[[#All],[$ BONUS PAY]])+     SUMIF(Nov_Period_1_Tbl[[#All],[STAFF:]],$A17,Nov_Period_1_Tbl[[#All],[$ BONUS PAY]])+  SUMIF(Dec_Period_1_Tbl[[#All],[STAFF:]],$A17,Dec_Period_1_Tbl[[#All],[$ BONUS PAY]]))+   (SUMIF(Jan_Period_2_Tbl[[#All],[STAFF:]],$A17,Jan_Period_2_Tbl[[#All],[$ BONUS PAY]])+
SUMIF(Feb_Period_2_Tbl[[#All],[STAFF:]],$A17,Feb_Period_2_Tbl[[#All],[$ BONUS PAY]])+SUMIF(Mar_Period_2_Tbl[[#All],[STAFF:]],$A17,Mar_Period_2_Tbl[[#All],[$ BONUS PAY]])+SUMIF(Apr_Period_2_Tbl[[#All],[STAFF:]],$A17,Apr_Period_2_Tbl[[#All],[$ BONUS PAY]])+   SUMIF(May_Period_2_Tbl[[#All],[STAFF:]],$A17,May_Period_2_Tbl[[#All],[$ BONUS PAY]])+   SUMIF(Jun_Period_2_Tbl[[#All],[STAFF:]],$A17,Jun_Period_2_Tbl[[#All],[$ BONUS PAY]])+  SUMIF(Jul_Period_2_Tbl[[#All],[STAFF:]],$A17,Jul_Period_2_Tbl[[#All],[$ BONUS PAY]])+  SUMIF(Aug_Period_2_Tbl[[#All],[STAFF:]],$A17,Aug_Period_2_Tbl[[#All],[$ BONUS PAY]])+  SUMIF(Sep_Period_2_Tbl[[#All],[STAFF:]],$A17,Sep_Period_2_Tbl[[#All],[$ BONUS PAY]])+  SUMIF(Oct_Period_2_Tbl[[#All],[STAFF:]],$A17,Oct_Period_2_Tbl[[#All],[$ BONUS PAY]])+     SUMIF(Nov_Period_2_Tbl[[#All],[STAFF:]],$A17,Nov_Period_2_Tbl[[#All],[$ BONUS PAY]])+  SUMIF(Dec_Period_2_Tbl[[#All],[STAFF:]],$A17,Dec_Period_2_Tbl[[#All],[$ BONUS PAY]]))</f>
        <v>0</v>
      </c>
      <c r="P17" s="179">
        <f t="shared" si="0"/>
        <v>0</v>
      </c>
      <c r="Q17" s="149"/>
      <c r="R17" s="153">
        <f>(SUMIF(Jan_Period_1_Tbl[[#All],[STAFF:]],$A17,Jan_Period_1_Tbl[[#All],['# POINTS EARNED]])+
SUMIF(Feb_Period_1_Tbl[[#All],[STAFF:]],$A17,Feb_Period_1_Tbl[[#All],['# POINTS EARNED]])+SUMIF(Mar_Period_1_Tbl[[#All],[STAFF:]],$A17,Mar_Period_1_Tbl[[#All],['# POINTS EARNED]])+SUMIF(Apr_Period_1_Tbl[[#All],[STAFF:]],$A17,Apr_Period_1_Tbl[[#All],['# POINTS EARNED]])+   SUMIF(May_Period_1_Tbl[[#All],[STAFF:]],$A17,May_Period_1_Tbl[[#All],['# POINTS EARNED]])+   SUMIF(Jun_Period_1_Tbl[[#All],[STAFF:]],$A17,Jun_Period_1_Tbl[[#All],['# POINTS EARNED]])+  SUMIF(Jul_Period_1_Tbl[[#All],[STAFF:]],$A17,Jul_Period_1_Tbl[[#All],['# POINTS EARNED]])+  SUMIF(Aug_Period_1_Tbl[[#All],[STAFF:]],$A17,Aug_Period_1_Tbl[[#All],['# POINTS EARNED]])+  SUMIF(Sep_Period_1_Tbl[[#All],[STAFF:]],$A17,Sep_Period_1_Tbl[[#All],['# POINTS EARNED]])+  SUMIF(Oct_Period_1_Tbl[[#All],[STAFF:]],$A17,Oct_Period_1_Tbl[[#All],['# POINTS EARNED]])+     SUMIF(Nov_Period_1_Tbl[[#All],[STAFF:]],$A17,Nov_Period_1_Tbl[[#All],['# POINTS EARNED]])+  SUMIF(Dec_Period_1_Tbl[[#All],[STAFF:]],$A17,Dec_Period_1_Tbl[[#All],['# POINTS EARNED]]))+   (SUMIF(Jan_Period_2_Tbl[[#All],[STAFF:]],$A17,Jan_Period_2_Tbl[[#All],['# POINTS EARNED]])+
SUMIF(Feb_Period_2_Tbl[[#All],[STAFF:]],$A17,Feb_Period_2_Tbl[[#All],['# POINTS EARNED]])+SUMIF(Mar_Period_2_Tbl[[#All],[STAFF:]],$A17,Mar_Period_2_Tbl[[#All],['# POINTS EARNED]])+SUMIF(Apr_Period_2_Tbl[[#All],[STAFF:]],$A17,Apr_Period_2_Tbl[[#All],['# POINTS EARNED]])+   SUMIF(May_Period_2_Tbl[[#All],[STAFF:]],$A17,May_Period_2_Tbl[[#All],['# POINTS EARNED]])+   SUMIF(Jun_Period_2_Tbl[[#All],[STAFF:]],$A17,Jun_Period_2_Tbl[[#All],['# POINTS EARNED]])+  SUMIF(Jul_Period_2_Tbl[[#All],[STAFF:]],$A17,Jul_Period_2_Tbl[[#All],['# POINTS EARNED]])+  SUMIF(Aug_Period_2_Tbl[[#All],[STAFF:]],$A17,Aug_Period_2_Tbl[[#All],['# POINTS EARNED]])+  SUMIF(Sep_Period_2_Tbl[[#All],[STAFF:]],$A17,Sep_Period_2_Tbl[[#All],['# POINTS EARNED]])+  SUMIF(Oct_Period_2_Tbl[[#All],[STAFF:]],$A17,Oct_Period_2_Tbl[[#All],['# POINTS EARNED]])+     SUMIF(Nov_Period_2_Tbl[[#All],[STAFF:]],$A17,Nov_Period_2_Tbl[[#All],['# POINTS EARNED]])+  SUMIF(Dec_Period_2_Tbl[[#All],[STAFF:]],$A17,Dec_Period_2_Tbl[[#All],['# POINTS EARNED]]))</f>
        <v>0</v>
      </c>
      <c r="S17" s="153">
        <f>(SUMIF(Jan_Period_1_Tbl[[#All],[STAFF:]],$A17,Jan_Period_1_Tbl[[#All],['# POINTS USED]])+
SUMIF(Feb_Period_1_Tbl[[#All],[STAFF:]],$A17,Feb_Period_1_Tbl[[#All],['# POINTS USED]])+SUMIF(Mar_Period_1_Tbl[[#All],[STAFF:]],$A17,Mar_Period_1_Tbl[[#All],['# POINTS USED]])+SUMIF(Apr_Period_1_Tbl[[#All],[STAFF:]],$A17,Apr_Period_1_Tbl[[#All],['# POINTS USED]])+   SUMIF(May_Period_1_Tbl[[#All],[STAFF:]],$A17,May_Period_1_Tbl[[#All],['# POINTS USED]])+   SUMIF(Jun_Period_1_Tbl[[#All],[STAFF:]],$A17,Jun_Period_1_Tbl[[#All],['# POINTS USED]])+  SUMIF(Jul_Period_1_Tbl[[#All],[STAFF:]],$A17,Jul_Period_1_Tbl[[#All],['# POINTS USED]])+  SUMIF(Aug_Period_1_Tbl[[#All],[STAFF:]],$A17,Aug_Period_1_Tbl[[#All],['# POINTS USED]])+  SUMIF(Sep_Period_1_Tbl[[#All],[STAFF:]],$A17,Sep_Period_1_Tbl[[#All],['# POINTS USED]])+  SUMIF(Oct_Period_1_Tbl[[#All],[STAFF:]],$A17,Oct_Period_1_Tbl[[#All],['# POINTS USED]])+     SUMIF(Nov_Period_1_Tbl[[#All],[STAFF:]],$A17,Nov_Period_1_Tbl[[#All],['# POINTS USED]])+  SUMIF(Dec_Period_1_Tbl[[#All],[STAFF:]],$A17,Dec_Period_1_Tbl[[#All],['# POINTS USED]]))+   (SUMIF(Jan_Period_2_Tbl[[#All],[STAFF:]],$A17,Jan_Period_2_Tbl[[#All],['# POINTS USED]])+
SUMIF(Feb_Period_2_Tbl[[#All],[STAFF:]],$A17,Feb_Period_2_Tbl[[#All],['# POINTS USED]])+SUMIF(Mar_Period_2_Tbl[[#All],[STAFF:]],$A17,Mar_Period_2_Tbl[[#All],['# POINTS USED]])+SUMIF(Apr_Period_2_Tbl[[#All],[STAFF:]],$A17,Apr_Period_2_Tbl[[#All],['# POINTS USED]])+   SUMIF(May_Period_2_Tbl[[#All],[STAFF:]],$A17,May_Period_2_Tbl[[#All],['# POINTS USED]])+   SUMIF(Jun_Period_2_Tbl[[#All],[STAFF:]],$A17,Jun_Period_2_Tbl[[#All],['# POINTS USED]])+  SUMIF(Jul_Period_2_Tbl[[#All],[STAFF:]],$A17,Jul_Period_2_Tbl[[#All],['# POINTS USED]])+  SUMIF(Aug_Period_2_Tbl[[#All],[STAFF:]],$A17,Aug_Period_2_Tbl[[#All],['# POINTS USED]])+  SUMIF(Sep_Period_2_Tbl[[#All],[STAFF:]],$A17,Sep_Period_2_Tbl[[#All],['# POINTS USED]])+  SUMIF(Oct_Period_2_Tbl[[#All],[STAFF:]],$A17,Oct_Period_2_Tbl[[#All],['# POINTS USED]])+     SUMIF(Nov_Period_2_Tbl[[#All],[STAFF:]],$A17,Nov_Period_2_Tbl[[#All],['# POINTS USED]])+  SUMIF(Dec_Period_2_Tbl[[#All],[STAFF:]],$A17,Dec_Period_2_Tbl[[#All],['# POINTS USED]]))</f>
        <v>0</v>
      </c>
      <c r="T17" s="153">
        <f>(SUMIF(Jan_Period_1_Tbl[[#All],[STAFF:]],$A17,Jan_Period_1_Tbl[[#All],['# CLASSES LEAD]])+
SUMIF(Feb_Period_1_Tbl[[#All],[STAFF:]],$A17,Feb_Period_1_Tbl[[#All],['# CLASSES LEAD]])+SUMIF(Mar_Period_1_Tbl[[#All],[STAFF:]],$A17,Mar_Period_1_Tbl[[#All],['# CLASSES LEAD]])+SUMIF(Apr_Period_1_Tbl[[#All],[STAFF:]],$A17,Apr_Period_1_Tbl[[#All],['# CLASSES LEAD]])+   SUMIF(May_Period_1_Tbl[[#All],[STAFF:]],$A17,May_Period_1_Tbl[[#All],['# CLASSES LEAD]])+   SUMIF(Jun_Period_1_Tbl[[#All],[STAFF:]],$A17,Jun_Period_1_Tbl[[#All],['# CLASSES LEAD]])+  SUMIF(Jul_Period_1_Tbl[[#All],[STAFF:]],$A17,Jul_Period_1_Tbl[[#All],['# CLASSES LEAD]])+  SUMIF(Aug_Period_1_Tbl[[#All],[STAFF:]],$A17,Aug_Period_1_Tbl[[#All],['# CLASSES LEAD]])+  SUMIF(Sep_Period_1_Tbl[[#All],[STAFF:]],$A17,Sep_Period_1_Tbl[[#All],['# CLASSES LEAD]])+  SUMIF(Oct_Period_1_Tbl[[#All],[STAFF:]],$A17,Oct_Period_1_Tbl[[#All],['# CLASSES LEAD]])+     SUMIF(Nov_Period_1_Tbl[[#All],[STAFF:]],$A17,Nov_Period_1_Tbl[[#All],['# CLASSES LEAD]])+  SUMIF(Dec_Period_1_Tbl[[#All],[STAFF:]],$A17,Dec_Period_1_Tbl[[#All],['# CLASSES LEAD]]))+   (SUMIF(Jan_Period_2_Tbl[[#All],[STAFF:]],$A17,Jan_Period_2_Tbl[[#All],['# CLASSES LEAD]])+
SUMIF(Feb_Period_2_Tbl[[#All],[STAFF:]],$A17,Feb_Period_2_Tbl[[#All],['# CLASSES LEAD]])+SUMIF(Mar_Period_2_Tbl[[#All],[STAFF:]],$A17,Mar_Period_2_Tbl[[#All],['# CLASSES LEAD]])+SUMIF(Apr_Period_2_Tbl[[#All],[STAFF:]],$A17,Apr_Period_2_Tbl[[#All],['# CLASSES LEAD]])+   SUMIF(May_Period_2_Tbl[[#All],[STAFF:]],$A17,May_Period_2_Tbl[[#All],['# CLASSES LEAD]])+   SUMIF(Jun_Period_2_Tbl[[#All],[STAFF:]],$A17,Jun_Period_2_Tbl[[#All],['# CLASSES LEAD]])+  SUMIF(Jul_Period_2_Tbl[[#All],[STAFF:]],$A17,Jul_Period_2_Tbl[[#All],['# CLASSES LEAD]])+  SUMIF(Aug_Period_2_Tbl[[#All],[STAFF:]],$A17,Aug_Period_2_Tbl[[#All],['# CLASSES LEAD]])+  SUMIF(Sep_Period_2_Tbl[[#All],[STAFF:]],$A17,Sep_Period_2_Tbl[[#All],['# CLASSES LEAD]])+  SUMIF(Oct_Period_2_Tbl[[#All],[STAFF:]],$A17,Oct_Period_2_Tbl[[#All],['# CLASSES LEAD]])+     SUMIF(Nov_Period_2_Tbl[[#All],[STAFF:]],$A17,Nov_Period_2_Tbl[[#All],['# CLASSES LEAD]])+  SUMIF(Dec_Period_2_Tbl[[#All],[STAFF:]],$A17,Dec_Period_2_Tbl[[#All],['# CLASSES LEAD]]))</f>
        <v>0</v>
      </c>
      <c r="U17" s="153">
        <f>(SUMIF(Jan_Period_1_Tbl[[#All],[STAFF:]],$A17,Jan_Period_1_Tbl[[#All],['# CLASSES SHOW]])+
SUMIF(Feb_Period_1_Tbl[[#All],[STAFF:]],$A17,Feb_Period_1_Tbl[[#All],['# CLASSES SHOW]])+SUMIF(Mar_Period_1_Tbl[[#All],[STAFF:]],$A17,Mar_Period_1_Tbl[[#All],['# CLASSES SHOW]])+SUMIF(Apr_Period_1_Tbl[[#All],[STAFF:]],$A17,Apr_Period_1_Tbl[[#All],['# CLASSES SHOW]])+   SUMIF(May_Period_1_Tbl[[#All],[STAFF:]],$A17,May_Period_1_Tbl[[#All],['# CLASSES SHOW]])+   SUMIF(Jun_Period_1_Tbl[[#All],[STAFF:]],$A17,Jun_Period_1_Tbl[[#All],['# CLASSES SHOW]])+  SUMIF(Jul_Period_1_Tbl[[#All],[STAFF:]],$A17,Jul_Period_1_Tbl[[#All],['# CLASSES SHOW]])+  SUMIF(Aug_Period_1_Tbl[[#All],[STAFF:]],$A17,Aug_Period_1_Tbl[[#All],['# CLASSES SHOW]])+  SUMIF(Sep_Period_1_Tbl[[#All],[STAFF:]],$A17,Sep_Period_1_Tbl[[#All],['# CLASSES SHOW]])+  SUMIF(Oct_Period_1_Tbl[[#All],[STAFF:]],$A17,Oct_Period_1_Tbl[[#All],['# CLASSES SHOW]])+     SUMIF(Nov_Period_1_Tbl[[#All],[STAFF:]],$A17,Nov_Period_1_Tbl[[#All],['# CLASSES SHOW]])+  SUMIF(Dec_Period_1_Tbl[[#All],[STAFF:]],$A17,Dec_Period_1_Tbl[[#All],['# CLASSES SHOW]]))+   (SUMIF(Jan_Period_2_Tbl[[#All],[STAFF:]],$A17,Jan_Period_2_Tbl[[#All],['# CLASSES SHOW]])+
SUMIF(Feb_Period_2_Tbl[[#All],[STAFF:]],$A17,Feb_Period_2_Tbl[[#All],['# CLASSES SHOW]])+SUMIF(Mar_Period_2_Tbl[[#All],[STAFF:]],$A17,Mar_Period_2_Tbl[[#All],['# CLASSES SHOW]])+SUMIF(Apr_Period_2_Tbl[[#All],[STAFF:]],$A17,Apr_Period_2_Tbl[[#All],['# CLASSES SHOW]])+   SUMIF(May_Period_2_Tbl[[#All],[STAFF:]],$A17,May_Period_2_Tbl[[#All],['# CLASSES SHOW]])+   SUMIF(Jun_Period_2_Tbl[[#All],[STAFF:]],$A17,Jun_Period_2_Tbl[[#All],['# CLASSES SHOW]])+  SUMIF(Jul_Period_2_Tbl[[#All],[STAFF:]],$A17,Jul_Period_2_Tbl[[#All],['# CLASSES SHOW]])+  SUMIF(Aug_Period_2_Tbl[[#All],[STAFF:]],$A17,Aug_Period_2_Tbl[[#All],['# CLASSES SHOW]])+  SUMIF(Sep_Period_2_Tbl[[#All],[STAFF:]],$A17,Sep_Period_2_Tbl[[#All],['# CLASSES SHOW]])+  SUMIF(Oct_Period_2_Tbl[[#All],[STAFF:]],$A17,Oct_Period_2_Tbl[[#All],['# CLASSES SHOW]])+     SUMIF(Nov_Period_2_Tbl[[#All],[STAFF:]],$A17,Nov_Period_2_Tbl[[#All],['# CLASSES SHOW]])+  SUMIF(Dec_Period_2_Tbl[[#All],[STAFF:]],$A17,Dec_Period_2_Tbl[[#All],['# CLASSES SHOW]]))</f>
        <v>0</v>
      </c>
      <c r="V17" s="156"/>
      <c r="W17" s="156"/>
      <c r="X17" s="155">
        <f t="shared" si="1"/>
        <v>0</v>
      </c>
      <c r="Y17" s="155">
        <f t="shared" si="2"/>
        <v>0</v>
      </c>
      <c r="Z17" s="155">
        <f t="shared" si="3"/>
        <v>0</v>
      </c>
      <c r="AA17" s="155">
        <f t="shared" si="4"/>
        <v>0</v>
      </c>
      <c r="AB17" s="155">
        <f t="shared" si="5"/>
        <v>0</v>
      </c>
      <c r="AC17" s="155">
        <f t="shared" si="6"/>
        <v>0</v>
      </c>
      <c r="AD17" s="155">
        <f t="shared" si="7"/>
        <v>0</v>
      </c>
      <c r="AE17" s="149"/>
      <c r="AF17" s="149"/>
      <c r="AG17" s="149"/>
      <c r="AH17" s="149"/>
      <c r="AJ17" s="75" t="str">
        <f t="shared" si="8"/>
        <v>zBlank</v>
      </c>
      <c r="AK17" s="210"/>
      <c r="AL17" s="168">
        <f>IFERROR(VLOOKUP(B17,List!$A:$B,2,FALSE),-1)</f>
        <v>-1</v>
      </c>
      <c r="AM17" s="168">
        <f>IFERROR(VLOOKUP(C17,List!$A:$B,2,FALSE),-1)</f>
        <v>-1</v>
      </c>
    </row>
    <row r="18" spans="1:39" ht="15" hidden="1" customHeight="1" x14ac:dyDescent="0.25">
      <c r="A18" s="20"/>
      <c r="B18" s="186"/>
      <c r="C18" s="186"/>
      <c r="D18" s="187"/>
      <c r="E18" s="188">
        <f>(SUMIF(Jan_Period_1_Tbl[[#All],[STAFF:]],$A18,Jan_Period_1_Tbl[[#All],['# PTO USED]])+
SUMIF(Feb_Period_1_Tbl[[#All],[STAFF:]],$A18,Feb_Period_1_Tbl[[#All],['# PTO USED]])+SUMIF(Mar_Period_1_Tbl[[#All],[STAFF:]],$A18,Mar_Period_1_Tbl[[#All],['# PTO USED]])+SUMIF(Apr_Period_1_Tbl[[#All],[STAFF:]],$A18,Apr_Period_1_Tbl[[#All],['# PTO USED]])+   SUMIF(May_Period_1_Tbl[[#All],[STAFF:]],$A18,May_Period_1_Tbl[[#All],['# PTO USED]])+   SUMIF(Jun_Period_1_Tbl[[#All],[STAFF:]],$A18,Jun_Period_1_Tbl[[#All],['# PTO USED]])+  SUMIF(Jul_Period_1_Tbl[[#All],[STAFF:]],$A18,Jul_Period_1_Tbl[[#All],['# PTO USED]])+  SUMIF(Aug_Period_1_Tbl[[#All],[STAFF:]],$A18,Aug_Period_1_Tbl[[#All],['# PTO USED]])+  SUMIF(Sep_Period_1_Tbl[[#All],[STAFF:]],$A18,Sep_Period_1_Tbl[[#All],['# PTO USED]])+  SUMIF(Oct_Period_1_Tbl[[#All],[STAFF:]],$A18,Oct_Period_1_Tbl[[#All],['# PTO USED]])+     SUMIF(Nov_Period_1_Tbl[[#All],[STAFF:]],$A18,Nov_Period_1_Tbl[[#All],['# PTO USED]])+  SUMIF(Dec_Period_1_Tbl[[#All],[STAFF:]],$A18,Dec_Period_1_Tbl[[#All],['# PTO USED]]))+   (SUMIF(Jan_Period_2_Tbl[[#All],[STAFF:]],$A18,Jan_Period_2_Tbl[[#All],['# PTO USED]])+
SUMIF(Feb_Period_2_Tbl[[#All],[STAFF:]],$A18,Feb_Period_2_Tbl[[#All],['# PTO USED]])+SUMIF(Mar_Period_2_Tbl[[#All],[STAFF:]],$A18,Mar_Period_2_Tbl[[#All],['# PTO USED]])+SUMIF(Apr_Period_2_Tbl[[#All],[STAFF:]],$A18,Apr_Period_2_Tbl[[#All],['# PTO USED]])+   SUMIF(May_Period_2_Tbl[[#All],[STAFF:]],$A18,May_Period_2_Tbl[[#All],['# PTO USED]])+   SUMIF(Jun_Period_2_Tbl[[#All],[STAFF:]],$A18,Jun_Period_2_Tbl[[#All],['# PTO USED]])+  SUMIF(Jul_Period_2_Tbl[[#All],[STAFF:]],$A18,Jul_Period_2_Tbl[[#All],['# PTO USED]])+  SUMIF(Aug_Period_2_Tbl[[#All],[STAFF:]],$A18,Aug_Period_2_Tbl[[#All],['# PTO USED]])+  SUMIF(Sep_Period_2_Tbl[[#All],[STAFF:]],$A18,Sep_Period_2_Tbl[[#All],['# PTO USED]])+  SUMIF(Oct_Period_2_Tbl[[#All],[STAFF:]],$A18,Oct_Period_2_Tbl[[#All],['# PTO USED]])+     SUMIF(Nov_Period_2_Tbl[[#All],[STAFF:]],$A18,Nov_Period_2_Tbl[[#All],['# PTO USED]])+  SUMIF(Dec_Period_2_Tbl[[#All],[STAFF:]],$A18,Dec_Period_2_Tbl[[#All],['# PTO USED]]))</f>
        <v>0</v>
      </c>
      <c r="F18" s="189">
        <f>(SUMIF(Jan_Period_1_Tbl[[#All],[STAFF:]],$A18,Jan_Period_1_Tbl[[#All],['# HRS WORKED]])+
SUMIF(Feb_Period_1_Tbl[[#All],[STAFF:]],$A18,Feb_Period_1_Tbl[[#All],['# HRS WORKED]])+SUMIF(Mar_Period_1_Tbl[[#All],[STAFF:]],$A18,Mar_Period_1_Tbl[[#All],['# HRS WORKED]])+SUMIF(Apr_Period_1_Tbl[[#All],[STAFF:]],$A18,Apr_Period_1_Tbl[[#All],['# HRS WORKED]])+   SUMIF(May_Period_1_Tbl[[#All],[STAFF:]],$A18,May_Period_1_Tbl[[#All],['# HRS WORKED]])+   SUMIF(Jun_Period_1_Tbl[[#All],[STAFF:]],$A18,Jun_Period_1_Tbl[[#All],['# HRS WORKED]])+  SUMIF(Jul_Period_1_Tbl[[#All],[STAFF:]],$A18,Jul_Period_1_Tbl[[#All],['# HRS WORKED]])+  SUMIF(Aug_Period_1_Tbl[[#All],[STAFF:]],$A18,Aug_Period_1_Tbl[[#All],['# HRS WORKED]])+  SUMIF(Sep_Period_1_Tbl[[#All],[STAFF:]],$A18,Sep_Period_1_Tbl[[#All],['# HRS WORKED]])+  SUMIF(Oct_Period_1_Tbl[[#All],[STAFF:]],$A18,Oct_Period_1_Tbl[[#All],['# HRS WORKED]])+     SUMIF(Nov_Period_1_Tbl[[#All],[STAFF:]],$A18,Nov_Period_1_Tbl[[#All],['# HRS WORKED]])+  SUMIF(Dec_Period_1_Tbl[[#All],[STAFF:]],$A18,Dec_Period_1_Tbl[[#All],['# HRS WORKED]]))+   (SUMIF(Jan_Period_2_Tbl[[#All],[STAFF:]],$A18,Jan_Period_2_Tbl[[#All],['# HRS WORKED]])+
SUMIF(Feb_Period_2_Tbl[[#All],[STAFF:]],$A18,Feb_Period_2_Tbl[[#All],['# HRS WORKED]])+SUMIF(Mar_Period_2_Tbl[[#All],[STAFF:]],$A18,Mar_Period_2_Tbl[[#All],['# HRS WORKED]])+SUMIF(Apr_Period_2_Tbl[[#All],[STAFF:]],$A18,Apr_Period_2_Tbl[[#All],['# HRS WORKED]])+   SUMIF(May_Period_2_Tbl[[#All],[STAFF:]],$A18,May_Period_2_Tbl[[#All],['# HRS WORKED]])+   SUMIF(Jun_Period_2_Tbl[[#All],[STAFF:]],$A18,Jun_Period_2_Tbl[[#All],['# HRS WORKED]])+  SUMIF(Jul_Period_2_Tbl[[#All],[STAFF:]],$A18,Jul_Period_2_Tbl[[#All],['# HRS WORKED]])+  SUMIF(Aug_Period_2_Tbl[[#All],[STAFF:]],$A18,Aug_Period_2_Tbl[[#All],['# HRS WORKED]])+  SUMIF(Sep_Period_2_Tbl[[#All],[STAFF:]],$A18,Sep_Period_2_Tbl[[#All],['# HRS WORKED]])+  SUMIF(Oct_Period_2_Tbl[[#All],[STAFF:]],$A18,Oct_Period_2_Tbl[[#All],['# HRS WORKED]])+     SUMIF(Nov_Period_2_Tbl[[#All],[STAFF:]],$A18,Nov_Period_2_Tbl[[#All],['# HRS WORKED]])+  SUMIF(Dec_Period_2_Tbl[[#All],[STAFF:]],$A18,Dec_Period_2_Tbl[[#All],['# HRS WORKED]]))</f>
        <v>0</v>
      </c>
      <c r="G18" s="190">
        <f>(SUMIF(Jan_Period_1_Tbl[[#All],[STAFF:]],$A18,Jan_Period_1_Tbl[[#All],[$ Hourly WAGES]])+
SUMIF(Feb_Period_1_Tbl[[#All],[STAFF:]],$A18,Feb_Period_1_Tbl[[#All],[$ Hourly WAGES]])+SUMIF(Mar_Period_1_Tbl[[#All],[STAFF:]],$A18,Mar_Period_1_Tbl[[#All],[$ Hourly WAGES]])+SUMIF(Apr_Period_1_Tbl[[#All],[STAFF:]],$A18,Apr_Period_1_Tbl[[#All],[$ Hourly WAGES]])+   SUMIF(May_Period_1_Tbl[[#All],[STAFF:]],$A18,May_Period_1_Tbl[[#All],[$ Hourly WAGES]])+   SUMIF(Jun_Period_1_Tbl[[#All],[STAFF:]],$A18,Jun_Period_1_Tbl[[#All],[$ Hourly WAGES]])+  SUMIF(Jul_Period_1_Tbl[[#All],[STAFF:]],$A18,Jul_Period_1_Tbl[[#All],[$ Hourly WAGES]])+  SUMIF(Aug_Period_1_Tbl[[#All],[STAFF:]],$A18,Aug_Period_1_Tbl[[#All],[$ Hourly WAGES]])+  SUMIF(Sep_Period_1_Tbl[[#All],[STAFF:]],$A18,Sep_Period_1_Tbl[[#All],[$ Hourly WAGES]])+  SUMIF(Oct_Period_1_Tbl[[#All],[STAFF:]],$A18,Oct_Period_1_Tbl[[#All],[$ Hourly WAGES]])+     SUMIF(Nov_Period_1_Tbl[[#All],[STAFF:]],$A18,Nov_Period_1_Tbl[[#All],[$ Hourly WAGES]])+  SUMIF(Dec_Period_1_Tbl[[#All],[STAFF:]],$A18,Dec_Period_1_Tbl[[#All],[$ Hourly WAGES]]))+   (SUMIF(Jan_Period_2_Tbl[[#All],[STAFF:]],$A18,Jan_Period_2_Tbl[[#All],[$ Hourly WAGES]])+
SUMIF(Feb_Period_2_Tbl[[#All],[STAFF:]],$A18,Feb_Period_2_Tbl[[#All],[$ Hourly WAGES]])+SUMIF(Mar_Period_2_Tbl[[#All],[STAFF:]],$A18,Mar_Period_2_Tbl[[#All],[$ Hourly WAGES]])+SUMIF(Apr_Period_2_Tbl[[#All],[STAFF:]],$A18,Apr_Period_2_Tbl[[#All],[$ Hourly WAGES]])+   SUMIF(May_Period_2_Tbl[[#All],[STAFF:]],$A18,May_Period_2_Tbl[[#All],[$ Hourly WAGES]])+   SUMIF(Jun_Period_2_Tbl[[#All],[STAFF:]],$A18,Jun_Period_2_Tbl[[#All],[$ Hourly WAGES]])+  SUMIF(Jul_Period_2_Tbl[[#All],[STAFF:]],$A18,Jul_Period_2_Tbl[[#All],[$ Hourly WAGES]])+  SUMIF(Aug_Period_2_Tbl[[#All],[STAFF:]],$A18,Aug_Period_2_Tbl[[#All],[$ Hourly WAGES]])+  SUMIF(Sep_Period_2_Tbl[[#All],[STAFF:]],$A18,Sep_Period_2_Tbl[[#All],[$ Hourly WAGES]])+  SUMIF(Oct_Period_2_Tbl[[#All],[STAFF:]],$A18,Oct_Period_2_Tbl[[#All],[$ Hourly WAGES]])+     SUMIF(Nov_Period_2_Tbl[[#All],[STAFF:]],$A18,Nov_Period_2_Tbl[[#All],[$ Hourly WAGES]])+  SUMIF(Dec_Period_2_Tbl[[#All],[STAFF:]],$A18,Dec_Period_2_Tbl[[#All],[$ Hourly WAGES]]))</f>
        <v>0</v>
      </c>
      <c r="H18" s="190">
        <f>(SUMIF(Jan_Period_1_Tbl[[#All],[STAFF:]],$A18,Jan_Period_1_Tbl[[#All],[$ SALARY]])+
SUMIF(Feb_Period_1_Tbl[[#All],[STAFF:]],$A18,Feb_Period_1_Tbl[[#All],[$ SALARY]])+SUMIF(Mar_Period_1_Tbl[[#All],[STAFF:]],$A18,Mar_Period_1_Tbl[[#All],[$ SALARY]])+SUMIF(Apr_Period_1_Tbl[[#All],[STAFF:]],$A18,Apr_Period_1_Tbl[[#All],[$ SALARY]])+   SUMIF(May_Period_1_Tbl[[#All],[STAFF:]],$A18,May_Period_1_Tbl[[#All],[$ SALARY]])+   SUMIF(Jun_Period_1_Tbl[[#All],[STAFF:]],$A18,Jun_Period_1_Tbl[[#All],[$ SALARY]])+  SUMIF(Jul_Period_1_Tbl[[#All],[STAFF:]],$A18,Jul_Period_1_Tbl[[#All],[$ SALARY]])+  SUMIF(Aug_Period_1_Tbl[[#All],[STAFF:]],$A18,Aug_Period_1_Tbl[[#All],[$ SALARY]])+  SUMIF(Sep_Period_1_Tbl[[#All],[STAFF:]],$A18,Sep_Period_1_Tbl[[#All],[$ SALARY]])+  SUMIF(Oct_Period_1_Tbl[[#All],[STAFF:]],$A18,Oct_Period_1_Tbl[[#All],[$ SALARY]])+     SUMIF(Nov_Period_1_Tbl[[#All],[STAFF:]],$A18,Nov_Period_1_Tbl[[#All],[$ SALARY]])+  SUMIF(Dec_Period_1_Tbl[[#All],[STAFF:]],$A18,Dec_Period_1_Tbl[[#All],[$ SALARY]]))+   (SUMIF(Jan_Period_2_Tbl[[#All],[STAFF:]],$A18,Jan_Period_2_Tbl[[#All],[$ SALARY]])+
SUMIF(Feb_Period_2_Tbl[[#All],[STAFF:]],$A18,Feb_Period_2_Tbl[[#All],[$ SALARY]])+SUMIF(Mar_Period_2_Tbl[[#All],[STAFF:]],$A18,Mar_Period_2_Tbl[[#All],[$ SALARY]])+SUMIF(Apr_Period_2_Tbl[[#All],[STAFF:]],$A18,Apr_Period_2_Tbl[[#All],[$ SALARY]])+   SUMIF(May_Period_2_Tbl[[#All],[STAFF:]],$A18,May_Period_2_Tbl[[#All],[$ SALARY]])+   SUMIF(Jun_Period_2_Tbl[[#All],[STAFF:]],$A18,Jun_Period_2_Tbl[[#All],[$ SALARY]])+  SUMIF(Jul_Period_2_Tbl[[#All],[STAFF:]],$A18,Jul_Period_2_Tbl[[#All],[$ SALARY]])+  SUMIF(Aug_Period_2_Tbl[[#All],[STAFF:]],$A18,Aug_Period_2_Tbl[[#All],[$ SALARY]])+  SUMIF(Sep_Period_2_Tbl[[#All],[STAFF:]],$A18,Sep_Period_2_Tbl[[#All],[$ SALARY]])+  SUMIF(Oct_Period_2_Tbl[[#All],[STAFF:]],$A18,Oct_Period_2_Tbl[[#All],[$ SALARY]])+     SUMIF(Nov_Period_2_Tbl[[#All],[STAFF:]],$A18,Nov_Period_2_Tbl[[#All],[$ SALARY]])+  SUMIF(Dec_Period_2_Tbl[[#All],[STAFF:]],$A18,Dec_Period_2_Tbl[[#All],[$ SALARY]]))</f>
        <v>0</v>
      </c>
      <c r="I18" s="190">
        <f>(SUMIF(Jan_Period_1_Tbl[[#All],[STAFF:]],$A18,Jan_Period_1_Tbl[[#All],[$ SALARY PT]])+
SUMIF(Feb_Period_1_Tbl[[#All],[STAFF:]],$A18,Feb_Period_1_Tbl[[#All],[$ SALARY PT]])+SUMIF(Mar_Period_1_Tbl[[#All],[STAFF:]],$A18,Mar_Period_1_Tbl[[#All],[$ SALARY PT]])+SUMIF(Apr_Period_1_Tbl[[#All],[STAFF:]],$A18,Apr_Period_1_Tbl[[#All],[$ SALARY PT]])+   SUMIF(May_Period_1_Tbl[[#All],[STAFF:]],$A18,May_Period_1_Tbl[[#All],[$ SALARY PT]])+   SUMIF(Jun_Period_1_Tbl[[#All],[STAFF:]],$A18,Jun_Period_1_Tbl[[#All],[$ SALARY PT]])+  SUMIF(Jul_Period_1_Tbl[[#All],[STAFF:]],$A18,Jul_Period_1_Tbl[[#All],[$ SALARY PT]])+  SUMIF(Aug_Period_1_Tbl[[#All],[STAFF:]],$A18,Aug_Period_1_Tbl[[#All],[$ SALARY PT]])+  SUMIF(Sep_Period_1_Tbl[[#All],[STAFF:]],$A18,Sep_Period_1_Tbl[[#All],[$ SALARY PT]])+  SUMIF(Oct_Period_1_Tbl[[#All],[STAFF:]],$A18,Oct_Period_1_Tbl[[#All],[$ SALARY PT]])+     SUMIF(Nov_Period_1_Tbl[[#All],[STAFF:]],$A18,Nov_Period_1_Tbl[[#All],[$ SALARY PT]])+  SUMIF(Dec_Period_1_Tbl[[#All],[STAFF:]],$A18,Dec_Period_1_Tbl[[#All],[$ SALARY PT]]))+   (SUMIF(Jan_Period_2_Tbl[[#All],[STAFF:]],$A18,Jan_Period_2_Tbl[[#All],[$ SALARY PT]])+
SUMIF(Feb_Period_2_Tbl[[#All],[STAFF:]],$A18,Feb_Period_2_Tbl[[#All],[$ SALARY PT]])+SUMIF(Mar_Period_2_Tbl[[#All],[STAFF:]],$A18,Mar_Period_2_Tbl[[#All],[$ SALARY PT]])+SUMIF(Apr_Period_2_Tbl[[#All],[STAFF:]],$A18,Apr_Period_2_Tbl[[#All],[$ SALARY PT]])+   SUMIF(May_Period_2_Tbl[[#All],[STAFF:]],$A18,May_Period_2_Tbl[[#All],[$ SALARY PT]])+   SUMIF(Jun_Period_2_Tbl[[#All],[STAFF:]],$A18,Jun_Period_2_Tbl[[#All],[$ SALARY PT]])+  SUMIF(Jul_Period_2_Tbl[[#All],[STAFF:]],$A18,Jul_Period_2_Tbl[[#All],[$ SALARY PT]])+  SUMIF(Aug_Period_2_Tbl[[#All],[STAFF:]],$A18,Aug_Period_2_Tbl[[#All],[$ SALARY PT]])+  SUMIF(Sep_Period_2_Tbl[[#All],[STAFF:]],$A18,Sep_Period_2_Tbl[[#All],[$ SALARY PT]])+  SUMIF(Oct_Period_2_Tbl[[#All],[STAFF:]],$A18,Oct_Period_2_Tbl[[#All],[$ SALARY PT]])+     SUMIF(Nov_Period_2_Tbl[[#All],[STAFF:]],$A18,Nov_Period_2_Tbl[[#All],[$ SALARY PT]])+  SUMIF(Dec_Period_2_Tbl[[#All],[STAFF:]],$A18,Dec_Period_2_Tbl[[#All],[$ SALARY PT]]))</f>
        <v>0</v>
      </c>
      <c r="J18" s="190">
        <f>(SUMIF(Jan_Period_1_Tbl[[#All],[STAFF:]],$A18,Jan_Period_1_Tbl[[#All],[$ FREE PT]])+
SUMIF(Feb_Period_1_Tbl[[#All],[STAFF:]],$A18,Feb_Period_1_Tbl[[#All],[$ FREE PT]])+SUMIF(Mar_Period_1_Tbl[[#All],[STAFF:]],$A18,Mar_Period_1_Tbl[[#All],[$ FREE PT]])+SUMIF(Apr_Period_1_Tbl[[#All],[STAFF:]],$A18,Apr_Period_1_Tbl[[#All],[$ FREE PT]])+   SUMIF(May_Period_1_Tbl[[#All],[STAFF:]],$A18,May_Period_1_Tbl[[#All],[$ FREE PT]])+   SUMIF(Jun_Period_1_Tbl[[#All],[STAFF:]],$A18,Jun_Period_1_Tbl[[#All],[$ FREE PT]])+  SUMIF(Jul_Period_1_Tbl[[#All],[STAFF:]],$A18,Jul_Period_1_Tbl[[#All],[$ FREE PT]])+  SUMIF(Aug_Period_1_Tbl[[#All],[STAFF:]],$A18,Aug_Period_1_Tbl[[#All],[$ FREE PT]])+  SUMIF(Sep_Period_1_Tbl[[#All],[STAFF:]],$A18,Sep_Period_1_Tbl[[#All],[$ FREE PT]])+  SUMIF(Oct_Period_1_Tbl[[#All],[STAFF:]],$A18,Oct_Period_1_Tbl[[#All],[$ FREE PT]])+     SUMIF(Nov_Period_1_Tbl[[#All],[STAFF:]],$A18,Nov_Period_1_Tbl[[#All],[$ FREE PT]])+  SUMIF(Dec_Period_1_Tbl[[#All],[STAFF:]],$A18,Dec_Period_1_Tbl[[#All],[$ FREE PT]]))+   (SUMIF(Jan_Period_2_Tbl[[#All],[STAFF:]],$A18,Jan_Period_2_Tbl[[#All],[$ FREE PT]])+
SUMIF(Feb_Period_2_Tbl[[#All],[STAFF:]],$A18,Feb_Period_2_Tbl[[#All],[$ FREE PT]])+SUMIF(Mar_Period_2_Tbl[[#All],[STAFF:]],$A18,Mar_Period_2_Tbl[[#All],[$ FREE PT]])+SUMIF(Apr_Period_2_Tbl[[#All],[STAFF:]],$A18,Apr_Period_2_Tbl[[#All],[$ FREE PT]])+   SUMIF(May_Period_2_Tbl[[#All],[STAFF:]],$A18,May_Period_2_Tbl[[#All],[$ FREE PT]])+   SUMIF(Jun_Period_2_Tbl[[#All],[STAFF:]],$A18,Jun_Period_2_Tbl[[#All],[$ FREE PT]])+  SUMIF(Jul_Period_2_Tbl[[#All],[STAFF:]],$A18,Jul_Period_2_Tbl[[#All],[$ FREE PT]])+  SUMIF(Aug_Period_2_Tbl[[#All],[STAFF:]],$A18,Aug_Period_2_Tbl[[#All],[$ FREE PT]])+  SUMIF(Sep_Period_2_Tbl[[#All],[STAFF:]],$A18,Sep_Period_2_Tbl[[#All],[$ FREE PT]])+  SUMIF(Oct_Period_2_Tbl[[#All],[STAFF:]],$A18,Oct_Period_2_Tbl[[#All],[$ FREE PT]])+     SUMIF(Nov_Period_2_Tbl[[#All],[STAFF:]],$A18,Nov_Period_2_Tbl[[#All],[$ FREE PT]])+  SUMIF(Dec_Period_2_Tbl[[#All],[STAFF:]],$A18,Dec_Period_2_Tbl[[#All],[$ FREE PT]]))</f>
        <v>0</v>
      </c>
      <c r="K18" s="190">
        <f>(SUMIF(Jan_Period_1_Tbl[[#All],[STAFF:]],$A18,Jan_Period_1_Tbl[[#All],[$ PAID PT]])+
SUMIF(Feb_Period_1_Tbl[[#All],[STAFF:]],$A18,Feb_Period_1_Tbl[[#All],[$ PAID PT]])+SUMIF(Mar_Period_1_Tbl[[#All],[STAFF:]],$A18,Mar_Period_1_Tbl[[#All],[$ PAID PT]])+SUMIF(Apr_Period_1_Tbl[[#All],[STAFF:]],$A18,Apr_Period_1_Tbl[[#All],[$ PAID PT]])+   SUMIF(May_Period_1_Tbl[[#All],[STAFF:]],$A18,May_Period_1_Tbl[[#All],[$ PAID PT]])+   SUMIF(Jun_Period_1_Tbl[[#All],[STAFF:]],$A18,Jun_Period_1_Tbl[[#All],[$ PAID PT]])+  SUMIF(Jul_Period_1_Tbl[[#All],[STAFF:]],$A18,Jul_Period_1_Tbl[[#All],[$ PAID PT]])+  SUMIF(Aug_Period_1_Tbl[[#All],[STAFF:]],$A18,Aug_Period_1_Tbl[[#All],[$ PAID PT]])+  SUMIF(Sep_Period_1_Tbl[[#All],[STAFF:]],$A18,Sep_Period_1_Tbl[[#All],[$ PAID PT]])+  SUMIF(Oct_Period_1_Tbl[[#All],[STAFF:]],$A18,Oct_Period_1_Tbl[[#All],[$ PAID PT]])+     SUMIF(Nov_Period_1_Tbl[[#All],[STAFF:]],$A18,Nov_Period_1_Tbl[[#All],[$ PAID PT]])+  SUMIF(Dec_Period_1_Tbl[[#All],[STAFF:]],$A18,Dec_Period_1_Tbl[[#All],[$ PAID PT]]))+   (SUMIF(Jan_Period_2_Tbl[[#All],[STAFF:]],$A18,Jan_Period_2_Tbl[[#All],[$ PAID PT]])+
SUMIF(Feb_Period_2_Tbl[[#All],[STAFF:]],$A18,Feb_Period_2_Tbl[[#All],[$ PAID PT]])+SUMIF(Mar_Period_2_Tbl[[#All],[STAFF:]],$A18,Mar_Period_2_Tbl[[#All],[$ PAID PT]])+SUMIF(Apr_Period_2_Tbl[[#All],[STAFF:]],$A18,Apr_Period_2_Tbl[[#All],[$ PAID PT]])+   SUMIF(May_Period_2_Tbl[[#All],[STAFF:]],$A18,May_Period_2_Tbl[[#All],[$ PAID PT]])+   SUMIF(Jun_Period_2_Tbl[[#All],[STAFF:]],$A18,Jun_Period_2_Tbl[[#All],[$ PAID PT]])+  SUMIF(Jul_Period_2_Tbl[[#All],[STAFF:]],$A18,Jul_Period_2_Tbl[[#All],[$ PAID PT]])+  SUMIF(Aug_Period_2_Tbl[[#All],[STAFF:]],$A18,Aug_Period_2_Tbl[[#All],[$ PAID PT]])+  SUMIF(Sep_Period_2_Tbl[[#All],[STAFF:]],$A18,Sep_Period_2_Tbl[[#All],[$ PAID PT]])+  SUMIF(Oct_Period_2_Tbl[[#All],[STAFF:]],$A18,Oct_Period_2_Tbl[[#All],[$ PAID PT]])+     SUMIF(Nov_Period_2_Tbl[[#All],[STAFF:]],$A18,Nov_Period_2_Tbl[[#All],[$ PAID PT]])+  SUMIF(Dec_Period_2_Tbl[[#All],[STAFF:]],$A18,Dec_Period_2_Tbl[[#All],[$ PAID PT]]))</f>
        <v>0</v>
      </c>
      <c r="L18" s="190">
        <f>(SUMIF(Jan_Period_1_Tbl[[#All],[STAFF:]],$A18,Jan_Period_1_Tbl[[#All],[$ PT COMM]])+
SUMIF(Feb_Period_1_Tbl[[#All],[STAFF:]],$A18,Feb_Period_1_Tbl[[#All],[$ PT COMM]])+SUMIF(Mar_Period_1_Tbl[[#All],[STAFF:]],$A18,Mar_Period_1_Tbl[[#All],[$ PT COMM]])+SUMIF(Apr_Period_1_Tbl[[#All],[STAFF:]],$A18,Apr_Period_1_Tbl[[#All],[$ PT COMM]])+   SUMIF(May_Period_1_Tbl[[#All],[STAFF:]],$A18,May_Period_1_Tbl[[#All],[$ PT COMM]])+   SUMIF(Jun_Period_1_Tbl[[#All],[STAFF:]],$A18,Jun_Period_1_Tbl[[#All],[$ PT COMM]])+  SUMIF(Jul_Period_1_Tbl[[#All],[STAFF:]],$A18,Jul_Period_1_Tbl[[#All],[$ PT COMM]])+  SUMIF(Aug_Period_1_Tbl[[#All],[STAFF:]],$A18,Aug_Period_1_Tbl[[#All],[$ PT COMM]])+  SUMIF(Sep_Period_1_Tbl[[#All],[STAFF:]],$A18,Sep_Period_1_Tbl[[#All],[$ PT COMM]])+  SUMIF(Oct_Period_1_Tbl[[#All],[STAFF:]],$A18,Oct_Period_1_Tbl[[#All],[$ PT COMM]])+     SUMIF(Nov_Period_1_Tbl[[#All],[STAFF:]],$A18,Nov_Period_1_Tbl[[#All],[$ PT COMM]])+  SUMIF(Dec_Period_1_Tbl[[#All],[STAFF:]],$A18,Dec_Period_1_Tbl[[#All],[$ PT COMM]]))+   (SUMIF(Jan_Period_2_Tbl[[#All],[STAFF:]],$A18,Jan_Period_2_Tbl[[#All],[$ PT COMM]])+
SUMIF(Feb_Period_2_Tbl[[#All],[STAFF:]],$A18,Feb_Period_2_Tbl[[#All],[$ PT COMM]])+SUMIF(Mar_Period_2_Tbl[[#All],[STAFF:]],$A18,Mar_Period_2_Tbl[[#All],[$ PT COMM]])+SUMIF(Apr_Period_2_Tbl[[#All],[STAFF:]],$A18,Apr_Period_2_Tbl[[#All],[$ PT COMM]])+   SUMIF(May_Period_2_Tbl[[#All],[STAFF:]],$A18,May_Period_2_Tbl[[#All],[$ PT COMM]])+   SUMIF(Jun_Period_2_Tbl[[#All],[STAFF:]],$A18,Jun_Period_2_Tbl[[#All],[$ PT COMM]])+  SUMIF(Jul_Period_2_Tbl[[#All],[STAFF:]],$A18,Jul_Period_2_Tbl[[#All],[$ PT COMM]])+  SUMIF(Aug_Period_2_Tbl[[#All],[STAFF:]],$A18,Aug_Period_2_Tbl[[#All],[$ PT COMM]])+  SUMIF(Sep_Period_2_Tbl[[#All],[STAFF:]],$A18,Sep_Period_2_Tbl[[#All],[$ PT COMM]])+  SUMIF(Oct_Period_2_Tbl[[#All],[STAFF:]],$A18,Oct_Period_2_Tbl[[#All],[$ PT COMM]])+     SUMIF(Nov_Period_2_Tbl[[#All],[STAFF:]],$A18,Nov_Period_2_Tbl[[#All],[$ PT COMM]])+  SUMIF(Dec_Period_2_Tbl[[#All],[STAFF:]],$A18,Dec_Period_2_Tbl[[#All],[$ PT COMM]]))</f>
        <v>0</v>
      </c>
      <c r="M18" s="190">
        <f>(SUMIF(Jan_Period_1_Tbl[[#All],[STAFF:]],$A18,Jan_Period_1_Tbl[[#All],[$ EFT COMM]])+
SUMIF(Feb_Period_1_Tbl[[#All],[STAFF:]],$A18,Feb_Period_1_Tbl[[#All],[$ EFT COMM]])+SUMIF(Mar_Period_1_Tbl[[#All],[STAFF:]],$A18,Mar_Period_1_Tbl[[#All],[$ EFT COMM]])+SUMIF(Apr_Period_1_Tbl[[#All],[STAFF:]],$A18,Apr_Period_1_Tbl[[#All],[$ EFT COMM]])+   SUMIF(May_Period_1_Tbl[[#All],[STAFF:]],$A18,May_Period_1_Tbl[[#All],[$ EFT COMM]])+   SUMIF(Jun_Period_1_Tbl[[#All],[STAFF:]],$A18,Jun_Period_1_Tbl[[#All],[$ EFT COMM]])+  SUMIF(Jul_Period_1_Tbl[[#All],[STAFF:]],$A18,Jul_Period_1_Tbl[[#All],[$ EFT COMM]])+  SUMIF(Aug_Period_1_Tbl[[#All],[STAFF:]],$A18,Aug_Period_1_Tbl[[#All],[$ EFT COMM]])+  SUMIF(Sep_Period_1_Tbl[[#All],[STAFF:]],$A18,Sep_Period_1_Tbl[[#All],[$ EFT COMM]])+  SUMIF(Oct_Period_1_Tbl[[#All],[STAFF:]],$A18,Oct_Period_1_Tbl[[#All],[$ EFT COMM]])+     SUMIF(Nov_Period_1_Tbl[[#All],[STAFF:]],$A18,Nov_Period_1_Tbl[[#All],[$ EFT COMM]])+  SUMIF(Dec_Period_1_Tbl[[#All],[STAFF:]],$A18,Dec_Period_1_Tbl[[#All],[$ EFT COMM]]))+   (SUMIF(Jan_Period_2_Tbl[[#All],[STAFF:]],$A18,Jan_Period_2_Tbl[[#All],[$ EFT COMM]])+
SUMIF(Feb_Period_2_Tbl[[#All],[STAFF:]],$A18,Feb_Period_2_Tbl[[#All],[$ EFT COMM]])+SUMIF(Mar_Period_2_Tbl[[#All],[STAFF:]],$A18,Mar_Period_2_Tbl[[#All],[$ EFT COMM]])+SUMIF(Apr_Period_2_Tbl[[#All],[STAFF:]],$A18,Apr_Period_2_Tbl[[#All],[$ EFT COMM]])+   SUMIF(May_Period_2_Tbl[[#All],[STAFF:]],$A18,May_Period_2_Tbl[[#All],[$ EFT COMM]])+   SUMIF(Jun_Period_2_Tbl[[#All],[STAFF:]],$A18,Jun_Period_2_Tbl[[#All],[$ EFT COMM]])+  SUMIF(Jul_Period_2_Tbl[[#All],[STAFF:]],$A18,Jul_Period_2_Tbl[[#All],[$ EFT COMM]])+  SUMIF(Aug_Period_2_Tbl[[#All],[STAFF:]],$A18,Aug_Period_2_Tbl[[#All],[$ EFT COMM]])+  SUMIF(Sep_Period_2_Tbl[[#All],[STAFF:]],$A18,Sep_Period_2_Tbl[[#All],[$ EFT COMM]])+  SUMIF(Oct_Period_2_Tbl[[#All],[STAFF:]],$A18,Oct_Period_2_Tbl[[#All],[$ EFT COMM]])+     SUMIF(Nov_Period_2_Tbl[[#All],[STAFF:]],$A18,Nov_Period_2_Tbl[[#All],[$ EFT COMM]])+  SUMIF(Dec_Period_2_Tbl[[#All],[STAFF:]],$A18,Dec_Period_2_Tbl[[#All],[$ EFT COMM]]))</f>
        <v>0</v>
      </c>
      <c r="N18" s="190">
        <f>(SUMIF(Jan_Period_1_Tbl[[#All],[STAFF:]],$A18,Jan_Period_1_Tbl[[#All],[$ CLASS PAY]])+
SUMIF(Feb_Period_1_Tbl[[#All],[STAFF:]],$A18,Feb_Period_1_Tbl[[#All],[$ CLASS PAY]])+SUMIF(Mar_Period_1_Tbl[[#All],[STAFF:]],$A18,Mar_Period_1_Tbl[[#All],[$ CLASS PAY]])+SUMIF(Apr_Period_1_Tbl[[#All],[STAFF:]],$A18,Apr_Period_1_Tbl[[#All],[$ CLASS PAY]])+   SUMIF(May_Period_1_Tbl[[#All],[STAFF:]],$A18,May_Period_1_Tbl[[#All],[$ CLASS PAY]])+   SUMIF(Jun_Period_1_Tbl[[#All],[STAFF:]],$A18,Jun_Period_1_Tbl[[#All],[$ CLASS PAY]])+  SUMIF(Jul_Period_1_Tbl[[#All],[STAFF:]],$A18,Jul_Period_1_Tbl[[#All],[$ CLASS PAY]])+  SUMIF(Aug_Period_1_Tbl[[#All],[STAFF:]],$A18,Aug_Period_1_Tbl[[#All],[$ CLASS PAY]])+  SUMIF(Sep_Period_1_Tbl[[#All],[STAFF:]],$A18,Sep_Period_1_Tbl[[#All],[$ CLASS PAY]])+  SUMIF(Oct_Period_1_Tbl[[#All],[STAFF:]],$A18,Oct_Period_1_Tbl[[#All],[$ CLASS PAY]])+     SUMIF(Nov_Period_1_Tbl[[#All],[STAFF:]],$A18,Nov_Period_1_Tbl[[#All],[$ CLASS PAY]])+  SUMIF(Dec_Period_1_Tbl[[#All],[STAFF:]],$A18,Dec_Period_1_Tbl[[#All],[$ CLASS PAY]]))+   (SUMIF(Jan_Period_2_Tbl[[#All],[STAFF:]],$A18,Jan_Period_2_Tbl[[#All],[$ CLASS PAY]])+
SUMIF(Feb_Period_2_Tbl[[#All],[STAFF:]],$A18,Feb_Period_2_Tbl[[#All],[$ CLASS PAY]])+SUMIF(Mar_Period_2_Tbl[[#All],[STAFF:]],$A18,Mar_Period_2_Tbl[[#All],[$ CLASS PAY]])+SUMIF(Apr_Period_2_Tbl[[#All],[STAFF:]],$A18,Apr_Period_2_Tbl[[#All],[$ CLASS PAY]])+   SUMIF(May_Period_2_Tbl[[#All],[STAFF:]],$A18,May_Period_2_Tbl[[#All],[$ CLASS PAY]])+   SUMIF(Jun_Period_2_Tbl[[#All],[STAFF:]],$A18,Jun_Period_2_Tbl[[#All],[$ CLASS PAY]])+  SUMIF(Jul_Period_2_Tbl[[#All],[STAFF:]],$A18,Jul_Period_2_Tbl[[#All],[$ CLASS PAY]])+  SUMIF(Aug_Period_2_Tbl[[#All],[STAFF:]],$A18,Aug_Period_2_Tbl[[#All],[$ CLASS PAY]])+  SUMIF(Sep_Period_2_Tbl[[#All],[STAFF:]],$A18,Sep_Period_2_Tbl[[#All],[$ CLASS PAY]])+  SUMIF(Oct_Period_2_Tbl[[#All],[STAFF:]],$A18,Oct_Period_2_Tbl[[#All],[$ CLASS PAY]])+     SUMIF(Nov_Period_2_Tbl[[#All],[STAFF:]],$A18,Nov_Period_2_Tbl[[#All],[$ CLASS PAY]])+  SUMIF(Dec_Period_2_Tbl[[#All],[STAFF:]],$A18,Dec_Period_2_Tbl[[#All],[$ CLASS PAY]]))</f>
        <v>0</v>
      </c>
      <c r="O18" s="191">
        <f>(SUMIF(Jan_Period_1_Tbl[[#All],[STAFF:]],$A18,Jan_Period_1_Tbl[[#All],[$ BONUS PAY]])+
SUMIF(Feb_Period_1_Tbl[[#All],[STAFF:]],$A18,Feb_Period_1_Tbl[[#All],[$ BONUS PAY]])+SUMIF(Mar_Period_1_Tbl[[#All],[STAFF:]],$A18,Mar_Period_1_Tbl[[#All],[$ BONUS PAY]])+SUMIF(Apr_Period_1_Tbl[[#All],[STAFF:]],$A18,Apr_Period_1_Tbl[[#All],[$ BONUS PAY]])+   SUMIF(May_Period_1_Tbl[[#All],[STAFF:]],$A18,May_Period_1_Tbl[[#All],[$ BONUS PAY]])+   SUMIF(Jun_Period_1_Tbl[[#All],[STAFF:]],$A18,Jun_Period_1_Tbl[[#All],[$ BONUS PAY]])+  SUMIF(Jul_Period_1_Tbl[[#All],[STAFF:]],$A18,Jul_Period_1_Tbl[[#All],[$ BONUS PAY]])+  SUMIF(Aug_Period_1_Tbl[[#All],[STAFF:]],$A18,Aug_Period_1_Tbl[[#All],[$ BONUS PAY]])+  SUMIF(Sep_Period_1_Tbl[[#All],[STAFF:]],$A18,Sep_Period_1_Tbl[[#All],[$ BONUS PAY]])+  SUMIF(Oct_Period_1_Tbl[[#All],[STAFF:]],$A18,Oct_Period_1_Tbl[[#All],[$ BONUS PAY]])+     SUMIF(Nov_Period_1_Tbl[[#All],[STAFF:]],$A18,Nov_Period_1_Tbl[[#All],[$ BONUS PAY]])+  SUMIF(Dec_Period_1_Tbl[[#All],[STAFF:]],$A18,Dec_Period_1_Tbl[[#All],[$ BONUS PAY]]))+   (SUMIF(Jan_Period_2_Tbl[[#All],[STAFF:]],$A18,Jan_Period_2_Tbl[[#All],[$ BONUS PAY]])+
SUMIF(Feb_Period_2_Tbl[[#All],[STAFF:]],$A18,Feb_Period_2_Tbl[[#All],[$ BONUS PAY]])+SUMIF(Mar_Period_2_Tbl[[#All],[STAFF:]],$A18,Mar_Period_2_Tbl[[#All],[$ BONUS PAY]])+SUMIF(Apr_Period_2_Tbl[[#All],[STAFF:]],$A18,Apr_Period_2_Tbl[[#All],[$ BONUS PAY]])+   SUMIF(May_Period_2_Tbl[[#All],[STAFF:]],$A18,May_Period_2_Tbl[[#All],[$ BONUS PAY]])+   SUMIF(Jun_Period_2_Tbl[[#All],[STAFF:]],$A18,Jun_Period_2_Tbl[[#All],[$ BONUS PAY]])+  SUMIF(Jul_Period_2_Tbl[[#All],[STAFF:]],$A18,Jul_Period_2_Tbl[[#All],[$ BONUS PAY]])+  SUMIF(Aug_Period_2_Tbl[[#All],[STAFF:]],$A18,Aug_Period_2_Tbl[[#All],[$ BONUS PAY]])+  SUMIF(Sep_Period_2_Tbl[[#All],[STAFF:]],$A18,Sep_Period_2_Tbl[[#All],[$ BONUS PAY]])+  SUMIF(Oct_Period_2_Tbl[[#All],[STAFF:]],$A18,Oct_Period_2_Tbl[[#All],[$ BONUS PAY]])+     SUMIF(Nov_Period_2_Tbl[[#All],[STAFF:]],$A18,Nov_Period_2_Tbl[[#All],[$ BONUS PAY]])+  SUMIF(Dec_Period_2_Tbl[[#All],[STAFF:]],$A18,Dec_Period_2_Tbl[[#All],[$ BONUS PAY]]))</f>
        <v>0</v>
      </c>
      <c r="P18" s="179">
        <f t="shared" si="0"/>
        <v>0</v>
      </c>
      <c r="Q18" s="149"/>
      <c r="R18" s="152">
        <f>(SUMIF(Jan_Period_1_Tbl[[#All],[STAFF:]],$A18,Jan_Period_1_Tbl[[#All],['# POINTS EARNED]])+
SUMIF(Feb_Period_1_Tbl[[#All],[STAFF:]],$A18,Feb_Period_1_Tbl[[#All],['# POINTS EARNED]])+SUMIF(Mar_Period_1_Tbl[[#All],[STAFF:]],$A18,Mar_Period_1_Tbl[[#All],['# POINTS EARNED]])+SUMIF(Apr_Period_1_Tbl[[#All],[STAFF:]],$A18,Apr_Period_1_Tbl[[#All],['# POINTS EARNED]])+   SUMIF(May_Period_1_Tbl[[#All],[STAFF:]],$A18,May_Period_1_Tbl[[#All],['# POINTS EARNED]])+   SUMIF(Jun_Period_1_Tbl[[#All],[STAFF:]],$A18,Jun_Period_1_Tbl[[#All],['# POINTS EARNED]])+  SUMIF(Jul_Period_1_Tbl[[#All],[STAFF:]],$A18,Jul_Period_1_Tbl[[#All],['# POINTS EARNED]])+  SUMIF(Aug_Period_1_Tbl[[#All],[STAFF:]],$A18,Aug_Period_1_Tbl[[#All],['# POINTS EARNED]])+  SUMIF(Sep_Period_1_Tbl[[#All],[STAFF:]],$A18,Sep_Period_1_Tbl[[#All],['# POINTS EARNED]])+  SUMIF(Oct_Period_1_Tbl[[#All],[STAFF:]],$A18,Oct_Period_1_Tbl[[#All],['# POINTS EARNED]])+     SUMIF(Nov_Period_1_Tbl[[#All],[STAFF:]],$A18,Nov_Period_1_Tbl[[#All],['# POINTS EARNED]])+  SUMIF(Dec_Period_1_Tbl[[#All],[STAFF:]],$A18,Dec_Period_1_Tbl[[#All],['# POINTS EARNED]]))+   (SUMIF(Jan_Period_2_Tbl[[#All],[STAFF:]],$A18,Jan_Period_2_Tbl[[#All],['# POINTS EARNED]])+
SUMIF(Feb_Period_2_Tbl[[#All],[STAFF:]],$A18,Feb_Period_2_Tbl[[#All],['# POINTS EARNED]])+SUMIF(Mar_Period_2_Tbl[[#All],[STAFF:]],$A18,Mar_Period_2_Tbl[[#All],['# POINTS EARNED]])+SUMIF(Apr_Period_2_Tbl[[#All],[STAFF:]],$A18,Apr_Period_2_Tbl[[#All],['# POINTS EARNED]])+   SUMIF(May_Period_2_Tbl[[#All],[STAFF:]],$A18,May_Period_2_Tbl[[#All],['# POINTS EARNED]])+   SUMIF(Jun_Period_2_Tbl[[#All],[STAFF:]],$A18,Jun_Period_2_Tbl[[#All],['# POINTS EARNED]])+  SUMIF(Jul_Period_2_Tbl[[#All],[STAFF:]],$A18,Jul_Period_2_Tbl[[#All],['# POINTS EARNED]])+  SUMIF(Aug_Period_2_Tbl[[#All],[STAFF:]],$A18,Aug_Period_2_Tbl[[#All],['# POINTS EARNED]])+  SUMIF(Sep_Period_2_Tbl[[#All],[STAFF:]],$A18,Sep_Period_2_Tbl[[#All],['# POINTS EARNED]])+  SUMIF(Oct_Period_2_Tbl[[#All],[STAFF:]],$A18,Oct_Period_2_Tbl[[#All],['# POINTS EARNED]])+     SUMIF(Nov_Period_2_Tbl[[#All],[STAFF:]],$A18,Nov_Period_2_Tbl[[#All],['# POINTS EARNED]])+  SUMIF(Dec_Period_2_Tbl[[#All],[STAFF:]],$A18,Dec_Period_2_Tbl[[#All],['# POINTS EARNED]]))</f>
        <v>0</v>
      </c>
      <c r="S18" s="152">
        <f>(SUMIF(Jan_Period_1_Tbl[[#All],[STAFF:]],$A18,Jan_Period_1_Tbl[[#All],['# POINTS USED]])+
SUMIF(Feb_Period_1_Tbl[[#All],[STAFF:]],$A18,Feb_Period_1_Tbl[[#All],['# POINTS USED]])+SUMIF(Mar_Period_1_Tbl[[#All],[STAFF:]],$A18,Mar_Period_1_Tbl[[#All],['# POINTS USED]])+SUMIF(Apr_Period_1_Tbl[[#All],[STAFF:]],$A18,Apr_Period_1_Tbl[[#All],['# POINTS USED]])+   SUMIF(May_Period_1_Tbl[[#All],[STAFF:]],$A18,May_Period_1_Tbl[[#All],['# POINTS USED]])+   SUMIF(Jun_Period_1_Tbl[[#All],[STAFF:]],$A18,Jun_Period_1_Tbl[[#All],['# POINTS USED]])+  SUMIF(Jul_Period_1_Tbl[[#All],[STAFF:]],$A18,Jul_Period_1_Tbl[[#All],['# POINTS USED]])+  SUMIF(Aug_Period_1_Tbl[[#All],[STAFF:]],$A18,Aug_Period_1_Tbl[[#All],['# POINTS USED]])+  SUMIF(Sep_Period_1_Tbl[[#All],[STAFF:]],$A18,Sep_Period_1_Tbl[[#All],['# POINTS USED]])+  SUMIF(Oct_Period_1_Tbl[[#All],[STAFF:]],$A18,Oct_Period_1_Tbl[[#All],['# POINTS USED]])+     SUMIF(Nov_Period_1_Tbl[[#All],[STAFF:]],$A18,Nov_Period_1_Tbl[[#All],['# POINTS USED]])+  SUMIF(Dec_Period_1_Tbl[[#All],[STAFF:]],$A18,Dec_Period_1_Tbl[[#All],['# POINTS USED]]))+   (SUMIF(Jan_Period_2_Tbl[[#All],[STAFF:]],$A18,Jan_Period_2_Tbl[[#All],['# POINTS USED]])+
SUMIF(Feb_Period_2_Tbl[[#All],[STAFF:]],$A18,Feb_Period_2_Tbl[[#All],['# POINTS USED]])+SUMIF(Mar_Period_2_Tbl[[#All],[STAFF:]],$A18,Mar_Period_2_Tbl[[#All],['# POINTS USED]])+SUMIF(Apr_Period_2_Tbl[[#All],[STAFF:]],$A18,Apr_Period_2_Tbl[[#All],['# POINTS USED]])+   SUMIF(May_Period_2_Tbl[[#All],[STAFF:]],$A18,May_Period_2_Tbl[[#All],['# POINTS USED]])+   SUMIF(Jun_Period_2_Tbl[[#All],[STAFF:]],$A18,Jun_Period_2_Tbl[[#All],['# POINTS USED]])+  SUMIF(Jul_Period_2_Tbl[[#All],[STAFF:]],$A18,Jul_Period_2_Tbl[[#All],['# POINTS USED]])+  SUMIF(Aug_Period_2_Tbl[[#All],[STAFF:]],$A18,Aug_Period_2_Tbl[[#All],['# POINTS USED]])+  SUMIF(Sep_Period_2_Tbl[[#All],[STAFF:]],$A18,Sep_Period_2_Tbl[[#All],['# POINTS USED]])+  SUMIF(Oct_Period_2_Tbl[[#All],[STAFF:]],$A18,Oct_Period_2_Tbl[[#All],['# POINTS USED]])+     SUMIF(Nov_Period_2_Tbl[[#All],[STAFF:]],$A18,Nov_Period_2_Tbl[[#All],['# POINTS USED]])+  SUMIF(Dec_Period_2_Tbl[[#All],[STAFF:]],$A18,Dec_Period_2_Tbl[[#All],['# POINTS USED]]))</f>
        <v>0</v>
      </c>
      <c r="T18" s="152">
        <f>(SUMIF(Jan_Period_1_Tbl[[#All],[STAFF:]],$A18,Jan_Period_1_Tbl[[#All],['# CLASSES LEAD]])+
SUMIF(Feb_Period_1_Tbl[[#All],[STAFF:]],$A18,Feb_Period_1_Tbl[[#All],['# CLASSES LEAD]])+SUMIF(Mar_Period_1_Tbl[[#All],[STAFF:]],$A18,Mar_Period_1_Tbl[[#All],['# CLASSES LEAD]])+SUMIF(Apr_Period_1_Tbl[[#All],[STAFF:]],$A18,Apr_Period_1_Tbl[[#All],['# CLASSES LEAD]])+   SUMIF(May_Period_1_Tbl[[#All],[STAFF:]],$A18,May_Period_1_Tbl[[#All],['# CLASSES LEAD]])+   SUMIF(Jun_Period_1_Tbl[[#All],[STAFF:]],$A18,Jun_Period_1_Tbl[[#All],['# CLASSES LEAD]])+  SUMIF(Jul_Period_1_Tbl[[#All],[STAFF:]],$A18,Jul_Period_1_Tbl[[#All],['# CLASSES LEAD]])+  SUMIF(Aug_Period_1_Tbl[[#All],[STAFF:]],$A18,Aug_Period_1_Tbl[[#All],['# CLASSES LEAD]])+  SUMIF(Sep_Period_1_Tbl[[#All],[STAFF:]],$A18,Sep_Period_1_Tbl[[#All],['# CLASSES LEAD]])+  SUMIF(Oct_Period_1_Tbl[[#All],[STAFF:]],$A18,Oct_Period_1_Tbl[[#All],['# CLASSES LEAD]])+     SUMIF(Nov_Period_1_Tbl[[#All],[STAFF:]],$A18,Nov_Period_1_Tbl[[#All],['# CLASSES LEAD]])+  SUMIF(Dec_Period_1_Tbl[[#All],[STAFF:]],$A18,Dec_Period_1_Tbl[[#All],['# CLASSES LEAD]]))+   (SUMIF(Jan_Period_2_Tbl[[#All],[STAFF:]],$A18,Jan_Period_2_Tbl[[#All],['# CLASSES LEAD]])+
SUMIF(Feb_Period_2_Tbl[[#All],[STAFF:]],$A18,Feb_Period_2_Tbl[[#All],['# CLASSES LEAD]])+SUMIF(Mar_Period_2_Tbl[[#All],[STAFF:]],$A18,Mar_Period_2_Tbl[[#All],['# CLASSES LEAD]])+SUMIF(Apr_Period_2_Tbl[[#All],[STAFF:]],$A18,Apr_Period_2_Tbl[[#All],['# CLASSES LEAD]])+   SUMIF(May_Period_2_Tbl[[#All],[STAFF:]],$A18,May_Period_2_Tbl[[#All],['# CLASSES LEAD]])+   SUMIF(Jun_Period_2_Tbl[[#All],[STAFF:]],$A18,Jun_Period_2_Tbl[[#All],['# CLASSES LEAD]])+  SUMIF(Jul_Period_2_Tbl[[#All],[STAFF:]],$A18,Jul_Period_2_Tbl[[#All],['# CLASSES LEAD]])+  SUMIF(Aug_Period_2_Tbl[[#All],[STAFF:]],$A18,Aug_Period_2_Tbl[[#All],['# CLASSES LEAD]])+  SUMIF(Sep_Period_2_Tbl[[#All],[STAFF:]],$A18,Sep_Period_2_Tbl[[#All],['# CLASSES LEAD]])+  SUMIF(Oct_Period_2_Tbl[[#All],[STAFF:]],$A18,Oct_Period_2_Tbl[[#All],['# CLASSES LEAD]])+     SUMIF(Nov_Period_2_Tbl[[#All],[STAFF:]],$A18,Nov_Period_2_Tbl[[#All],['# CLASSES LEAD]])+  SUMIF(Dec_Period_2_Tbl[[#All],[STAFF:]],$A18,Dec_Period_2_Tbl[[#All],['# CLASSES LEAD]]))</f>
        <v>0</v>
      </c>
      <c r="U18" s="152">
        <f>(SUMIF(Jan_Period_1_Tbl[[#All],[STAFF:]],$A18,Jan_Period_1_Tbl[[#All],['# CLASSES SHOW]])+
SUMIF(Feb_Period_1_Tbl[[#All],[STAFF:]],$A18,Feb_Period_1_Tbl[[#All],['# CLASSES SHOW]])+SUMIF(Mar_Period_1_Tbl[[#All],[STAFF:]],$A18,Mar_Period_1_Tbl[[#All],['# CLASSES SHOW]])+SUMIF(Apr_Period_1_Tbl[[#All],[STAFF:]],$A18,Apr_Period_1_Tbl[[#All],['# CLASSES SHOW]])+   SUMIF(May_Period_1_Tbl[[#All],[STAFF:]],$A18,May_Period_1_Tbl[[#All],['# CLASSES SHOW]])+   SUMIF(Jun_Period_1_Tbl[[#All],[STAFF:]],$A18,Jun_Period_1_Tbl[[#All],['# CLASSES SHOW]])+  SUMIF(Jul_Period_1_Tbl[[#All],[STAFF:]],$A18,Jul_Period_1_Tbl[[#All],['# CLASSES SHOW]])+  SUMIF(Aug_Period_1_Tbl[[#All],[STAFF:]],$A18,Aug_Period_1_Tbl[[#All],['# CLASSES SHOW]])+  SUMIF(Sep_Period_1_Tbl[[#All],[STAFF:]],$A18,Sep_Period_1_Tbl[[#All],['# CLASSES SHOW]])+  SUMIF(Oct_Period_1_Tbl[[#All],[STAFF:]],$A18,Oct_Period_1_Tbl[[#All],['# CLASSES SHOW]])+     SUMIF(Nov_Period_1_Tbl[[#All],[STAFF:]],$A18,Nov_Period_1_Tbl[[#All],['# CLASSES SHOW]])+  SUMIF(Dec_Period_1_Tbl[[#All],[STAFF:]],$A18,Dec_Period_1_Tbl[[#All],['# CLASSES SHOW]]))+   (SUMIF(Jan_Period_2_Tbl[[#All],[STAFF:]],$A18,Jan_Period_2_Tbl[[#All],['# CLASSES SHOW]])+
SUMIF(Feb_Period_2_Tbl[[#All],[STAFF:]],$A18,Feb_Period_2_Tbl[[#All],['# CLASSES SHOW]])+SUMIF(Mar_Period_2_Tbl[[#All],[STAFF:]],$A18,Mar_Period_2_Tbl[[#All],['# CLASSES SHOW]])+SUMIF(Apr_Period_2_Tbl[[#All],[STAFF:]],$A18,Apr_Period_2_Tbl[[#All],['# CLASSES SHOW]])+   SUMIF(May_Period_2_Tbl[[#All],[STAFF:]],$A18,May_Period_2_Tbl[[#All],['# CLASSES SHOW]])+   SUMIF(Jun_Period_2_Tbl[[#All],[STAFF:]],$A18,Jun_Period_2_Tbl[[#All],['# CLASSES SHOW]])+  SUMIF(Jul_Period_2_Tbl[[#All],[STAFF:]],$A18,Jul_Period_2_Tbl[[#All],['# CLASSES SHOW]])+  SUMIF(Aug_Period_2_Tbl[[#All],[STAFF:]],$A18,Aug_Period_2_Tbl[[#All],['# CLASSES SHOW]])+  SUMIF(Sep_Period_2_Tbl[[#All],[STAFF:]],$A18,Sep_Period_2_Tbl[[#All],['# CLASSES SHOW]])+  SUMIF(Oct_Period_2_Tbl[[#All],[STAFF:]],$A18,Oct_Period_2_Tbl[[#All],['# CLASSES SHOW]])+     SUMIF(Nov_Period_2_Tbl[[#All],[STAFF:]],$A18,Nov_Period_2_Tbl[[#All],['# CLASSES SHOW]])+  SUMIF(Dec_Period_2_Tbl[[#All],[STAFF:]],$A18,Dec_Period_2_Tbl[[#All],['# CLASSES SHOW]]))</f>
        <v>0</v>
      </c>
      <c r="V18" s="156"/>
      <c r="W18" s="156"/>
      <c r="X18" s="154">
        <f t="shared" si="1"/>
        <v>0</v>
      </c>
      <c r="Y18" s="154">
        <f t="shared" si="2"/>
        <v>0</v>
      </c>
      <c r="Z18" s="154">
        <f t="shared" si="3"/>
        <v>0</v>
      </c>
      <c r="AA18" s="154">
        <f t="shared" si="4"/>
        <v>0</v>
      </c>
      <c r="AB18" s="154">
        <f t="shared" si="5"/>
        <v>0</v>
      </c>
      <c r="AC18" s="154">
        <f t="shared" si="6"/>
        <v>0</v>
      </c>
      <c r="AD18" s="154">
        <f t="shared" si="7"/>
        <v>0</v>
      </c>
      <c r="AE18" s="149"/>
      <c r="AF18" s="149"/>
      <c r="AG18" s="149"/>
      <c r="AH18" s="149"/>
      <c r="AJ18" s="75" t="str">
        <f t="shared" si="8"/>
        <v>zBlank</v>
      </c>
      <c r="AK18" s="210"/>
      <c r="AL18" s="168">
        <f>IFERROR(VLOOKUP(B18,List!$A:$B,2,FALSE),-1)</f>
        <v>-1</v>
      </c>
      <c r="AM18" s="168">
        <f>IFERROR(VLOOKUP(C18,List!$A:$B,2,FALSE),-1)</f>
        <v>-1</v>
      </c>
    </row>
    <row r="19" spans="1:39" ht="15" hidden="1" customHeight="1" x14ac:dyDescent="0.25">
      <c r="A19" s="20"/>
      <c r="B19" s="186"/>
      <c r="C19" s="186"/>
      <c r="D19" s="187"/>
      <c r="E19" s="188">
        <f>(SUMIF(Jan_Period_1_Tbl[[#All],[STAFF:]],$A19,Jan_Period_1_Tbl[[#All],['# PTO USED]])+
SUMIF(Feb_Period_1_Tbl[[#All],[STAFF:]],$A19,Feb_Period_1_Tbl[[#All],['# PTO USED]])+SUMIF(Mar_Period_1_Tbl[[#All],[STAFF:]],$A19,Mar_Period_1_Tbl[[#All],['# PTO USED]])+SUMIF(Apr_Period_1_Tbl[[#All],[STAFF:]],$A19,Apr_Period_1_Tbl[[#All],['# PTO USED]])+   SUMIF(May_Period_1_Tbl[[#All],[STAFF:]],$A19,May_Period_1_Tbl[[#All],['# PTO USED]])+   SUMIF(Jun_Period_1_Tbl[[#All],[STAFF:]],$A19,Jun_Period_1_Tbl[[#All],['# PTO USED]])+  SUMIF(Jul_Period_1_Tbl[[#All],[STAFF:]],$A19,Jul_Period_1_Tbl[[#All],['# PTO USED]])+  SUMIF(Aug_Period_1_Tbl[[#All],[STAFF:]],$A19,Aug_Period_1_Tbl[[#All],['# PTO USED]])+  SUMIF(Sep_Period_1_Tbl[[#All],[STAFF:]],$A19,Sep_Period_1_Tbl[[#All],['# PTO USED]])+  SUMIF(Oct_Period_1_Tbl[[#All],[STAFF:]],$A19,Oct_Period_1_Tbl[[#All],['# PTO USED]])+     SUMIF(Nov_Period_1_Tbl[[#All],[STAFF:]],$A19,Nov_Period_1_Tbl[[#All],['# PTO USED]])+  SUMIF(Dec_Period_1_Tbl[[#All],[STAFF:]],$A19,Dec_Period_1_Tbl[[#All],['# PTO USED]]))+   (SUMIF(Jan_Period_2_Tbl[[#All],[STAFF:]],$A19,Jan_Period_2_Tbl[[#All],['# PTO USED]])+
SUMIF(Feb_Period_2_Tbl[[#All],[STAFF:]],$A19,Feb_Period_2_Tbl[[#All],['# PTO USED]])+SUMIF(Mar_Period_2_Tbl[[#All],[STAFF:]],$A19,Mar_Period_2_Tbl[[#All],['# PTO USED]])+SUMIF(Apr_Period_2_Tbl[[#All],[STAFF:]],$A19,Apr_Period_2_Tbl[[#All],['# PTO USED]])+   SUMIF(May_Period_2_Tbl[[#All],[STAFF:]],$A19,May_Period_2_Tbl[[#All],['# PTO USED]])+   SUMIF(Jun_Period_2_Tbl[[#All],[STAFF:]],$A19,Jun_Period_2_Tbl[[#All],['# PTO USED]])+  SUMIF(Jul_Period_2_Tbl[[#All],[STAFF:]],$A19,Jul_Period_2_Tbl[[#All],['# PTO USED]])+  SUMIF(Aug_Period_2_Tbl[[#All],[STAFF:]],$A19,Aug_Period_2_Tbl[[#All],['# PTO USED]])+  SUMIF(Sep_Period_2_Tbl[[#All],[STAFF:]],$A19,Sep_Period_2_Tbl[[#All],['# PTO USED]])+  SUMIF(Oct_Period_2_Tbl[[#All],[STAFF:]],$A19,Oct_Period_2_Tbl[[#All],['# PTO USED]])+     SUMIF(Nov_Period_2_Tbl[[#All],[STAFF:]],$A19,Nov_Period_2_Tbl[[#All],['# PTO USED]])+  SUMIF(Dec_Period_2_Tbl[[#All],[STAFF:]],$A19,Dec_Period_2_Tbl[[#All],['# PTO USED]]))</f>
        <v>0</v>
      </c>
      <c r="F19" s="189">
        <f>(SUMIF(Jan_Period_1_Tbl[[#All],[STAFF:]],$A19,Jan_Period_1_Tbl[[#All],['# HRS WORKED]])+
SUMIF(Feb_Period_1_Tbl[[#All],[STAFF:]],$A19,Feb_Period_1_Tbl[[#All],['# HRS WORKED]])+SUMIF(Mar_Period_1_Tbl[[#All],[STAFF:]],$A19,Mar_Period_1_Tbl[[#All],['# HRS WORKED]])+SUMIF(Apr_Period_1_Tbl[[#All],[STAFF:]],$A19,Apr_Period_1_Tbl[[#All],['# HRS WORKED]])+   SUMIF(May_Period_1_Tbl[[#All],[STAFF:]],$A19,May_Period_1_Tbl[[#All],['# HRS WORKED]])+   SUMIF(Jun_Period_1_Tbl[[#All],[STAFF:]],$A19,Jun_Period_1_Tbl[[#All],['# HRS WORKED]])+  SUMIF(Jul_Period_1_Tbl[[#All],[STAFF:]],$A19,Jul_Period_1_Tbl[[#All],['# HRS WORKED]])+  SUMIF(Aug_Period_1_Tbl[[#All],[STAFF:]],$A19,Aug_Period_1_Tbl[[#All],['# HRS WORKED]])+  SUMIF(Sep_Period_1_Tbl[[#All],[STAFF:]],$A19,Sep_Period_1_Tbl[[#All],['# HRS WORKED]])+  SUMIF(Oct_Period_1_Tbl[[#All],[STAFF:]],$A19,Oct_Period_1_Tbl[[#All],['# HRS WORKED]])+     SUMIF(Nov_Period_1_Tbl[[#All],[STAFF:]],$A19,Nov_Period_1_Tbl[[#All],['# HRS WORKED]])+  SUMIF(Dec_Period_1_Tbl[[#All],[STAFF:]],$A19,Dec_Period_1_Tbl[[#All],['# HRS WORKED]]))+   (SUMIF(Jan_Period_2_Tbl[[#All],[STAFF:]],$A19,Jan_Period_2_Tbl[[#All],['# HRS WORKED]])+
SUMIF(Feb_Period_2_Tbl[[#All],[STAFF:]],$A19,Feb_Period_2_Tbl[[#All],['# HRS WORKED]])+SUMIF(Mar_Period_2_Tbl[[#All],[STAFF:]],$A19,Mar_Period_2_Tbl[[#All],['# HRS WORKED]])+SUMIF(Apr_Period_2_Tbl[[#All],[STAFF:]],$A19,Apr_Period_2_Tbl[[#All],['# HRS WORKED]])+   SUMIF(May_Period_2_Tbl[[#All],[STAFF:]],$A19,May_Period_2_Tbl[[#All],['# HRS WORKED]])+   SUMIF(Jun_Period_2_Tbl[[#All],[STAFF:]],$A19,Jun_Period_2_Tbl[[#All],['# HRS WORKED]])+  SUMIF(Jul_Period_2_Tbl[[#All],[STAFF:]],$A19,Jul_Period_2_Tbl[[#All],['# HRS WORKED]])+  SUMIF(Aug_Period_2_Tbl[[#All],[STAFF:]],$A19,Aug_Period_2_Tbl[[#All],['# HRS WORKED]])+  SUMIF(Sep_Period_2_Tbl[[#All],[STAFF:]],$A19,Sep_Period_2_Tbl[[#All],['# HRS WORKED]])+  SUMIF(Oct_Period_2_Tbl[[#All],[STAFF:]],$A19,Oct_Period_2_Tbl[[#All],['# HRS WORKED]])+     SUMIF(Nov_Period_2_Tbl[[#All],[STAFF:]],$A19,Nov_Period_2_Tbl[[#All],['# HRS WORKED]])+  SUMIF(Dec_Period_2_Tbl[[#All],[STAFF:]],$A19,Dec_Period_2_Tbl[[#All],['# HRS WORKED]]))</f>
        <v>0</v>
      </c>
      <c r="G19" s="190">
        <f>(SUMIF(Jan_Period_1_Tbl[[#All],[STAFF:]],$A19,Jan_Period_1_Tbl[[#All],[$ Hourly WAGES]])+
SUMIF(Feb_Period_1_Tbl[[#All],[STAFF:]],$A19,Feb_Period_1_Tbl[[#All],[$ Hourly WAGES]])+SUMIF(Mar_Period_1_Tbl[[#All],[STAFF:]],$A19,Mar_Period_1_Tbl[[#All],[$ Hourly WAGES]])+SUMIF(Apr_Period_1_Tbl[[#All],[STAFF:]],$A19,Apr_Period_1_Tbl[[#All],[$ Hourly WAGES]])+   SUMIF(May_Period_1_Tbl[[#All],[STAFF:]],$A19,May_Period_1_Tbl[[#All],[$ Hourly WAGES]])+   SUMIF(Jun_Period_1_Tbl[[#All],[STAFF:]],$A19,Jun_Period_1_Tbl[[#All],[$ Hourly WAGES]])+  SUMIF(Jul_Period_1_Tbl[[#All],[STAFF:]],$A19,Jul_Period_1_Tbl[[#All],[$ Hourly WAGES]])+  SUMIF(Aug_Period_1_Tbl[[#All],[STAFF:]],$A19,Aug_Period_1_Tbl[[#All],[$ Hourly WAGES]])+  SUMIF(Sep_Period_1_Tbl[[#All],[STAFF:]],$A19,Sep_Period_1_Tbl[[#All],[$ Hourly WAGES]])+  SUMIF(Oct_Period_1_Tbl[[#All],[STAFF:]],$A19,Oct_Period_1_Tbl[[#All],[$ Hourly WAGES]])+     SUMIF(Nov_Period_1_Tbl[[#All],[STAFF:]],$A19,Nov_Period_1_Tbl[[#All],[$ Hourly WAGES]])+  SUMIF(Dec_Period_1_Tbl[[#All],[STAFF:]],$A19,Dec_Period_1_Tbl[[#All],[$ Hourly WAGES]]))+   (SUMIF(Jan_Period_2_Tbl[[#All],[STAFF:]],$A19,Jan_Period_2_Tbl[[#All],[$ Hourly WAGES]])+
SUMIF(Feb_Period_2_Tbl[[#All],[STAFF:]],$A19,Feb_Period_2_Tbl[[#All],[$ Hourly WAGES]])+SUMIF(Mar_Period_2_Tbl[[#All],[STAFF:]],$A19,Mar_Period_2_Tbl[[#All],[$ Hourly WAGES]])+SUMIF(Apr_Period_2_Tbl[[#All],[STAFF:]],$A19,Apr_Period_2_Tbl[[#All],[$ Hourly WAGES]])+   SUMIF(May_Period_2_Tbl[[#All],[STAFF:]],$A19,May_Period_2_Tbl[[#All],[$ Hourly WAGES]])+   SUMIF(Jun_Period_2_Tbl[[#All],[STAFF:]],$A19,Jun_Period_2_Tbl[[#All],[$ Hourly WAGES]])+  SUMIF(Jul_Period_2_Tbl[[#All],[STAFF:]],$A19,Jul_Period_2_Tbl[[#All],[$ Hourly WAGES]])+  SUMIF(Aug_Period_2_Tbl[[#All],[STAFF:]],$A19,Aug_Period_2_Tbl[[#All],[$ Hourly WAGES]])+  SUMIF(Sep_Period_2_Tbl[[#All],[STAFF:]],$A19,Sep_Period_2_Tbl[[#All],[$ Hourly WAGES]])+  SUMIF(Oct_Period_2_Tbl[[#All],[STAFF:]],$A19,Oct_Period_2_Tbl[[#All],[$ Hourly WAGES]])+     SUMIF(Nov_Period_2_Tbl[[#All],[STAFF:]],$A19,Nov_Period_2_Tbl[[#All],[$ Hourly WAGES]])+  SUMIF(Dec_Period_2_Tbl[[#All],[STAFF:]],$A19,Dec_Period_2_Tbl[[#All],[$ Hourly WAGES]]))</f>
        <v>0</v>
      </c>
      <c r="H19" s="190">
        <f>(SUMIF(Jan_Period_1_Tbl[[#All],[STAFF:]],$A19,Jan_Period_1_Tbl[[#All],[$ SALARY]])+
SUMIF(Feb_Period_1_Tbl[[#All],[STAFF:]],$A19,Feb_Period_1_Tbl[[#All],[$ SALARY]])+SUMIF(Mar_Period_1_Tbl[[#All],[STAFF:]],$A19,Mar_Period_1_Tbl[[#All],[$ SALARY]])+SUMIF(Apr_Period_1_Tbl[[#All],[STAFF:]],$A19,Apr_Period_1_Tbl[[#All],[$ SALARY]])+   SUMIF(May_Period_1_Tbl[[#All],[STAFF:]],$A19,May_Period_1_Tbl[[#All],[$ SALARY]])+   SUMIF(Jun_Period_1_Tbl[[#All],[STAFF:]],$A19,Jun_Period_1_Tbl[[#All],[$ SALARY]])+  SUMIF(Jul_Period_1_Tbl[[#All],[STAFF:]],$A19,Jul_Period_1_Tbl[[#All],[$ SALARY]])+  SUMIF(Aug_Period_1_Tbl[[#All],[STAFF:]],$A19,Aug_Period_1_Tbl[[#All],[$ SALARY]])+  SUMIF(Sep_Period_1_Tbl[[#All],[STAFF:]],$A19,Sep_Period_1_Tbl[[#All],[$ SALARY]])+  SUMIF(Oct_Period_1_Tbl[[#All],[STAFF:]],$A19,Oct_Period_1_Tbl[[#All],[$ SALARY]])+     SUMIF(Nov_Period_1_Tbl[[#All],[STAFF:]],$A19,Nov_Period_1_Tbl[[#All],[$ SALARY]])+  SUMIF(Dec_Period_1_Tbl[[#All],[STAFF:]],$A19,Dec_Period_1_Tbl[[#All],[$ SALARY]]))+   (SUMIF(Jan_Period_2_Tbl[[#All],[STAFF:]],$A19,Jan_Period_2_Tbl[[#All],[$ SALARY]])+
SUMIF(Feb_Period_2_Tbl[[#All],[STAFF:]],$A19,Feb_Period_2_Tbl[[#All],[$ SALARY]])+SUMIF(Mar_Period_2_Tbl[[#All],[STAFF:]],$A19,Mar_Period_2_Tbl[[#All],[$ SALARY]])+SUMIF(Apr_Period_2_Tbl[[#All],[STAFF:]],$A19,Apr_Period_2_Tbl[[#All],[$ SALARY]])+   SUMIF(May_Period_2_Tbl[[#All],[STAFF:]],$A19,May_Period_2_Tbl[[#All],[$ SALARY]])+   SUMIF(Jun_Period_2_Tbl[[#All],[STAFF:]],$A19,Jun_Period_2_Tbl[[#All],[$ SALARY]])+  SUMIF(Jul_Period_2_Tbl[[#All],[STAFF:]],$A19,Jul_Period_2_Tbl[[#All],[$ SALARY]])+  SUMIF(Aug_Period_2_Tbl[[#All],[STAFF:]],$A19,Aug_Period_2_Tbl[[#All],[$ SALARY]])+  SUMIF(Sep_Period_2_Tbl[[#All],[STAFF:]],$A19,Sep_Period_2_Tbl[[#All],[$ SALARY]])+  SUMIF(Oct_Period_2_Tbl[[#All],[STAFF:]],$A19,Oct_Period_2_Tbl[[#All],[$ SALARY]])+     SUMIF(Nov_Period_2_Tbl[[#All],[STAFF:]],$A19,Nov_Period_2_Tbl[[#All],[$ SALARY]])+  SUMIF(Dec_Period_2_Tbl[[#All],[STAFF:]],$A19,Dec_Period_2_Tbl[[#All],[$ SALARY]]))</f>
        <v>0</v>
      </c>
      <c r="I19" s="190">
        <f>(SUMIF(Jan_Period_1_Tbl[[#All],[STAFF:]],$A19,Jan_Period_1_Tbl[[#All],[$ SALARY PT]])+
SUMIF(Feb_Period_1_Tbl[[#All],[STAFF:]],$A19,Feb_Period_1_Tbl[[#All],[$ SALARY PT]])+SUMIF(Mar_Period_1_Tbl[[#All],[STAFF:]],$A19,Mar_Period_1_Tbl[[#All],[$ SALARY PT]])+SUMIF(Apr_Period_1_Tbl[[#All],[STAFF:]],$A19,Apr_Period_1_Tbl[[#All],[$ SALARY PT]])+   SUMIF(May_Period_1_Tbl[[#All],[STAFF:]],$A19,May_Period_1_Tbl[[#All],[$ SALARY PT]])+   SUMIF(Jun_Period_1_Tbl[[#All],[STAFF:]],$A19,Jun_Period_1_Tbl[[#All],[$ SALARY PT]])+  SUMIF(Jul_Period_1_Tbl[[#All],[STAFF:]],$A19,Jul_Period_1_Tbl[[#All],[$ SALARY PT]])+  SUMIF(Aug_Period_1_Tbl[[#All],[STAFF:]],$A19,Aug_Period_1_Tbl[[#All],[$ SALARY PT]])+  SUMIF(Sep_Period_1_Tbl[[#All],[STAFF:]],$A19,Sep_Period_1_Tbl[[#All],[$ SALARY PT]])+  SUMIF(Oct_Period_1_Tbl[[#All],[STAFF:]],$A19,Oct_Period_1_Tbl[[#All],[$ SALARY PT]])+     SUMIF(Nov_Period_1_Tbl[[#All],[STAFF:]],$A19,Nov_Period_1_Tbl[[#All],[$ SALARY PT]])+  SUMIF(Dec_Period_1_Tbl[[#All],[STAFF:]],$A19,Dec_Period_1_Tbl[[#All],[$ SALARY PT]]))+   (SUMIF(Jan_Period_2_Tbl[[#All],[STAFF:]],$A19,Jan_Period_2_Tbl[[#All],[$ SALARY PT]])+
SUMIF(Feb_Period_2_Tbl[[#All],[STAFF:]],$A19,Feb_Period_2_Tbl[[#All],[$ SALARY PT]])+SUMIF(Mar_Period_2_Tbl[[#All],[STAFF:]],$A19,Mar_Period_2_Tbl[[#All],[$ SALARY PT]])+SUMIF(Apr_Period_2_Tbl[[#All],[STAFF:]],$A19,Apr_Period_2_Tbl[[#All],[$ SALARY PT]])+   SUMIF(May_Period_2_Tbl[[#All],[STAFF:]],$A19,May_Period_2_Tbl[[#All],[$ SALARY PT]])+   SUMIF(Jun_Period_2_Tbl[[#All],[STAFF:]],$A19,Jun_Period_2_Tbl[[#All],[$ SALARY PT]])+  SUMIF(Jul_Period_2_Tbl[[#All],[STAFF:]],$A19,Jul_Period_2_Tbl[[#All],[$ SALARY PT]])+  SUMIF(Aug_Period_2_Tbl[[#All],[STAFF:]],$A19,Aug_Period_2_Tbl[[#All],[$ SALARY PT]])+  SUMIF(Sep_Period_2_Tbl[[#All],[STAFF:]],$A19,Sep_Period_2_Tbl[[#All],[$ SALARY PT]])+  SUMIF(Oct_Period_2_Tbl[[#All],[STAFF:]],$A19,Oct_Period_2_Tbl[[#All],[$ SALARY PT]])+     SUMIF(Nov_Period_2_Tbl[[#All],[STAFF:]],$A19,Nov_Period_2_Tbl[[#All],[$ SALARY PT]])+  SUMIF(Dec_Period_2_Tbl[[#All],[STAFF:]],$A19,Dec_Period_2_Tbl[[#All],[$ SALARY PT]]))</f>
        <v>0</v>
      </c>
      <c r="J19" s="190">
        <f>(SUMIF(Jan_Period_1_Tbl[[#All],[STAFF:]],$A19,Jan_Period_1_Tbl[[#All],[$ FREE PT]])+
SUMIF(Feb_Period_1_Tbl[[#All],[STAFF:]],$A19,Feb_Period_1_Tbl[[#All],[$ FREE PT]])+SUMIF(Mar_Period_1_Tbl[[#All],[STAFF:]],$A19,Mar_Period_1_Tbl[[#All],[$ FREE PT]])+SUMIF(Apr_Period_1_Tbl[[#All],[STAFF:]],$A19,Apr_Period_1_Tbl[[#All],[$ FREE PT]])+   SUMIF(May_Period_1_Tbl[[#All],[STAFF:]],$A19,May_Period_1_Tbl[[#All],[$ FREE PT]])+   SUMIF(Jun_Period_1_Tbl[[#All],[STAFF:]],$A19,Jun_Period_1_Tbl[[#All],[$ FREE PT]])+  SUMIF(Jul_Period_1_Tbl[[#All],[STAFF:]],$A19,Jul_Period_1_Tbl[[#All],[$ FREE PT]])+  SUMIF(Aug_Period_1_Tbl[[#All],[STAFF:]],$A19,Aug_Period_1_Tbl[[#All],[$ FREE PT]])+  SUMIF(Sep_Period_1_Tbl[[#All],[STAFF:]],$A19,Sep_Period_1_Tbl[[#All],[$ FREE PT]])+  SUMIF(Oct_Period_1_Tbl[[#All],[STAFF:]],$A19,Oct_Period_1_Tbl[[#All],[$ FREE PT]])+     SUMIF(Nov_Period_1_Tbl[[#All],[STAFF:]],$A19,Nov_Period_1_Tbl[[#All],[$ FREE PT]])+  SUMIF(Dec_Period_1_Tbl[[#All],[STAFF:]],$A19,Dec_Period_1_Tbl[[#All],[$ FREE PT]]))+   (SUMIF(Jan_Period_2_Tbl[[#All],[STAFF:]],$A19,Jan_Period_2_Tbl[[#All],[$ FREE PT]])+
SUMIF(Feb_Period_2_Tbl[[#All],[STAFF:]],$A19,Feb_Period_2_Tbl[[#All],[$ FREE PT]])+SUMIF(Mar_Period_2_Tbl[[#All],[STAFF:]],$A19,Mar_Period_2_Tbl[[#All],[$ FREE PT]])+SUMIF(Apr_Period_2_Tbl[[#All],[STAFF:]],$A19,Apr_Period_2_Tbl[[#All],[$ FREE PT]])+   SUMIF(May_Period_2_Tbl[[#All],[STAFF:]],$A19,May_Period_2_Tbl[[#All],[$ FREE PT]])+   SUMIF(Jun_Period_2_Tbl[[#All],[STAFF:]],$A19,Jun_Period_2_Tbl[[#All],[$ FREE PT]])+  SUMIF(Jul_Period_2_Tbl[[#All],[STAFF:]],$A19,Jul_Period_2_Tbl[[#All],[$ FREE PT]])+  SUMIF(Aug_Period_2_Tbl[[#All],[STAFF:]],$A19,Aug_Period_2_Tbl[[#All],[$ FREE PT]])+  SUMIF(Sep_Period_2_Tbl[[#All],[STAFF:]],$A19,Sep_Period_2_Tbl[[#All],[$ FREE PT]])+  SUMIF(Oct_Period_2_Tbl[[#All],[STAFF:]],$A19,Oct_Period_2_Tbl[[#All],[$ FREE PT]])+     SUMIF(Nov_Period_2_Tbl[[#All],[STAFF:]],$A19,Nov_Period_2_Tbl[[#All],[$ FREE PT]])+  SUMIF(Dec_Period_2_Tbl[[#All],[STAFF:]],$A19,Dec_Period_2_Tbl[[#All],[$ FREE PT]]))</f>
        <v>0</v>
      </c>
      <c r="K19" s="190">
        <f>(SUMIF(Jan_Period_1_Tbl[[#All],[STAFF:]],$A19,Jan_Period_1_Tbl[[#All],[$ PAID PT]])+
SUMIF(Feb_Period_1_Tbl[[#All],[STAFF:]],$A19,Feb_Period_1_Tbl[[#All],[$ PAID PT]])+SUMIF(Mar_Period_1_Tbl[[#All],[STAFF:]],$A19,Mar_Period_1_Tbl[[#All],[$ PAID PT]])+SUMIF(Apr_Period_1_Tbl[[#All],[STAFF:]],$A19,Apr_Period_1_Tbl[[#All],[$ PAID PT]])+   SUMIF(May_Period_1_Tbl[[#All],[STAFF:]],$A19,May_Period_1_Tbl[[#All],[$ PAID PT]])+   SUMIF(Jun_Period_1_Tbl[[#All],[STAFF:]],$A19,Jun_Period_1_Tbl[[#All],[$ PAID PT]])+  SUMIF(Jul_Period_1_Tbl[[#All],[STAFF:]],$A19,Jul_Period_1_Tbl[[#All],[$ PAID PT]])+  SUMIF(Aug_Period_1_Tbl[[#All],[STAFF:]],$A19,Aug_Period_1_Tbl[[#All],[$ PAID PT]])+  SUMIF(Sep_Period_1_Tbl[[#All],[STAFF:]],$A19,Sep_Period_1_Tbl[[#All],[$ PAID PT]])+  SUMIF(Oct_Period_1_Tbl[[#All],[STAFF:]],$A19,Oct_Period_1_Tbl[[#All],[$ PAID PT]])+     SUMIF(Nov_Period_1_Tbl[[#All],[STAFF:]],$A19,Nov_Period_1_Tbl[[#All],[$ PAID PT]])+  SUMIF(Dec_Period_1_Tbl[[#All],[STAFF:]],$A19,Dec_Period_1_Tbl[[#All],[$ PAID PT]]))+   (SUMIF(Jan_Period_2_Tbl[[#All],[STAFF:]],$A19,Jan_Period_2_Tbl[[#All],[$ PAID PT]])+
SUMIF(Feb_Period_2_Tbl[[#All],[STAFF:]],$A19,Feb_Period_2_Tbl[[#All],[$ PAID PT]])+SUMIF(Mar_Period_2_Tbl[[#All],[STAFF:]],$A19,Mar_Period_2_Tbl[[#All],[$ PAID PT]])+SUMIF(Apr_Period_2_Tbl[[#All],[STAFF:]],$A19,Apr_Period_2_Tbl[[#All],[$ PAID PT]])+   SUMIF(May_Period_2_Tbl[[#All],[STAFF:]],$A19,May_Period_2_Tbl[[#All],[$ PAID PT]])+   SUMIF(Jun_Period_2_Tbl[[#All],[STAFF:]],$A19,Jun_Period_2_Tbl[[#All],[$ PAID PT]])+  SUMIF(Jul_Period_2_Tbl[[#All],[STAFF:]],$A19,Jul_Period_2_Tbl[[#All],[$ PAID PT]])+  SUMIF(Aug_Period_2_Tbl[[#All],[STAFF:]],$A19,Aug_Period_2_Tbl[[#All],[$ PAID PT]])+  SUMIF(Sep_Period_2_Tbl[[#All],[STAFF:]],$A19,Sep_Period_2_Tbl[[#All],[$ PAID PT]])+  SUMIF(Oct_Period_2_Tbl[[#All],[STAFF:]],$A19,Oct_Period_2_Tbl[[#All],[$ PAID PT]])+     SUMIF(Nov_Period_2_Tbl[[#All],[STAFF:]],$A19,Nov_Period_2_Tbl[[#All],[$ PAID PT]])+  SUMIF(Dec_Period_2_Tbl[[#All],[STAFF:]],$A19,Dec_Period_2_Tbl[[#All],[$ PAID PT]]))</f>
        <v>0</v>
      </c>
      <c r="L19" s="190">
        <f>(SUMIF(Jan_Period_1_Tbl[[#All],[STAFF:]],$A19,Jan_Period_1_Tbl[[#All],[$ PT COMM]])+
SUMIF(Feb_Period_1_Tbl[[#All],[STAFF:]],$A19,Feb_Period_1_Tbl[[#All],[$ PT COMM]])+SUMIF(Mar_Period_1_Tbl[[#All],[STAFF:]],$A19,Mar_Period_1_Tbl[[#All],[$ PT COMM]])+SUMIF(Apr_Period_1_Tbl[[#All],[STAFF:]],$A19,Apr_Period_1_Tbl[[#All],[$ PT COMM]])+   SUMIF(May_Period_1_Tbl[[#All],[STAFF:]],$A19,May_Period_1_Tbl[[#All],[$ PT COMM]])+   SUMIF(Jun_Period_1_Tbl[[#All],[STAFF:]],$A19,Jun_Period_1_Tbl[[#All],[$ PT COMM]])+  SUMIF(Jul_Period_1_Tbl[[#All],[STAFF:]],$A19,Jul_Period_1_Tbl[[#All],[$ PT COMM]])+  SUMIF(Aug_Period_1_Tbl[[#All],[STAFF:]],$A19,Aug_Period_1_Tbl[[#All],[$ PT COMM]])+  SUMIF(Sep_Period_1_Tbl[[#All],[STAFF:]],$A19,Sep_Period_1_Tbl[[#All],[$ PT COMM]])+  SUMIF(Oct_Period_1_Tbl[[#All],[STAFF:]],$A19,Oct_Period_1_Tbl[[#All],[$ PT COMM]])+     SUMIF(Nov_Period_1_Tbl[[#All],[STAFF:]],$A19,Nov_Period_1_Tbl[[#All],[$ PT COMM]])+  SUMIF(Dec_Period_1_Tbl[[#All],[STAFF:]],$A19,Dec_Period_1_Tbl[[#All],[$ PT COMM]]))+   (SUMIF(Jan_Period_2_Tbl[[#All],[STAFF:]],$A19,Jan_Period_2_Tbl[[#All],[$ PT COMM]])+
SUMIF(Feb_Period_2_Tbl[[#All],[STAFF:]],$A19,Feb_Period_2_Tbl[[#All],[$ PT COMM]])+SUMIF(Mar_Period_2_Tbl[[#All],[STAFF:]],$A19,Mar_Period_2_Tbl[[#All],[$ PT COMM]])+SUMIF(Apr_Period_2_Tbl[[#All],[STAFF:]],$A19,Apr_Period_2_Tbl[[#All],[$ PT COMM]])+   SUMIF(May_Period_2_Tbl[[#All],[STAFF:]],$A19,May_Period_2_Tbl[[#All],[$ PT COMM]])+   SUMIF(Jun_Period_2_Tbl[[#All],[STAFF:]],$A19,Jun_Period_2_Tbl[[#All],[$ PT COMM]])+  SUMIF(Jul_Period_2_Tbl[[#All],[STAFF:]],$A19,Jul_Period_2_Tbl[[#All],[$ PT COMM]])+  SUMIF(Aug_Period_2_Tbl[[#All],[STAFF:]],$A19,Aug_Period_2_Tbl[[#All],[$ PT COMM]])+  SUMIF(Sep_Period_2_Tbl[[#All],[STAFF:]],$A19,Sep_Period_2_Tbl[[#All],[$ PT COMM]])+  SUMIF(Oct_Period_2_Tbl[[#All],[STAFF:]],$A19,Oct_Period_2_Tbl[[#All],[$ PT COMM]])+     SUMIF(Nov_Period_2_Tbl[[#All],[STAFF:]],$A19,Nov_Period_2_Tbl[[#All],[$ PT COMM]])+  SUMIF(Dec_Period_2_Tbl[[#All],[STAFF:]],$A19,Dec_Period_2_Tbl[[#All],[$ PT COMM]]))</f>
        <v>0</v>
      </c>
      <c r="M19" s="190">
        <f>(SUMIF(Jan_Period_1_Tbl[[#All],[STAFF:]],$A19,Jan_Period_1_Tbl[[#All],[$ EFT COMM]])+
SUMIF(Feb_Period_1_Tbl[[#All],[STAFF:]],$A19,Feb_Period_1_Tbl[[#All],[$ EFT COMM]])+SUMIF(Mar_Period_1_Tbl[[#All],[STAFF:]],$A19,Mar_Period_1_Tbl[[#All],[$ EFT COMM]])+SUMIF(Apr_Period_1_Tbl[[#All],[STAFF:]],$A19,Apr_Period_1_Tbl[[#All],[$ EFT COMM]])+   SUMIF(May_Period_1_Tbl[[#All],[STAFF:]],$A19,May_Period_1_Tbl[[#All],[$ EFT COMM]])+   SUMIF(Jun_Period_1_Tbl[[#All],[STAFF:]],$A19,Jun_Period_1_Tbl[[#All],[$ EFT COMM]])+  SUMIF(Jul_Period_1_Tbl[[#All],[STAFF:]],$A19,Jul_Period_1_Tbl[[#All],[$ EFT COMM]])+  SUMIF(Aug_Period_1_Tbl[[#All],[STAFF:]],$A19,Aug_Period_1_Tbl[[#All],[$ EFT COMM]])+  SUMIF(Sep_Period_1_Tbl[[#All],[STAFF:]],$A19,Sep_Period_1_Tbl[[#All],[$ EFT COMM]])+  SUMIF(Oct_Period_1_Tbl[[#All],[STAFF:]],$A19,Oct_Period_1_Tbl[[#All],[$ EFT COMM]])+     SUMIF(Nov_Period_1_Tbl[[#All],[STAFF:]],$A19,Nov_Period_1_Tbl[[#All],[$ EFT COMM]])+  SUMIF(Dec_Period_1_Tbl[[#All],[STAFF:]],$A19,Dec_Period_1_Tbl[[#All],[$ EFT COMM]]))+   (SUMIF(Jan_Period_2_Tbl[[#All],[STAFF:]],$A19,Jan_Period_2_Tbl[[#All],[$ EFT COMM]])+
SUMIF(Feb_Period_2_Tbl[[#All],[STAFF:]],$A19,Feb_Period_2_Tbl[[#All],[$ EFT COMM]])+SUMIF(Mar_Period_2_Tbl[[#All],[STAFF:]],$A19,Mar_Period_2_Tbl[[#All],[$ EFT COMM]])+SUMIF(Apr_Period_2_Tbl[[#All],[STAFF:]],$A19,Apr_Period_2_Tbl[[#All],[$ EFT COMM]])+   SUMIF(May_Period_2_Tbl[[#All],[STAFF:]],$A19,May_Period_2_Tbl[[#All],[$ EFT COMM]])+   SUMIF(Jun_Period_2_Tbl[[#All],[STAFF:]],$A19,Jun_Period_2_Tbl[[#All],[$ EFT COMM]])+  SUMIF(Jul_Period_2_Tbl[[#All],[STAFF:]],$A19,Jul_Period_2_Tbl[[#All],[$ EFT COMM]])+  SUMIF(Aug_Period_2_Tbl[[#All],[STAFF:]],$A19,Aug_Period_2_Tbl[[#All],[$ EFT COMM]])+  SUMIF(Sep_Period_2_Tbl[[#All],[STAFF:]],$A19,Sep_Period_2_Tbl[[#All],[$ EFT COMM]])+  SUMIF(Oct_Period_2_Tbl[[#All],[STAFF:]],$A19,Oct_Period_2_Tbl[[#All],[$ EFT COMM]])+     SUMIF(Nov_Period_2_Tbl[[#All],[STAFF:]],$A19,Nov_Period_2_Tbl[[#All],[$ EFT COMM]])+  SUMIF(Dec_Period_2_Tbl[[#All],[STAFF:]],$A19,Dec_Period_2_Tbl[[#All],[$ EFT COMM]]))</f>
        <v>0</v>
      </c>
      <c r="N19" s="190">
        <f>(SUMIF(Jan_Period_1_Tbl[[#All],[STAFF:]],$A19,Jan_Period_1_Tbl[[#All],[$ CLASS PAY]])+
SUMIF(Feb_Period_1_Tbl[[#All],[STAFF:]],$A19,Feb_Period_1_Tbl[[#All],[$ CLASS PAY]])+SUMIF(Mar_Period_1_Tbl[[#All],[STAFF:]],$A19,Mar_Period_1_Tbl[[#All],[$ CLASS PAY]])+SUMIF(Apr_Period_1_Tbl[[#All],[STAFF:]],$A19,Apr_Period_1_Tbl[[#All],[$ CLASS PAY]])+   SUMIF(May_Period_1_Tbl[[#All],[STAFF:]],$A19,May_Period_1_Tbl[[#All],[$ CLASS PAY]])+   SUMIF(Jun_Period_1_Tbl[[#All],[STAFF:]],$A19,Jun_Period_1_Tbl[[#All],[$ CLASS PAY]])+  SUMIF(Jul_Period_1_Tbl[[#All],[STAFF:]],$A19,Jul_Period_1_Tbl[[#All],[$ CLASS PAY]])+  SUMIF(Aug_Period_1_Tbl[[#All],[STAFF:]],$A19,Aug_Period_1_Tbl[[#All],[$ CLASS PAY]])+  SUMIF(Sep_Period_1_Tbl[[#All],[STAFF:]],$A19,Sep_Period_1_Tbl[[#All],[$ CLASS PAY]])+  SUMIF(Oct_Period_1_Tbl[[#All],[STAFF:]],$A19,Oct_Period_1_Tbl[[#All],[$ CLASS PAY]])+     SUMIF(Nov_Period_1_Tbl[[#All],[STAFF:]],$A19,Nov_Period_1_Tbl[[#All],[$ CLASS PAY]])+  SUMIF(Dec_Period_1_Tbl[[#All],[STAFF:]],$A19,Dec_Period_1_Tbl[[#All],[$ CLASS PAY]]))+   (SUMIF(Jan_Period_2_Tbl[[#All],[STAFF:]],$A19,Jan_Period_2_Tbl[[#All],[$ CLASS PAY]])+
SUMIF(Feb_Period_2_Tbl[[#All],[STAFF:]],$A19,Feb_Period_2_Tbl[[#All],[$ CLASS PAY]])+SUMIF(Mar_Period_2_Tbl[[#All],[STAFF:]],$A19,Mar_Period_2_Tbl[[#All],[$ CLASS PAY]])+SUMIF(Apr_Period_2_Tbl[[#All],[STAFF:]],$A19,Apr_Period_2_Tbl[[#All],[$ CLASS PAY]])+   SUMIF(May_Period_2_Tbl[[#All],[STAFF:]],$A19,May_Period_2_Tbl[[#All],[$ CLASS PAY]])+   SUMIF(Jun_Period_2_Tbl[[#All],[STAFF:]],$A19,Jun_Period_2_Tbl[[#All],[$ CLASS PAY]])+  SUMIF(Jul_Period_2_Tbl[[#All],[STAFF:]],$A19,Jul_Period_2_Tbl[[#All],[$ CLASS PAY]])+  SUMIF(Aug_Period_2_Tbl[[#All],[STAFF:]],$A19,Aug_Period_2_Tbl[[#All],[$ CLASS PAY]])+  SUMIF(Sep_Period_2_Tbl[[#All],[STAFF:]],$A19,Sep_Period_2_Tbl[[#All],[$ CLASS PAY]])+  SUMIF(Oct_Period_2_Tbl[[#All],[STAFF:]],$A19,Oct_Period_2_Tbl[[#All],[$ CLASS PAY]])+     SUMIF(Nov_Period_2_Tbl[[#All],[STAFF:]],$A19,Nov_Period_2_Tbl[[#All],[$ CLASS PAY]])+  SUMIF(Dec_Period_2_Tbl[[#All],[STAFF:]],$A19,Dec_Period_2_Tbl[[#All],[$ CLASS PAY]]))</f>
        <v>0</v>
      </c>
      <c r="O19" s="191">
        <f>(SUMIF(Jan_Period_1_Tbl[[#All],[STAFF:]],$A19,Jan_Period_1_Tbl[[#All],[$ BONUS PAY]])+
SUMIF(Feb_Period_1_Tbl[[#All],[STAFF:]],$A19,Feb_Period_1_Tbl[[#All],[$ BONUS PAY]])+SUMIF(Mar_Period_1_Tbl[[#All],[STAFF:]],$A19,Mar_Period_1_Tbl[[#All],[$ BONUS PAY]])+SUMIF(Apr_Period_1_Tbl[[#All],[STAFF:]],$A19,Apr_Period_1_Tbl[[#All],[$ BONUS PAY]])+   SUMIF(May_Period_1_Tbl[[#All],[STAFF:]],$A19,May_Period_1_Tbl[[#All],[$ BONUS PAY]])+   SUMIF(Jun_Period_1_Tbl[[#All],[STAFF:]],$A19,Jun_Period_1_Tbl[[#All],[$ BONUS PAY]])+  SUMIF(Jul_Period_1_Tbl[[#All],[STAFF:]],$A19,Jul_Period_1_Tbl[[#All],[$ BONUS PAY]])+  SUMIF(Aug_Period_1_Tbl[[#All],[STAFF:]],$A19,Aug_Period_1_Tbl[[#All],[$ BONUS PAY]])+  SUMIF(Sep_Period_1_Tbl[[#All],[STAFF:]],$A19,Sep_Period_1_Tbl[[#All],[$ BONUS PAY]])+  SUMIF(Oct_Period_1_Tbl[[#All],[STAFF:]],$A19,Oct_Period_1_Tbl[[#All],[$ BONUS PAY]])+     SUMIF(Nov_Period_1_Tbl[[#All],[STAFF:]],$A19,Nov_Period_1_Tbl[[#All],[$ BONUS PAY]])+  SUMIF(Dec_Period_1_Tbl[[#All],[STAFF:]],$A19,Dec_Period_1_Tbl[[#All],[$ BONUS PAY]]))+   (SUMIF(Jan_Period_2_Tbl[[#All],[STAFF:]],$A19,Jan_Period_2_Tbl[[#All],[$ BONUS PAY]])+
SUMIF(Feb_Period_2_Tbl[[#All],[STAFF:]],$A19,Feb_Period_2_Tbl[[#All],[$ BONUS PAY]])+SUMIF(Mar_Period_2_Tbl[[#All],[STAFF:]],$A19,Mar_Period_2_Tbl[[#All],[$ BONUS PAY]])+SUMIF(Apr_Period_2_Tbl[[#All],[STAFF:]],$A19,Apr_Period_2_Tbl[[#All],[$ BONUS PAY]])+   SUMIF(May_Period_2_Tbl[[#All],[STAFF:]],$A19,May_Period_2_Tbl[[#All],[$ BONUS PAY]])+   SUMIF(Jun_Period_2_Tbl[[#All],[STAFF:]],$A19,Jun_Period_2_Tbl[[#All],[$ BONUS PAY]])+  SUMIF(Jul_Period_2_Tbl[[#All],[STAFF:]],$A19,Jul_Period_2_Tbl[[#All],[$ BONUS PAY]])+  SUMIF(Aug_Period_2_Tbl[[#All],[STAFF:]],$A19,Aug_Period_2_Tbl[[#All],[$ BONUS PAY]])+  SUMIF(Sep_Period_2_Tbl[[#All],[STAFF:]],$A19,Sep_Period_2_Tbl[[#All],[$ BONUS PAY]])+  SUMIF(Oct_Period_2_Tbl[[#All],[STAFF:]],$A19,Oct_Period_2_Tbl[[#All],[$ BONUS PAY]])+     SUMIF(Nov_Period_2_Tbl[[#All],[STAFF:]],$A19,Nov_Period_2_Tbl[[#All],[$ BONUS PAY]])+  SUMIF(Dec_Period_2_Tbl[[#All],[STAFF:]],$A19,Dec_Period_2_Tbl[[#All],[$ BONUS PAY]]))</f>
        <v>0</v>
      </c>
      <c r="P19" s="179">
        <f t="shared" si="0"/>
        <v>0</v>
      </c>
      <c r="Q19" s="149"/>
      <c r="R19" s="153">
        <f>(SUMIF(Jan_Period_1_Tbl[[#All],[STAFF:]],$A19,Jan_Period_1_Tbl[[#All],['# POINTS EARNED]])+
SUMIF(Feb_Period_1_Tbl[[#All],[STAFF:]],$A19,Feb_Period_1_Tbl[[#All],['# POINTS EARNED]])+SUMIF(Mar_Period_1_Tbl[[#All],[STAFF:]],$A19,Mar_Period_1_Tbl[[#All],['# POINTS EARNED]])+SUMIF(Apr_Period_1_Tbl[[#All],[STAFF:]],$A19,Apr_Period_1_Tbl[[#All],['# POINTS EARNED]])+   SUMIF(May_Period_1_Tbl[[#All],[STAFF:]],$A19,May_Period_1_Tbl[[#All],['# POINTS EARNED]])+   SUMIF(Jun_Period_1_Tbl[[#All],[STAFF:]],$A19,Jun_Period_1_Tbl[[#All],['# POINTS EARNED]])+  SUMIF(Jul_Period_1_Tbl[[#All],[STAFF:]],$A19,Jul_Period_1_Tbl[[#All],['# POINTS EARNED]])+  SUMIF(Aug_Period_1_Tbl[[#All],[STAFF:]],$A19,Aug_Period_1_Tbl[[#All],['# POINTS EARNED]])+  SUMIF(Sep_Period_1_Tbl[[#All],[STAFF:]],$A19,Sep_Period_1_Tbl[[#All],['# POINTS EARNED]])+  SUMIF(Oct_Period_1_Tbl[[#All],[STAFF:]],$A19,Oct_Period_1_Tbl[[#All],['# POINTS EARNED]])+     SUMIF(Nov_Period_1_Tbl[[#All],[STAFF:]],$A19,Nov_Period_1_Tbl[[#All],['# POINTS EARNED]])+  SUMIF(Dec_Period_1_Tbl[[#All],[STAFF:]],$A19,Dec_Period_1_Tbl[[#All],['# POINTS EARNED]]))+   (SUMIF(Jan_Period_2_Tbl[[#All],[STAFF:]],$A19,Jan_Period_2_Tbl[[#All],['# POINTS EARNED]])+
SUMIF(Feb_Period_2_Tbl[[#All],[STAFF:]],$A19,Feb_Period_2_Tbl[[#All],['# POINTS EARNED]])+SUMIF(Mar_Period_2_Tbl[[#All],[STAFF:]],$A19,Mar_Period_2_Tbl[[#All],['# POINTS EARNED]])+SUMIF(Apr_Period_2_Tbl[[#All],[STAFF:]],$A19,Apr_Period_2_Tbl[[#All],['# POINTS EARNED]])+   SUMIF(May_Period_2_Tbl[[#All],[STAFF:]],$A19,May_Period_2_Tbl[[#All],['# POINTS EARNED]])+   SUMIF(Jun_Period_2_Tbl[[#All],[STAFF:]],$A19,Jun_Period_2_Tbl[[#All],['# POINTS EARNED]])+  SUMIF(Jul_Period_2_Tbl[[#All],[STAFF:]],$A19,Jul_Period_2_Tbl[[#All],['# POINTS EARNED]])+  SUMIF(Aug_Period_2_Tbl[[#All],[STAFF:]],$A19,Aug_Period_2_Tbl[[#All],['# POINTS EARNED]])+  SUMIF(Sep_Period_2_Tbl[[#All],[STAFF:]],$A19,Sep_Period_2_Tbl[[#All],['# POINTS EARNED]])+  SUMIF(Oct_Period_2_Tbl[[#All],[STAFF:]],$A19,Oct_Period_2_Tbl[[#All],['# POINTS EARNED]])+     SUMIF(Nov_Period_2_Tbl[[#All],[STAFF:]],$A19,Nov_Period_2_Tbl[[#All],['# POINTS EARNED]])+  SUMIF(Dec_Period_2_Tbl[[#All],[STAFF:]],$A19,Dec_Period_2_Tbl[[#All],['# POINTS EARNED]]))</f>
        <v>0</v>
      </c>
      <c r="S19" s="153">
        <f>(SUMIF(Jan_Period_1_Tbl[[#All],[STAFF:]],$A19,Jan_Period_1_Tbl[[#All],['# POINTS USED]])+
SUMIF(Feb_Period_1_Tbl[[#All],[STAFF:]],$A19,Feb_Period_1_Tbl[[#All],['# POINTS USED]])+SUMIF(Mar_Period_1_Tbl[[#All],[STAFF:]],$A19,Mar_Period_1_Tbl[[#All],['# POINTS USED]])+SUMIF(Apr_Period_1_Tbl[[#All],[STAFF:]],$A19,Apr_Period_1_Tbl[[#All],['# POINTS USED]])+   SUMIF(May_Period_1_Tbl[[#All],[STAFF:]],$A19,May_Period_1_Tbl[[#All],['# POINTS USED]])+   SUMIF(Jun_Period_1_Tbl[[#All],[STAFF:]],$A19,Jun_Period_1_Tbl[[#All],['# POINTS USED]])+  SUMIF(Jul_Period_1_Tbl[[#All],[STAFF:]],$A19,Jul_Period_1_Tbl[[#All],['# POINTS USED]])+  SUMIF(Aug_Period_1_Tbl[[#All],[STAFF:]],$A19,Aug_Period_1_Tbl[[#All],['# POINTS USED]])+  SUMIF(Sep_Period_1_Tbl[[#All],[STAFF:]],$A19,Sep_Period_1_Tbl[[#All],['# POINTS USED]])+  SUMIF(Oct_Period_1_Tbl[[#All],[STAFF:]],$A19,Oct_Period_1_Tbl[[#All],['# POINTS USED]])+     SUMIF(Nov_Period_1_Tbl[[#All],[STAFF:]],$A19,Nov_Period_1_Tbl[[#All],['# POINTS USED]])+  SUMIF(Dec_Period_1_Tbl[[#All],[STAFF:]],$A19,Dec_Period_1_Tbl[[#All],['# POINTS USED]]))+   (SUMIF(Jan_Period_2_Tbl[[#All],[STAFF:]],$A19,Jan_Period_2_Tbl[[#All],['# POINTS USED]])+
SUMIF(Feb_Period_2_Tbl[[#All],[STAFF:]],$A19,Feb_Period_2_Tbl[[#All],['# POINTS USED]])+SUMIF(Mar_Period_2_Tbl[[#All],[STAFF:]],$A19,Mar_Period_2_Tbl[[#All],['# POINTS USED]])+SUMIF(Apr_Period_2_Tbl[[#All],[STAFF:]],$A19,Apr_Period_2_Tbl[[#All],['# POINTS USED]])+   SUMIF(May_Period_2_Tbl[[#All],[STAFF:]],$A19,May_Period_2_Tbl[[#All],['# POINTS USED]])+   SUMIF(Jun_Period_2_Tbl[[#All],[STAFF:]],$A19,Jun_Period_2_Tbl[[#All],['# POINTS USED]])+  SUMIF(Jul_Period_2_Tbl[[#All],[STAFF:]],$A19,Jul_Period_2_Tbl[[#All],['# POINTS USED]])+  SUMIF(Aug_Period_2_Tbl[[#All],[STAFF:]],$A19,Aug_Period_2_Tbl[[#All],['# POINTS USED]])+  SUMIF(Sep_Period_2_Tbl[[#All],[STAFF:]],$A19,Sep_Period_2_Tbl[[#All],['# POINTS USED]])+  SUMIF(Oct_Period_2_Tbl[[#All],[STAFF:]],$A19,Oct_Period_2_Tbl[[#All],['# POINTS USED]])+     SUMIF(Nov_Period_2_Tbl[[#All],[STAFF:]],$A19,Nov_Period_2_Tbl[[#All],['# POINTS USED]])+  SUMIF(Dec_Period_2_Tbl[[#All],[STAFF:]],$A19,Dec_Period_2_Tbl[[#All],['# POINTS USED]]))</f>
        <v>0</v>
      </c>
      <c r="T19" s="153">
        <f>(SUMIF(Jan_Period_1_Tbl[[#All],[STAFF:]],$A19,Jan_Period_1_Tbl[[#All],['# CLASSES LEAD]])+
SUMIF(Feb_Period_1_Tbl[[#All],[STAFF:]],$A19,Feb_Period_1_Tbl[[#All],['# CLASSES LEAD]])+SUMIF(Mar_Period_1_Tbl[[#All],[STAFF:]],$A19,Mar_Period_1_Tbl[[#All],['# CLASSES LEAD]])+SUMIF(Apr_Period_1_Tbl[[#All],[STAFF:]],$A19,Apr_Period_1_Tbl[[#All],['# CLASSES LEAD]])+   SUMIF(May_Period_1_Tbl[[#All],[STAFF:]],$A19,May_Period_1_Tbl[[#All],['# CLASSES LEAD]])+   SUMIF(Jun_Period_1_Tbl[[#All],[STAFF:]],$A19,Jun_Period_1_Tbl[[#All],['# CLASSES LEAD]])+  SUMIF(Jul_Period_1_Tbl[[#All],[STAFF:]],$A19,Jul_Period_1_Tbl[[#All],['# CLASSES LEAD]])+  SUMIF(Aug_Period_1_Tbl[[#All],[STAFF:]],$A19,Aug_Period_1_Tbl[[#All],['# CLASSES LEAD]])+  SUMIF(Sep_Period_1_Tbl[[#All],[STAFF:]],$A19,Sep_Period_1_Tbl[[#All],['# CLASSES LEAD]])+  SUMIF(Oct_Period_1_Tbl[[#All],[STAFF:]],$A19,Oct_Period_1_Tbl[[#All],['# CLASSES LEAD]])+     SUMIF(Nov_Period_1_Tbl[[#All],[STAFF:]],$A19,Nov_Period_1_Tbl[[#All],['# CLASSES LEAD]])+  SUMIF(Dec_Period_1_Tbl[[#All],[STAFF:]],$A19,Dec_Period_1_Tbl[[#All],['# CLASSES LEAD]]))+   (SUMIF(Jan_Period_2_Tbl[[#All],[STAFF:]],$A19,Jan_Period_2_Tbl[[#All],['# CLASSES LEAD]])+
SUMIF(Feb_Period_2_Tbl[[#All],[STAFF:]],$A19,Feb_Period_2_Tbl[[#All],['# CLASSES LEAD]])+SUMIF(Mar_Period_2_Tbl[[#All],[STAFF:]],$A19,Mar_Period_2_Tbl[[#All],['# CLASSES LEAD]])+SUMIF(Apr_Period_2_Tbl[[#All],[STAFF:]],$A19,Apr_Period_2_Tbl[[#All],['# CLASSES LEAD]])+   SUMIF(May_Period_2_Tbl[[#All],[STAFF:]],$A19,May_Period_2_Tbl[[#All],['# CLASSES LEAD]])+   SUMIF(Jun_Period_2_Tbl[[#All],[STAFF:]],$A19,Jun_Period_2_Tbl[[#All],['# CLASSES LEAD]])+  SUMIF(Jul_Period_2_Tbl[[#All],[STAFF:]],$A19,Jul_Period_2_Tbl[[#All],['# CLASSES LEAD]])+  SUMIF(Aug_Period_2_Tbl[[#All],[STAFF:]],$A19,Aug_Period_2_Tbl[[#All],['# CLASSES LEAD]])+  SUMIF(Sep_Period_2_Tbl[[#All],[STAFF:]],$A19,Sep_Period_2_Tbl[[#All],['# CLASSES LEAD]])+  SUMIF(Oct_Period_2_Tbl[[#All],[STAFF:]],$A19,Oct_Period_2_Tbl[[#All],['# CLASSES LEAD]])+     SUMIF(Nov_Period_2_Tbl[[#All],[STAFF:]],$A19,Nov_Period_2_Tbl[[#All],['# CLASSES LEAD]])+  SUMIF(Dec_Period_2_Tbl[[#All],[STAFF:]],$A19,Dec_Period_2_Tbl[[#All],['# CLASSES LEAD]]))</f>
        <v>0</v>
      </c>
      <c r="U19" s="153">
        <f>(SUMIF(Jan_Period_1_Tbl[[#All],[STAFF:]],$A19,Jan_Period_1_Tbl[[#All],['# CLASSES SHOW]])+
SUMIF(Feb_Period_1_Tbl[[#All],[STAFF:]],$A19,Feb_Period_1_Tbl[[#All],['# CLASSES SHOW]])+SUMIF(Mar_Period_1_Tbl[[#All],[STAFF:]],$A19,Mar_Period_1_Tbl[[#All],['# CLASSES SHOW]])+SUMIF(Apr_Period_1_Tbl[[#All],[STAFF:]],$A19,Apr_Period_1_Tbl[[#All],['# CLASSES SHOW]])+   SUMIF(May_Period_1_Tbl[[#All],[STAFF:]],$A19,May_Period_1_Tbl[[#All],['# CLASSES SHOW]])+   SUMIF(Jun_Period_1_Tbl[[#All],[STAFF:]],$A19,Jun_Period_1_Tbl[[#All],['# CLASSES SHOW]])+  SUMIF(Jul_Period_1_Tbl[[#All],[STAFF:]],$A19,Jul_Period_1_Tbl[[#All],['# CLASSES SHOW]])+  SUMIF(Aug_Period_1_Tbl[[#All],[STAFF:]],$A19,Aug_Period_1_Tbl[[#All],['# CLASSES SHOW]])+  SUMIF(Sep_Period_1_Tbl[[#All],[STAFF:]],$A19,Sep_Period_1_Tbl[[#All],['# CLASSES SHOW]])+  SUMIF(Oct_Period_1_Tbl[[#All],[STAFF:]],$A19,Oct_Period_1_Tbl[[#All],['# CLASSES SHOW]])+     SUMIF(Nov_Period_1_Tbl[[#All],[STAFF:]],$A19,Nov_Period_1_Tbl[[#All],['# CLASSES SHOW]])+  SUMIF(Dec_Period_1_Tbl[[#All],[STAFF:]],$A19,Dec_Period_1_Tbl[[#All],['# CLASSES SHOW]]))+   (SUMIF(Jan_Period_2_Tbl[[#All],[STAFF:]],$A19,Jan_Period_2_Tbl[[#All],['# CLASSES SHOW]])+
SUMIF(Feb_Period_2_Tbl[[#All],[STAFF:]],$A19,Feb_Period_2_Tbl[[#All],['# CLASSES SHOW]])+SUMIF(Mar_Period_2_Tbl[[#All],[STAFF:]],$A19,Mar_Period_2_Tbl[[#All],['# CLASSES SHOW]])+SUMIF(Apr_Period_2_Tbl[[#All],[STAFF:]],$A19,Apr_Period_2_Tbl[[#All],['# CLASSES SHOW]])+   SUMIF(May_Period_2_Tbl[[#All],[STAFF:]],$A19,May_Period_2_Tbl[[#All],['# CLASSES SHOW]])+   SUMIF(Jun_Period_2_Tbl[[#All],[STAFF:]],$A19,Jun_Period_2_Tbl[[#All],['# CLASSES SHOW]])+  SUMIF(Jul_Period_2_Tbl[[#All],[STAFF:]],$A19,Jul_Period_2_Tbl[[#All],['# CLASSES SHOW]])+  SUMIF(Aug_Period_2_Tbl[[#All],[STAFF:]],$A19,Aug_Period_2_Tbl[[#All],['# CLASSES SHOW]])+  SUMIF(Sep_Period_2_Tbl[[#All],[STAFF:]],$A19,Sep_Period_2_Tbl[[#All],['# CLASSES SHOW]])+  SUMIF(Oct_Period_2_Tbl[[#All],[STAFF:]],$A19,Oct_Period_2_Tbl[[#All],['# CLASSES SHOW]])+     SUMIF(Nov_Period_2_Tbl[[#All],[STAFF:]],$A19,Nov_Period_2_Tbl[[#All],['# CLASSES SHOW]])+  SUMIF(Dec_Period_2_Tbl[[#All],[STAFF:]],$A19,Dec_Period_2_Tbl[[#All],['# CLASSES SHOW]]))</f>
        <v>0</v>
      </c>
      <c r="V19" s="156"/>
      <c r="W19" s="156"/>
      <c r="X19" s="155">
        <f t="shared" si="1"/>
        <v>0</v>
      </c>
      <c r="Y19" s="155">
        <f t="shared" si="2"/>
        <v>0</v>
      </c>
      <c r="Z19" s="155">
        <f t="shared" si="3"/>
        <v>0</v>
      </c>
      <c r="AA19" s="155">
        <f t="shared" si="4"/>
        <v>0</v>
      </c>
      <c r="AB19" s="155">
        <f t="shared" si="5"/>
        <v>0</v>
      </c>
      <c r="AC19" s="155">
        <f t="shared" si="6"/>
        <v>0</v>
      </c>
      <c r="AD19" s="155">
        <f t="shared" si="7"/>
        <v>0</v>
      </c>
      <c r="AE19" s="149"/>
      <c r="AF19" s="149"/>
      <c r="AG19" s="149"/>
      <c r="AH19" s="149"/>
      <c r="AJ19" s="75" t="str">
        <f t="shared" si="8"/>
        <v>zBlank</v>
      </c>
      <c r="AK19" s="210"/>
      <c r="AL19" s="168">
        <f>IFERROR(VLOOKUP(B19,List!$A:$B,2,FALSE),-1)</f>
        <v>-1</v>
      </c>
      <c r="AM19" s="168">
        <f>IFERROR(VLOOKUP(C19,List!$A:$B,2,FALSE),-1)</f>
        <v>-1</v>
      </c>
    </row>
    <row r="20" spans="1:39" ht="15" hidden="1" customHeight="1" x14ac:dyDescent="0.25">
      <c r="A20" s="20"/>
      <c r="B20" s="186"/>
      <c r="C20" s="186"/>
      <c r="D20" s="187"/>
      <c r="E20" s="188">
        <f>(SUMIF(Jan_Period_1_Tbl[[#All],[STAFF:]],$A20,Jan_Period_1_Tbl[[#All],['# PTO USED]])+
SUMIF(Feb_Period_1_Tbl[[#All],[STAFF:]],$A20,Feb_Period_1_Tbl[[#All],['# PTO USED]])+SUMIF(Mar_Period_1_Tbl[[#All],[STAFF:]],$A20,Mar_Period_1_Tbl[[#All],['# PTO USED]])+SUMIF(Apr_Period_1_Tbl[[#All],[STAFF:]],$A20,Apr_Period_1_Tbl[[#All],['# PTO USED]])+   SUMIF(May_Period_1_Tbl[[#All],[STAFF:]],$A20,May_Period_1_Tbl[[#All],['# PTO USED]])+   SUMIF(Jun_Period_1_Tbl[[#All],[STAFF:]],$A20,Jun_Period_1_Tbl[[#All],['# PTO USED]])+  SUMIF(Jul_Period_1_Tbl[[#All],[STAFF:]],$A20,Jul_Period_1_Tbl[[#All],['# PTO USED]])+  SUMIF(Aug_Period_1_Tbl[[#All],[STAFF:]],$A20,Aug_Period_1_Tbl[[#All],['# PTO USED]])+  SUMIF(Sep_Period_1_Tbl[[#All],[STAFF:]],$A20,Sep_Period_1_Tbl[[#All],['# PTO USED]])+  SUMIF(Oct_Period_1_Tbl[[#All],[STAFF:]],$A20,Oct_Period_1_Tbl[[#All],['# PTO USED]])+     SUMIF(Nov_Period_1_Tbl[[#All],[STAFF:]],$A20,Nov_Period_1_Tbl[[#All],['# PTO USED]])+  SUMIF(Dec_Period_1_Tbl[[#All],[STAFF:]],$A20,Dec_Period_1_Tbl[[#All],['# PTO USED]]))+   (SUMIF(Jan_Period_2_Tbl[[#All],[STAFF:]],$A20,Jan_Period_2_Tbl[[#All],['# PTO USED]])+
SUMIF(Feb_Period_2_Tbl[[#All],[STAFF:]],$A20,Feb_Period_2_Tbl[[#All],['# PTO USED]])+SUMIF(Mar_Period_2_Tbl[[#All],[STAFF:]],$A20,Mar_Period_2_Tbl[[#All],['# PTO USED]])+SUMIF(Apr_Period_2_Tbl[[#All],[STAFF:]],$A20,Apr_Period_2_Tbl[[#All],['# PTO USED]])+   SUMIF(May_Period_2_Tbl[[#All],[STAFF:]],$A20,May_Period_2_Tbl[[#All],['# PTO USED]])+   SUMIF(Jun_Period_2_Tbl[[#All],[STAFF:]],$A20,Jun_Period_2_Tbl[[#All],['# PTO USED]])+  SUMIF(Jul_Period_2_Tbl[[#All],[STAFF:]],$A20,Jul_Period_2_Tbl[[#All],['# PTO USED]])+  SUMIF(Aug_Period_2_Tbl[[#All],[STAFF:]],$A20,Aug_Period_2_Tbl[[#All],['# PTO USED]])+  SUMIF(Sep_Period_2_Tbl[[#All],[STAFF:]],$A20,Sep_Period_2_Tbl[[#All],['# PTO USED]])+  SUMIF(Oct_Period_2_Tbl[[#All],[STAFF:]],$A20,Oct_Period_2_Tbl[[#All],['# PTO USED]])+     SUMIF(Nov_Period_2_Tbl[[#All],[STAFF:]],$A20,Nov_Period_2_Tbl[[#All],['# PTO USED]])+  SUMIF(Dec_Period_2_Tbl[[#All],[STAFF:]],$A20,Dec_Period_2_Tbl[[#All],['# PTO USED]]))</f>
        <v>0</v>
      </c>
      <c r="F20" s="189">
        <f>(SUMIF(Jan_Period_1_Tbl[[#All],[STAFF:]],$A20,Jan_Period_1_Tbl[[#All],['# HRS WORKED]])+
SUMIF(Feb_Period_1_Tbl[[#All],[STAFF:]],$A20,Feb_Period_1_Tbl[[#All],['# HRS WORKED]])+SUMIF(Mar_Period_1_Tbl[[#All],[STAFF:]],$A20,Mar_Period_1_Tbl[[#All],['# HRS WORKED]])+SUMIF(Apr_Period_1_Tbl[[#All],[STAFF:]],$A20,Apr_Period_1_Tbl[[#All],['# HRS WORKED]])+   SUMIF(May_Period_1_Tbl[[#All],[STAFF:]],$A20,May_Period_1_Tbl[[#All],['# HRS WORKED]])+   SUMIF(Jun_Period_1_Tbl[[#All],[STAFF:]],$A20,Jun_Period_1_Tbl[[#All],['# HRS WORKED]])+  SUMIF(Jul_Period_1_Tbl[[#All],[STAFF:]],$A20,Jul_Period_1_Tbl[[#All],['# HRS WORKED]])+  SUMIF(Aug_Period_1_Tbl[[#All],[STAFF:]],$A20,Aug_Period_1_Tbl[[#All],['# HRS WORKED]])+  SUMIF(Sep_Period_1_Tbl[[#All],[STAFF:]],$A20,Sep_Period_1_Tbl[[#All],['# HRS WORKED]])+  SUMIF(Oct_Period_1_Tbl[[#All],[STAFF:]],$A20,Oct_Period_1_Tbl[[#All],['# HRS WORKED]])+     SUMIF(Nov_Period_1_Tbl[[#All],[STAFF:]],$A20,Nov_Period_1_Tbl[[#All],['# HRS WORKED]])+  SUMIF(Dec_Period_1_Tbl[[#All],[STAFF:]],$A20,Dec_Period_1_Tbl[[#All],['# HRS WORKED]]))+   (SUMIF(Jan_Period_2_Tbl[[#All],[STAFF:]],$A20,Jan_Period_2_Tbl[[#All],['# HRS WORKED]])+
SUMIF(Feb_Period_2_Tbl[[#All],[STAFF:]],$A20,Feb_Period_2_Tbl[[#All],['# HRS WORKED]])+SUMIF(Mar_Period_2_Tbl[[#All],[STAFF:]],$A20,Mar_Period_2_Tbl[[#All],['# HRS WORKED]])+SUMIF(Apr_Period_2_Tbl[[#All],[STAFF:]],$A20,Apr_Period_2_Tbl[[#All],['# HRS WORKED]])+   SUMIF(May_Period_2_Tbl[[#All],[STAFF:]],$A20,May_Period_2_Tbl[[#All],['# HRS WORKED]])+   SUMIF(Jun_Period_2_Tbl[[#All],[STAFF:]],$A20,Jun_Period_2_Tbl[[#All],['# HRS WORKED]])+  SUMIF(Jul_Period_2_Tbl[[#All],[STAFF:]],$A20,Jul_Period_2_Tbl[[#All],['# HRS WORKED]])+  SUMIF(Aug_Period_2_Tbl[[#All],[STAFF:]],$A20,Aug_Period_2_Tbl[[#All],['# HRS WORKED]])+  SUMIF(Sep_Period_2_Tbl[[#All],[STAFF:]],$A20,Sep_Period_2_Tbl[[#All],['# HRS WORKED]])+  SUMIF(Oct_Period_2_Tbl[[#All],[STAFF:]],$A20,Oct_Period_2_Tbl[[#All],['# HRS WORKED]])+     SUMIF(Nov_Period_2_Tbl[[#All],[STAFF:]],$A20,Nov_Period_2_Tbl[[#All],['# HRS WORKED]])+  SUMIF(Dec_Period_2_Tbl[[#All],[STAFF:]],$A20,Dec_Period_2_Tbl[[#All],['# HRS WORKED]]))</f>
        <v>0</v>
      </c>
      <c r="G20" s="190">
        <f>(SUMIF(Jan_Period_1_Tbl[[#All],[STAFF:]],$A20,Jan_Period_1_Tbl[[#All],[$ Hourly WAGES]])+
SUMIF(Feb_Period_1_Tbl[[#All],[STAFF:]],$A20,Feb_Period_1_Tbl[[#All],[$ Hourly WAGES]])+SUMIF(Mar_Period_1_Tbl[[#All],[STAFF:]],$A20,Mar_Period_1_Tbl[[#All],[$ Hourly WAGES]])+SUMIF(Apr_Period_1_Tbl[[#All],[STAFF:]],$A20,Apr_Period_1_Tbl[[#All],[$ Hourly WAGES]])+   SUMIF(May_Period_1_Tbl[[#All],[STAFF:]],$A20,May_Period_1_Tbl[[#All],[$ Hourly WAGES]])+   SUMIF(Jun_Period_1_Tbl[[#All],[STAFF:]],$A20,Jun_Period_1_Tbl[[#All],[$ Hourly WAGES]])+  SUMIF(Jul_Period_1_Tbl[[#All],[STAFF:]],$A20,Jul_Period_1_Tbl[[#All],[$ Hourly WAGES]])+  SUMIF(Aug_Period_1_Tbl[[#All],[STAFF:]],$A20,Aug_Period_1_Tbl[[#All],[$ Hourly WAGES]])+  SUMIF(Sep_Period_1_Tbl[[#All],[STAFF:]],$A20,Sep_Period_1_Tbl[[#All],[$ Hourly WAGES]])+  SUMIF(Oct_Period_1_Tbl[[#All],[STAFF:]],$A20,Oct_Period_1_Tbl[[#All],[$ Hourly WAGES]])+     SUMIF(Nov_Period_1_Tbl[[#All],[STAFF:]],$A20,Nov_Period_1_Tbl[[#All],[$ Hourly WAGES]])+  SUMIF(Dec_Period_1_Tbl[[#All],[STAFF:]],$A20,Dec_Period_1_Tbl[[#All],[$ Hourly WAGES]]))+   (SUMIF(Jan_Period_2_Tbl[[#All],[STAFF:]],$A20,Jan_Period_2_Tbl[[#All],[$ Hourly WAGES]])+
SUMIF(Feb_Period_2_Tbl[[#All],[STAFF:]],$A20,Feb_Period_2_Tbl[[#All],[$ Hourly WAGES]])+SUMIF(Mar_Period_2_Tbl[[#All],[STAFF:]],$A20,Mar_Period_2_Tbl[[#All],[$ Hourly WAGES]])+SUMIF(Apr_Period_2_Tbl[[#All],[STAFF:]],$A20,Apr_Period_2_Tbl[[#All],[$ Hourly WAGES]])+   SUMIF(May_Period_2_Tbl[[#All],[STAFF:]],$A20,May_Period_2_Tbl[[#All],[$ Hourly WAGES]])+   SUMIF(Jun_Period_2_Tbl[[#All],[STAFF:]],$A20,Jun_Period_2_Tbl[[#All],[$ Hourly WAGES]])+  SUMIF(Jul_Period_2_Tbl[[#All],[STAFF:]],$A20,Jul_Period_2_Tbl[[#All],[$ Hourly WAGES]])+  SUMIF(Aug_Period_2_Tbl[[#All],[STAFF:]],$A20,Aug_Period_2_Tbl[[#All],[$ Hourly WAGES]])+  SUMIF(Sep_Period_2_Tbl[[#All],[STAFF:]],$A20,Sep_Period_2_Tbl[[#All],[$ Hourly WAGES]])+  SUMIF(Oct_Period_2_Tbl[[#All],[STAFF:]],$A20,Oct_Period_2_Tbl[[#All],[$ Hourly WAGES]])+     SUMIF(Nov_Period_2_Tbl[[#All],[STAFF:]],$A20,Nov_Period_2_Tbl[[#All],[$ Hourly WAGES]])+  SUMIF(Dec_Period_2_Tbl[[#All],[STAFF:]],$A20,Dec_Period_2_Tbl[[#All],[$ Hourly WAGES]]))</f>
        <v>0</v>
      </c>
      <c r="H20" s="190">
        <f>(SUMIF(Jan_Period_1_Tbl[[#All],[STAFF:]],$A20,Jan_Period_1_Tbl[[#All],[$ SALARY]])+
SUMIF(Feb_Period_1_Tbl[[#All],[STAFF:]],$A20,Feb_Period_1_Tbl[[#All],[$ SALARY]])+SUMIF(Mar_Period_1_Tbl[[#All],[STAFF:]],$A20,Mar_Period_1_Tbl[[#All],[$ SALARY]])+SUMIF(Apr_Period_1_Tbl[[#All],[STAFF:]],$A20,Apr_Period_1_Tbl[[#All],[$ SALARY]])+   SUMIF(May_Period_1_Tbl[[#All],[STAFF:]],$A20,May_Period_1_Tbl[[#All],[$ SALARY]])+   SUMIF(Jun_Period_1_Tbl[[#All],[STAFF:]],$A20,Jun_Period_1_Tbl[[#All],[$ SALARY]])+  SUMIF(Jul_Period_1_Tbl[[#All],[STAFF:]],$A20,Jul_Period_1_Tbl[[#All],[$ SALARY]])+  SUMIF(Aug_Period_1_Tbl[[#All],[STAFF:]],$A20,Aug_Period_1_Tbl[[#All],[$ SALARY]])+  SUMIF(Sep_Period_1_Tbl[[#All],[STAFF:]],$A20,Sep_Period_1_Tbl[[#All],[$ SALARY]])+  SUMIF(Oct_Period_1_Tbl[[#All],[STAFF:]],$A20,Oct_Period_1_Tbl[[#All],[$ SALARY]])+     SUMIF(Nov_Period_1_Tbl[[#All],[STAFF:]],$A20,Nov_Period_1_Tbl[[#All],[$ SALARY]])+  SUMIF(Dec_Period_1_Tbl[[#All],[STAFF:]],$A20,Dec_Period_1_Tbl[[#All],[$ SALARY]]))+   (SUMIF(Jan_Period_2_Tbl[[#All],[STAFF:]],$A20,Jan_Period_2_Tbl[[#All],[$ SALARY]])+
SUMIF(Feb_Period_2_Tbl[[#All],[STAFF:]],$A20,Feb_Period_2_Tbl[[#All],[$ SALARY]])+SUMIF(Mar_Period_2_Tbl[[#All],[STAFF:]],$A20,Mar_Period_2_Tbl[[#All],[$ SALARY]])+SUMIF(Apr_Period_2_Tbl[[#All],[STAFF:]],$A20,Apr_Period_2_Tbl[[#All],[$ SALARY]])+   SUMIF(May_Period_2_Tbl[[#All],[STAFF:]],$A20,May_Period_2_Tbl[[#All],[$ SALARY]])+   SUMIF(Jun_Period_2_Tbl[[#All],[STAFF:]],$A20,Jun_Period_2_Tbl[[#All],[$ SALARY]])+  SUMIF(Jul_Period_2_Tbl[[#All],[STAFF:]],$A20,Jul_Period_2_Tbl[[#All],[$ SALARY]])+  SUMIF(Aug_Period_2_Tbl[[#All],[STAFF:]],$A20,Aug_Period_2_Tbl[[#All],[$ SALARY]])+  SUMIF(Sep_Period_2_Tbl[[#All],[STAFF:]],$A20,Sep_Period_2_Tbl[[#All],[$ SALARY]])+  SUMIF(Oct_Period_2_Tbl[[#All],[STAFF:]],$A20,Oct_Period_2_Tbl[[#All],[$ SALARY]])+     SUMIF(Nov_Period_2_Tbl[[#All],[STAFF:]],$A20,Nov_Period_2_Tbl[[#All],[$ SALARY]])+  SUMIF(Dec_Period_2_Tbl[[#All],[STAFF:]],$A20,Dec_Period_2_Tbl[[#All],[$ SALARY]]))</f>
        <v>0</v>
      </c>
      <c r="I20" s="190">
        <f>(SUMIF(Jan_Period_1_Tbl[[#All],[STAFF:]],$A20,Jan_Period_1_Tbl[[#All],[$ SALARY PT]])+
SUMIF(Feb_Period_1_Tbl[[#All],[STAFF:]],$A20,Feb_Period_1_Tbl[[#All],[$ SALARY PT]])+SUMIF(Mar_Period_1_Tbl[[#All],[STAFF:]],$A20,Mar_Period_1_Tbl[[#All],[$ SALARY PT]])+SUMIF(Apr_Period_1_Tbl[[#All],[STAFF:]],$A20,Apr_Period_1_Tbl[[#All],[$ SALARY PT]])+   SUMIF(May_Period_1_Tbl[[#All],[STAFF:]],$A20,May_Period_1_Tbl[[#All],[$ SALARY PT]])+   SUMIF(Jun_Period_1_Tbl[[#All],[STAFF:]],$A20,Jun_Period_1_Tbl[[#All],[$ SALARY PT]])+  SUMIF(Jul_Period_1_Tbl[[#All],[STAFF:]],$A20,Jul_Period_1_Tbl[[#All],[$ SALARY PT]])+  SUMIF(Aug_Period_1_Tbl[[#All],[STAFF:]],$A20,Aug_Period_1_Tbl[[#All],[$ SALARY PT]])+  SUMIF(Sep_Period_1_Tbl[[#All],[STAFF:]],$A20,Sep_Period_1_Tbl[[#All],[$ SALARY PT]])+  SUMIF(Oct_Period_1_Tbl[[#All],[STAFF:]],$A20,Oct_Period_1_Tbl[[#All],[$ SALARY PT]])+     SUMIF(Nov_Period_1_Tbl[[#All],[STAFF:]],$A20,Nov_Period_1_Tbl[[#All],[$ SALARY PT]])+  SUMIF(Dec_Period_1_Tbl[[#All],[STAFF:]],$A20,Dec_Period_1_Tbl[[#All],[$ SALARY PT]]))+   (SUMIF(Jan_Period_2_Tbl[[#All],[STAFF:]],$A20,Jan_Period_2_Tbl[[#All],[$ SALARY PT]])+
SUMIF(Feb_Period_2_Tbl[[#All],[STAFF:]],$A20,Feb_Period_2_Tbl[[#All],[$ SALARY PT]])+SUMIF(Mar_Period_2_Tbl[[#All],[STAFF:]],$A20,Mar_Period_2_Tbl[[#All],[$ SALARY PT]])+SUMIF(Apr_Period_2_Tbl[[#All],[STAFF:]],$A20,Apr_Period_2_Tbl[[#All],[$ SALARY PT]])+   SUMIF(May_Period_2_Tbl[[#All],[STAFF:]],$A20,May_Period_2_Tbl[[#All],[$ SALARY PT]])+   SUMIF(Jun_Period_2_Tbl[[#All],[STAFF:]],$A20,Jun_Period_2_Tbl[[#All],[$ SALARY PT]])+  SUMIF(Jul_Period_2_Tbl[[#All],[STAFF:]],$A20,Jul_Period_2_Tbl[[#All],[$ SALARY PT]])+  SUMIF(Aug_Period_2_Tbl[[#All],[STAFF:]],$A20,Aug_Period_2_Tbl[[#All],[$ SALARY PT]])+  SUMIF(Sep_Period_2_Tbl[[#All],[STAFF:]],$A20,Sep_Period_2_Tbl[[#All],[$ SALARY PT]])+  SUMIF(Oct_Period_2_Tbl[[#All],[STAFF:]],$A20,Oct_Period_2_Tbl[[#All],[$ SALARY PT]])+     SUMIF(Nov_Period_2_Tbl[[#All],[STAFF:]],$A20,Nov_Period_2_Tbl[[#All],[$ SALARY PT]])+  SUMIF(Dec_Period_2_Tbl[[#All],[STAFF:]],$A20,Dec_Period_2_Tbl[[#All],[$ SALARY PT]]))</f>
        <v>0</v>
      </c>
      <c r="J20" s="190">
        <f>(SUMIF(Jan_Period_1_Tbl[[#All],[STAFF:]],$A20,Jan_Period_1_Tbl[[#All],[$ FREE PT]])+
SUMIF(Feb_Period_1_Tbl[[#All],[STAFF:]],$A20,Feb_Period_1_Tbl[[#All],[$ FREE PT]])+SUMIF(Mar_Period_1_Tbl[[#All],[STAFF:]],$A20,Mar_Period_1_Tbl[[#All],[$ FREE PT]])+SUMIF(Apr_Period_1_Tbl[[#All],[STAFF:]],$A20,Apr_Period_1_Tbl[[#All],[$ FREE PT]])+   SUMIF(May_Period_1_Tbl[[#All],[STAFF:]],$A20,May_Period_1_Tbl[[#All],[$ FREE PT]])+   SUMIF(Jun_Period_1_Tbl[[#All],[STAFF:]],$A20,Jun_Period_1_Tbl[[#All],[$ FREE PT]])+  SUMIF(Jul_Period_1_Tbl[[#All],[STAFF:]],$A20,Jul_Period_1_Tbl[[#All],[$ FREE PT]])+  SUMIF(Aug_Period_1_Tbl[[#All],[STAFF:]],$A20,Aug_Period_1_Tbl[[#All],[$ FREE PT]])+  SUMIF(Sep_Period_1_Tbl[[#All],[STAFF:]],$A20,Sep_Period_1_Tbl[[#All],[$ FREE PT]])+  SUMIF(Oct_Period_1_Tbl[[#All],[STAFF:]],$A20,Oct_Period_1_Tbl[[#All],[$ FREE PT]])+     SUMIF(Nov_Period_1_Tbl[[#All],[STAFF:]],$A20,Nov_Period_1_Tbl[[#All],[$ FREE PT]])+  SUMIF(Dec_Period_1_Tbl[[#All],[STAFF:]],$A20,Dec_Period_1_Tbl[[#All],[$ FREE PT]]))+   (SUMIF(Jan_Period_2_Tbl[[#All],[STAFF:]],$A20,Jan_Period_2_Tbl[[#All],[$ FREE PT]])+
SUMIF(Feb_Period_2_Tbl[[#All],[STAFF:]],$A20,Feb_Period_2_Tbl[[#All],[$ FREE PT]])+SUMIF(Mar_Period_2_Tbl[[#All],[STAFF:]],$A20,Mar_Period_2_Tbl[[#All],[$ FREE PT]])+SUMIF(Apr_Period_2_Tbl[[#All],[STAFF:]],$A20,Apr_Period_2_Tbl[[#All],[$ FREE PT]])+   SUMIF(May_Period_2_Tbl[[#All],[STAFF:]],$A20,May_Period_2_Tbl[[#All],[$ FREE PT]])+   SUMIF(Jun_Period_2_Tbl[[#All],[STAFF:]],$A20,Jun_Period_2_Tbl[[#All],[$ FREE PT]])+  SUMIF(Jul_Period_2_Tbl[[#All],[STAFF:]],$A20,Jul_Period_2_Tbl[[#All],[$ FREE PT]])+  SUMIF(Aug_Period_2_Tbl[[#All],[STAFF:]],$A20,Aug_Period_2_Tbl[[#All],[$ FREE PT]])+  SUMIF(Sep_Period_2_Tbl[[#All],[STAFF:]],$A20,Sep_Period_2_Tbl[[#All],[$ FREE PT]])+  SUMIF(Oct_Period_2_Tbl[[#All],[STAFF:]],$A20,Oct_Period_2_Tbl[[#All],[$ FREE PT]])+     SUMIF(Nov_Period_2_Tbl[[#All],[STAFF:]],$A20,Nov_Period_2_Tbl[[#All],[$ FREE PT]])+  SUMIF(Dec_Period_2_Tbl[[#All],[STAFF:]],$A20,Dec_Period_2_Tbl[[#All],[$ FREE PT]]))</f>
        <v>0</v>
      </c>
      <c r="K20" s="190">
        <f>(SUMIF(Jan_Period_1_Tbl[[#All],[STAFF:]],$A20,Jan_Period_1_Tbl[[#All],[$ PAID PT]])+
SUMIF(Feb_Period_1_Tbl[[#All],[STAFF:]],$A20,Feb_Period_1_Tbl[[#All],[$ PAID PT]])+SUMIF(Mar_Period_1_Tbl[[#All],[STAFF:]],$A20,Mar_Period_1_Tbl[[#All],[$ PAID PT]])+SUMIF(Apr_Period_1_Tbl[[#All],[STAFF:]],$A20,Apr_Period_1_Tbl[[#All],[$ PAID PT]])+   SUMIF(May_Period_1_Tbl[[#All],[STAFF:]],$A20,May_Period_1_Tbl[[#All],[$ PAID PT]])+   SUMIF(Jun_Period_1_Tbl[[#All],[STAFF:]],$A20,Jun_Period_1_Tbl[[#All],[$ PAID PT]])+  SUMIF(Jul_Period_1_Tbl[[#All],[STAFF:]],$A20,Jul_Period_1_Tbl[[#All],[$ PAID PT]])+  SUMIF(Aug_Period_1_Tbl[[#All],[STAFF:]],$A20,Aug_Period_1_Tbl[[#All],[$ PAID PT]])+  SUMIF(Sep_Period_1_Tbl[[#All],[STAFF:]],$A20,Sep_Period_1_Tbl[[#All],[$ PAID PT]])+  SUMIF(Oct_Period_1_Tbl[[#All],[STAFF:]],$A20,Oct_Period_1_Tbl[[#All],[$ PAID PT]])+     SUMIF(Nov_Period_1_Tbl[[#All],[STAFF:]],$A20,Nov_Period_1_Tbl[[#All],[$ PAID PT]])+  SUMIF(Dec_Period_1_Tbl[[#All],[STAFF:]],$A20,Dec_Period_1_Tbl[[#All],[$ PAID PT]]))+   (SUMIF(Jan_Period_2_Tbl[[#All],[STAFF:]],$A20,Jan_Period_2_Tbl[[#All],[$ PAID PT]])+
SUMIF(Feb_Period_2_Tbl[[#All],[STAFF:]],$A20,Feb_Period_2_Tbl[[#All],[$ PAID PT]])+SUMIF(Mar_Period_2_Tbl[[#All],[STAFF:]],$A20,Mar_Period_2_Tbl[[#All],[$ PAID PT]])+SUMIF(Apr_Period_2_Tbl[[#All],[STAFF:]],$A20,Apr_Period_2_Tbl[[#All],[$ PAID PT]])+   SUMIF(May_Period_2_Tbl[[#All],[STAFF:]],$A20,May_Period_2_Tbl[[#All],[$ PAID PT]])+   SUMIF(Jun_Period_2_Tbl[[#All],[STAFF:]],$A20,Jun_Period_2_Tbl[[#All],[$ PAID PT]])+  SUMIF(Jul_Period_2_Tbl[[#All],[STAFF:]],$A20,Jul_Period_2_Tbl[[#All],[$ PAID PT]])+  SUMIF(Aug_Period_2_Tbl[[#All],[STAFF:]],$A20,Aug_Period_2_Tbl[[#All],[$ PAID PT]])+  SUMIF(Sep_Period_2_Tbl[[#All],[STAFF:]],$A20,Sep_Period_2_Tbl[[#All],[$ PAID PT]])+  SUMIF(Oct_Period_2_Tbl[[#All],[STAFF:]],$A20,Oct_Period_2_Tbl[[#All],[$ PAID PT]])+     SUMIF(Nov_Period_2_Tbl[[#All],[STAFF:]],$A20,Nov_Period_2_Tbl[[#All],[$ PAID PT]])+  SUMIF(Dec_Period_2_Tbl[[#All],[STAFF:]],$A20,Dec_Period_2_Tbl[[#All],[$ PAID PT]]))</f>
        <v>0</v>
      </c>
      <c r="L20" s="190">
        <f>(SUMIF(Jan_Period_1_Tbl[[#All],[STAFF:]],$A20,Jan_Period_1_Tbl[[#All],[$ PT COMM]])+
SUMIF(Feb_Period_1_Tbl[[#All],[STAFF:]],$A20,Feb_Period_1_Tbl[[#All],[$ PT COMM]])+SUMIF(Mar_Period_1_Tbl[[#All],[STAFF:]],$A20,Mar_Period_1_Tbl[[#All],[$ PT COMM]])+SUMIF(Apr_Period_1_Tbl[[#All],[STAFF:]],$A20,Apr_Period_1_Tbl[[#All],[$ PT COMM]])+   SUMIF(May_Period_1_Tbl[[#All],[STAFF:]],$A20,May_Period_1_Tbl[[#All],[$ PT COMM]])+   SUMIF(Jun_Period_1_Tbl[[#All],[STAFF:]],$A20,Jun_Period_1_Tbl[[#All],[$ PT COMM]])+  SUMIF(Jul_Period_1_Tbl[[#All],[STAFF:]],$A20,Jul_Period_1_Tbl[[#All],[$ PT COMM]])+  SUMIF(Aug_Period_1_Tbl[[#All],[STAFF:]],$A20,Aug_Period_1_Tbl[[#All],[$ PT COMM]])+  SUMIF(Sep_Period_1_Tbl[[#All],[STAFF:]],$A20,Sep_Period_1_Tbl[[#All],[$ PT COMM]])+  SUMIF(Oct_Period_1_Tbl[[#All],[STAFF:]],$A20,Oct_Period_1_Tbl[[#All],[$ PT COMM]])+     SUMIF(Nov_Period_1_Tbl[[#All],[STAFF:]],$A20,Nov_Period_1_Tbl[[#All],[$ PT COMM]])+  SUMIF(Dec_Period_1_Tbl[[#All],[STAFF:]],$A20,Dec_Period_1_Tbl[[#All],[$ PT COMM]]))+   (SUMIF(Jan_Period_2_Tbl[[#All],[STAFF:]],$A20,Jan_Period_2_Tbl[[#All],[$ PT COMM]])+
SUMIF(Feb_Period_2_Tbl[[#All],[STAFF:]],$A20,Feb_Period_2_Tbl[[#All],[$ PT COMM]])+SUMIF(Mar_Period_2_Tbl[[#All],[STAFF:]],$A20,Mar_Period_2_Tbl[[#All],[$ PT COMM]])+SUMIF(Apr_Period_2_Tbl[[#All],[STAFF:]],$A20,Apr_Period_2_Tbl[[#All],[$ PT COMM]])+   SUMIF(May_Period_2_Tbl[[#All],[STAFF:]],$A20,May_Period_2_Tbl[[#All],[$ PT COMM]])+   SUMIF(Jun_Period_2_Tbl[[#All],[STAFF:]],$A20,Jun_Period_2_Tbl[[#All],[$ PT COMM]])+  SUMIF(Jul_Period_2_Tbl[[#All],[STAFF:]],$A20,Jul_Period_2_Tbl[[#All],[$ PT COMM]])+  SUMIF(Aug_Period_2_Tbl[[#All],[STAFF:]],$A20,Aug_Period_2_Tbl[[#All],[$ PT COMM]])+  SUMIF(Sep_Period_2_Tbl[[#All],[STAFF:]],$A20,Sep_Period_2_Tbl[[#All],[$ PT COMM]])+  SUMIF(Oct_Period_2_Tbl[[#All],[STAFF:]],$A20,Oct_Period_2_Tbl[[#All],[$ PT COMM]])+     SUMIF(Nov_Period_2_Tbl[[#All],[STAFF:]],$A20,Nov_Period_2_Tbl[[#All],[$ PT COMM]])+  SUMIF(Dec_Period_2_Tbl[[#All],[STAFF:]],$A20,Dec_Period_2_Tbl[[#All],[$ PT COMM]]))</f>
        <v>0</v>
      </c>
      <c r="M20" s="190">
        <f>(SUMIF(Jan_Period_1_Tbl[[#All],[STAFF:]],$A20,Jan_Period_1_Tbl[[#All],[$ EFT COMM]])+
SUMIF(Feb_Period_1_Tbl[[#All],[STAFF:]],$A20,Feb_Period_1_Tbl[[#All],[$ EFT COMM]])+SUMIF(Mar_Period_1_Tbl[[#All],[STAFF:]],$A20,Mar_Period_1_Tbl[[#All],[$ EFT COMM]])+SUMIF(Apr_Period_1_Tbl[[#All],[STAFF:]],$A20,Apr_Period_1_Tbl[[#All],[$ EFT COMM]])+   SUMIF(May_Period_1_Tbl[[#All],[STAFF:]],$A20,May_Period_1_Tbl[[#All],[$ EFT COMM]])+   SUMIF(Jun_Period_1_Tbl[[#All],[STAFF:]],$A20,Jun_Period_1_Tbl[[#All],[$ EFT COMM]])+  SUMIF(Jul_Period_1_Tbl[[#All],[STAFF:]],$A20,Jul_Period_1_Tbl[[#All],[$ EFT COMM]])+  SUMIF(Aug_Period_1_Tbl[[#All],[STAFF:]],$A20,Aug_Period_1_Tbl[[#All],[$ EFT COMM]])+  SUMIF(Sep_Period_1_Tbl[[#All],[STAFF:]],$A20,Sep_Period_1_Tbl[[#All],[$ EFT COMM]])+  SUMIF(Oct_Period_1_Tbl[[#All],[STAFF:]],$A20,Oct_Period_1_Tbl[[#All],[$ EFT COMM]])+     SUMIF(Nov_Period_1_Tbl[[#All],[STAFF:]],$A20,Nov_Period_1_Tbl[[#All],[$ EFT COMM]])+  SUMIF(Dec_Period_1_Tbl[[#All],[STAFF:]],$A20,Dec_Period_1_Tbl[[#All],[$ EFT COMM]]))+   (SUMIF(Jan_Period_2_Tbl[[#All],[STAFF:]],$A20,Jan_Period_2_Tbl[[#All],[$ EFT COMM]])+
SUMIF(Feb_Period_2_Tbl[[#All],[STAFF:]],$A20,Feb_Period_2_Tbl[[#All],[$ EFT COMM]])+SUMIF(Mar_Period_2_Tbl[[#All],[STAFF:]],$A20,Mar_Period_2_Tbl[[#All],[$ EFT COMM]])+SUMIF(Apr_Period_2_Tbl[[#All],[STAFF:]],$A20,Apr_Period_2_Tbl[[#All],[$ EFT COMM]])+   SUMIF(May_Period_2_Tbl[[#All],[STAFF:]],$A20,May_Period_2_Tbl[[#All],[$ EFT COMM]])+   SUMIF(Jun_Period_2_Tbl[[#All],[STAFF:]],$A20,Jun_Period_2_Tbl[[#All],[$ EFT COMM]])+  SUMIF(Jul_Period_2_Tbl[[#All],[STAFF:]],$A20,Jul_Period_2_Tbl[[#All],[$ EFT COMM]])+  SUMIF(Aug_Period_2_Tbl[[#All],[STAFF:]],$A20,Aug_Period_2_Tbl[[#All],[$ EFT COMM]])+  SUMIF(Sep_Period_2_Tbl[[#All],[STAFF:]],$A20,Sep_Period_2_Tbl[[#All],[$ EFT COMM]])+  SUMIF(Oct_Period_2_Tbl[[#All],[STAFF:]],$A20,Oct_Period_2_Tbl[[#All],[$ EFT COMM]])+     SUMIF(Nov_Period_2_Tbl[[#All],[STAFF:]],$A20,Nov_Period_2_Tbl[[#All],[$ EFT COMM]])+  SUMIF(Dec_Period_2_Tbl[[#All],[STAFF:]],$A20,Dec_Period_2_Tbl[[#All],[$ EFT COMM]]))</f>
        <v>0</v>
      </c>
      <c r="N20" s="190">
        <f>(SUMIF(Jan_Period_1_Tbl[[#All],[STAFF:]],$A20,Jan_Period_1_Tbl[[#All],[$ CLASS PAY]])+
SUMIF(Feb_Period_1_Tbl[[#All],[STAFF:]],$A20,Feb_Period_1_Tbl[[#All],[$ CLASS PAY]])+SUMIF(Mar_Period_1_Tbl[[#All],[STAFF:]],$A20,Mar_Period_1_Tbl[[#All],[$ CLASS PAY]])+SUMIF(Apr_Period_1_Tbl[[#All],[STAFF:]],$A20,Apr_Period_1_Tbl[[#All],[$ CLASS PAY]])+   SUMIF(May_Period_1_Tbl[[#All],[STAFF:]],$A20,May_Period_1_Tbl[[#All],[$ CLASS PAY]])+   SUMIF(Jun_Period_1_Tbl[[#All],[STAFF:]],$A20,Jun_Period_1_Tbl[[#All],[$ CLASS PAY]])+  SUMIF(Jul_Period_1_Tbl[[#All],[STAFF:]],$A20,Jul_Period_1_Tbl[[#All],[$ CLASS PAY]])+  SUMIF(Aug_Period_1_Tbl[[#All],[STAFF:]],$A20,Aug_Period_1_Tbl[[#All],[$ CLASS PAY]])+  SUMIF(Sep_Period_1_Tbl[[#All],[STAFF:]],$A20,Sep_Period_1_Tbl[[#All],[$ CLASS PAY]])+  SUMIF(Oct_Period_1_Tbl[[#All],[STAFF:]],$A20,Oct_Period_1_Tbl[[#All],[$ CLASS PAY]])+     SUMIF(Nov_Period_1_Tbl[[#All],[STAFF:]],$A20,Nov_Period_1_Tbl[[#All],[$ CLASS PAY]])+  SUMIF(Dec_Period_1_Tbl[[#All],[STAFF:]],$A20,Dec_Period_1_Tbl[[#All],[$ CLASS PAY]]))+   (SUMIF(Jan_Period_2_Tbl[[#All],[STAFF:]],$A20,Jan_Period_2_Tbl[[#All],[$ CLASS PAY]])+
SUMIF(Feb_Period_2_Tbl[[#All],[STAFF:]],$A20,Feb_Period_2_Tbl[[#All],[$ CLASS PAY]])+SUMIF(Mar_Period_2_Tbl[[#All],[STAFF:]],$A20,Mar_Period_2_Tbl[[#All],[$ CLASS PAY]])+SUMIF(Apr_Period_2_Tbl[[#All],[STAFF:]],$A20,Apr_Period_2_Tbl[[#All],[$ CLASS PAY]])+   SUMIF(May_Period_2_Tbl[[#All],[STAFF:]],$A20,May_Period_2_Tbl[[#All],[$ CLASS PAY]])+   SUMIF(Jun_Period_2_Tbl[[#All],[STAFF:]],$A20,Jun_Period_2_Tbl[[#All],[$ CLASS PAY]])+  SUMIF(Jul_Period_2_Tbl[[#All],[STAFF:]],$A20,Jul_Period_2_Tbl[[#All],[$ CLASS PAY]])+  SUMIF(Aug_Period_2_Tbl[[#All],[STAFF:]],$A20,Aug_Period_2_Tbl[[#All],[$ CLASS PAY]])+  SUMIF(Sep_Period_2_Tbl[[#All],[STAFF:]],$A20,Sep_Period_2_Tbl[[#All],[$ CLASS PAY]])+  SUMIF(Oct_Period_2_Tbl[[#All],[STAFF:]],$A20,Oct_Period_2_Tbl[[#All],[$ CLASS PAY]])+     SUMIF(Nov_Period_2_Tbl[[#All],[STAFF:]],$A20,Nov_Period_2_Tbl[[#All],[$ CLASS PAY]])+  SUMIF(Dec_Period_2_Tbl[[#All],[STAFF:]],$A20,Dec_Period_2_Tbl[[#All],[$ CLASS PAY]]))</f>
        <v>0</v>
      </c>
      <c r="O20" s="191">
        <f>(SUMIF(Jan_Period_1_Tbl[[#All],[STAFF:]],$A20,Jan_Period_1_Tbl[[#All],[$ BONUS PAY]])+
SUMIF(Feb_Period_1_Tbl[[#All],[STAFF:]],$A20,Feb_Period_1_Tbl[[#All],[$ BONUS PAY]])+SUMIF(Mar_Period_1_Tbl[[#All],[STAFF:]],$A20,Mar_Period_1_Tbl[[#All],[$ BONUS PAY]])+SUMIF(Apr_Period_1_Tbl[[#All],[STAFF:]],$A20,Apr_Period_1_Tbl[[#All],[$ BONUS PAY]])+   SUMIF(May_Period_1_Tbl[[#All],[STAFF:]],$A20,May_Period_1_Tbl[[#All],[$ BONUS PAY]])+   SUMIF(Jun_Period_1_Tbl[[#All],[STAFF:]],$A20,Jun_Period_1_Tbl[[#All],[$ BONUS PAY]])+  SUMIF(Jul_Period_1_Tbl[[#All],[STAFF:]],$A20,Jul_Period_1_Tbl[[#All],[$ BONUS PAY]])+  SUMIF(Aug_Period_1_Tbl[[#All],[STAFF:]],$A20,Aug_Period_1_Tbl[[#All],[$ BONUS PAY]])+  SUMIF(Sep_Period_1_Tbl[[#All],[STAFF:]],$A20,Sep_Period_1_Tbl[[#All],[$ BONUS PAY]])+  SUMIF(Oct_Period_1_Tbl[[#All],[STAFF:]],$A20,Oct_Period_1_Tbl[[#All],[$ BONUS PAY]])+     SUMIF(Nov_Period_1_Tbl[[#All],[STAFF:]],$A20,Nov_Period_1_Tbl[[#All],[$ BONUS PAY]])+  SUMIF(Dec_Period_1_Tbl[[#All],[STAFF:]],$A20,Dec_Period_1_Tbl[[#All],[$ BONUS PAY]]))+   (SUMIF(Jan_Period_2_Tbl[[#All],[STAFF:]],$A20,Jan_Period_2_Tbl[[#All],[$ BONUS PAY]])+
SUMIF(Feb_Period_2_Tbl[[#All],[STAFF:]],$A20,Feb_Period_2_Tbl[[#All],[$ BONUS PAY]])+SUMIF(Mar_Period_2_Tbl[[#All],[STAFF:]],$A20,Mar_Period_2_Tbl[[#All],[$ BONUS PAY]])+SUMIF(Apr_Period_2_Tbl[[#All],[STAFF:]],$A20,Apr_Period_2_Tbl[[#All],[$ BONUS PAY]])+   SUMIF(May_Period_2_Tbl[[#All],[STAFF:]],$A20,May_Period_2_Tbl[[#All],[$ BONUS PAY]])+   SUMIF(Jun_Period_2_Tbl[[#All],[STAFF:]],$A20,Jun_Period_2_Tbl[[#All],[$ BONUS PAY]])+  SUMIF(Jul_Period_2_Tbl[[#All],[STAFF:]],$A20,Jul_Period_2_Tbl[[#All],[$ BONUS PAY]])+  SUMIF(Aug_Period_2_Tbl[[#All],[STAFF:]],$A20,Aug_Period_2_Tbl[[#All],[$ BONUS PAY]])+  SUMIF(Sep_Period_2_Tbl[[#All],[STAFF:]],$A20,Sep_Period_2_Tbl[[#All],[$ BONUS PAY]])+  SUMIF(Oct_Period_2_Tbl[[#All],[STAFF:]],$A20,Oct_Period_2_Tbl[[#All],[$ BONUS PAY]])+     SUMIF(Nov_Period_2_Tbl[[#All],[STAFF:]],$A20,Nov_Period_2_Tbl[[#All],[$ BONUS PAY]])+  SUMIF(Dec_Period_2_Tbl[[#All],[STAFF:]],$A20,Dec_Period_2_Tbl[[#All],[$ BONUS PAY]]))</f>
        <v>0</v>
      </c>
      <c r="P20" s="179">
        <f t="shared" si="0"/>
        <v>0</v>
      </c>
      <c r="Q20" s="149"/>
      <c r="R20" s="152">
        <f>(SUMIF(Jan_Period_1_Tbl[[#All],[STAFF:]],$A20,Jan_Period_1_Tbl[[#All],['# POINTS EARNED]])+
SUMIF(Feb_Period_1_Tbl[[#All],[STAFF:]],$A20,Feb_Period_1_Tbl[[#All],['# POINTS EARNED]])+SUMIF(Mar_Period_1_Tbl[[#All],[STAFF:]],$A20,Mar_Period_1_Tbl[[#All],['# POINTS EARNED]])+SUMIF(Apr_Period_1_Tbl[[#All],[STAFF:]],$A20,Apr_Period_1_Tbl[[#All],['# POINTS EARNED]])+   SUMIF(May_Period_1_Tbl[[#All],[STAFF:]],$A20,May_Period_1_Tbl[[#All],['# POINTS EARNED]])+   SUMIF(Jun_Period_1_Tbl[[#All],[STAFF:]],$A20,Jun_Period_1_Tbl[[#All],['# POINTS EARNED]])+  SUMIF(Jul_Period_1_Tbl[[#All],[STAFF:]],$A20,Jul_Period_1_Tbl[[#All],['# POINTS EARNED]])+  SUMIF(Aug_Period_1_Tbl[[#All],[STAFF:]],$A20,Aug_Period_1_Tbl[[#All],['# POINTS EARNED]])+  SUMIF(Sep_Period_1_Tbl[[#All],[STAFF:]],$A20,Sep_Period_1_Tbl[[#All],['# POINTS EARNED]])+  SUMIF(Oct_Period_1_Tbl[[#All],[STAFF:]],$A20,Oct_Period_1_Tbl[[#All],['# POINTS EARNED]])+     SUMIF(Nov_Period_1_Tbl[[#All],[STAFF:]],$A20,Nov_Period_1_Tbl[[#All],['# POINTS EARNED]])+  SUMIF(Dec_Period_1_Tbl[[#All],[STAFF:]],$A20,Dec_Period_1_Tbl[[#All],['# POINTS EARNED]]))+   (SUMIF(Jan_Period_2_Tbl[[#All],[STAFF:]],$A20,Jan_Period_2_Tbl[[#All],['# POINTS EARNED]])+
SUMIF(Feb_Period_2_Tbl[[#All],[STAFF:]],$A20,Feb_Period_2_Tbl[[#All],['# POINTS EARNED]])+SUMIF(Mar_Period_2_Tbl[[#All],[STAFF:]],$A20,Mar_Period_2_Tbl[[#All],['# POINTS EARNED]])+SUMIF(Apr_Period_2_Tbl[[#All],[STAFF:]],$A20,Apr_Period_2_Tbl[[#All],['# POINTS EARNED]])+   SUMIF(May_Period_2_Tbl[[#All],[STAFF:]],$A20,May_Period_2_Tbl[[#All],['# POINTS EARNED]])+   SUMIF(Jun_Period_2_Tbl[[#All],[STAFF:]],$A20,Jun_Period_2_Tbl[[#All],['# POINTS EARNED]])+  SUMIF(Jul_Period_2_Tbl[[#All],[STAFF:]],$A20,Jul_Period_2_Tbl[[#All],['# POINTS EARNED]])+  SUMIF(Aug_Period_2_Tbl[[#All],[STAFF:]],$A20,Aug_Period_2_Tbl[[#All],['# POINTS EARNED]])+  SUMIF(Sep_Period_2_Tbl[[#All],[STAFF:]],$A20,Sep_Period_2_Tbl[[#All],['# POINTS EARNED]])+  SUMIF(Oct_Period_2_Tbl[[#All],[STAFF:]],$A20,Oct_Period_2_Tbl[[#All],['# POINTS EARNED]])+     SUMIF(Nov_Period_2_Tbl[[#All],[STAFF:]],$A20,Nov_Period_2_Tbl[[#All],['# POINTS EARNED]])+  SUMIF(Dec_Period_2_Tbl[[#All],[STAFF:]],$A20,Dec_Period_2_Tbl[[#All],['# POINTS EARNED]]))</f>
        <v>0</v>
      </c>
      <c r="S20" s="152">
        <f>(SUMIF(Jan_Period_1_Tbl[[#All],[STAFF:]],$A20,Jan_Period_1_Tbl[[#All],['# POINTS USED]])+
SUMIF(Feb_Period_1_Tbl[[#All],[STAFF:]],$A20,Feb_Period_1_Tbl[[#All],['# POINTS USED]])+SUMIF(Mar_Period_1_Tbl[[#All],[STAFF:]],$A20,Mar_Period_1_Tbl[[#All],['# POINTS USED]])+SUMIF(Apr_Period_1_Tbl[[#All],[STAFF:]],$A20,Apr_Period_1_Tbl[[#All],['# POINTS USED]])+   SUMIF(May_Period_1_Tbl[[#All],[STAFF:]],$A20,May_Period_1_Tbl[[#All],['# POINTS USED]])+   SUMIF(Jun_Period_1_Tbl[[#All],[STAFF:]],$A20,Jun_Period_1_Tbl[[#All],['# POINTS USED]])+  SUMIF(Jul_Period_1_Tbl[[#All],[STAFF:]],$A20,Jul_Period_1_Tbl[[#All],['# POINTS USED]])+  SUMIF(Aug_Period_1_Tbl[[#All],[STAFF:]],$A20,Aug_Period_1_Tbl[[#All],['# POINTS USED]])+  SUMIF(Sep_Period_1_Tbl[[#All],[STAFF:]],$A20,Sep_Period_1_Tbl[[#All],['# POINTS USED]])+  SUMIF(Oct_Period_1_Tbl[[#All],[STAFF:]],$A20,Oct_Period_1_Tbl[[#All],['# POINTS USED]])+     SUMIF(Nov_Period_1_Tbl[[#All],[STAFF:]],$A20,Nov_Period_1_Tbl[[#All],['# POINTS USED]])+  SUMIF(Dec_Period_1_Tbl[[#All],[STAFF:]],$A20,Dec_Period_1_Tbl[[#All],['# POINTS USED]]))+   (SUMIF(Jan_Period_2_Tbl[[#All],[STAFF:]],$A20,Jan_Period_2_Tbl[[#All],['# POINTS USED]])+
SUMIF(Feb_Period_2_Tbl[[#All],[STAFF:]],$A20,Feb_Period_2_Tbl[[#All],['# POINTS USED]])+SUMIF(Mar_Period_2_Tbl[[#All],[STAFF:]],$A20,Mar_Period_2_Tbl[[#All],['# POINTS USED]])+SUMIF(Apr_Period_2_Tbl[[#All],[STAFF:]],$A20,Apr_Period_2_Tbl[[#All],['# POINTS USED]])+   SUMIF(May_Period_2_Tbl[[#All],[STAFF:]],$A20,May_Period_2_Tbl[[#All],['# POINTS USED]])+   SUMIF(Jun_Period_2_Tbl[[#All],[STAFF:]],$A20,Jun_Period_2_Tbl[[#All],['# POINTS USED]])+  SUMIF(Jul_Period_2_Tbl[[#All],[STAFF:]],$A20,Jul_Period_2_Tbl[[#All],['# POINTS USED]])+  SUMIF(Aug_Period_2_Tbl[[#All],[STAFF:]],$A20,Aug_Period_2_Tbl[[#All],['# POINTS USED]])+  SUMIF(Sep_Period_2_Tbl[[#All],[STAFF:]],$A20,Sep_Period_2_Tbl[[#All],['# POINTS USED]])+  SUMIF(Oct_Period_2_Tbl[[#All],[STAFF:]],$A20,Oct_Period_2_Tbl[[#All],['# POINTS USED]])+     SUMIF(Nov_Period_2_Tbl[[#All],[STAFF:]],$A20,Nov_Period_2_Tbl[[#All],['# POINTS USED]])+  SUMIF(Dec_Period_2_Tbl[[#All],[STAFF:]],$A20,Dec_Period_2_Tbl[[#All],['# POINTS USED]]))</f>
        <v>0</v>
      </c>
      <c r="T20" s="152">
        <f>(SUMIF(Jan_Period_1_Tbl[[#All],[STAFF:]],$A20,Jan_Period_1_Tbl[[#All],['# CLASSES LEAD]])+
SUMIF(Feb_Period_1_Tbl[[#All],[STAFF:]],$A20,Feb_Period_1_Tbl[[#All],['# CLASSES LEAD]])+SUMIF(Mar_Period_1_Tbl[[#All],[STAFF:]],$A20,Mar_Period_1_Tbl[[#All],['# CLASSES LEAD]])+SUMIF(Apr_Period_1_Tbl[[#All],[STAFF:]],$A20,Apr_Period_1_Tbl[[#All],['# CLASSES LEAD]])+   SUMIF(May_Period_1_Tbl[[#All],[STAFF:]],$A20,May_Period_1_Tbl[[#All],['# CLASSES LEAD]])+   SUMIF(Jun_Period_1_Tbl[[#All],[STAFF:]],$A20,Jun_Period_1_Tbl[[#All],['# CLASSES LEAD]])+  SUMIF(Jul_Period_1_Tbl[[#All],[STAFF:]],$A20,Jul_Period_1_Tbl[[#All],['# CLASSES LEAD]])+  SUMIF(Aug_Period_1_Tbl[[#All],[STAFF:]],$A20,Aug_Period_1_Tbl[[#All],['# CLASSES LEAD]])+  SUMIF(Sep_Period_1_Tbl[[#All],[STAFF:]],$A20,Sep_Period_1_Tbl[[#All],['# CLASSES LEAD]])+  SUMIF(Oct_Period_1_Tbl[[#All],[STAFF:]],$A20,Oct_Period_1_Tbl[[#All],['# CLASSES LEAD]])+     SUMIF(Nov_Period_1_Tbl[[#All],[STAFF:]],$A20,Nov_Period_1_Tbl[[#All],['# CLASSES LEAD]])+  SUMIF(Dec_Period_1_Tbl[[#All],[STAFF:]],$A20,Dec_Period_1_Tbl[[#All],['# CLASSES LEAD]]))+   (SUMIF(Jan_Period_2_Tbl[[#All],[STAFF:]],$A20,Jan_Period_2_Tbl[[#All],['# CLASSES LEAD]])+
SUMIF(Feb_Period_2_Tbl[[#All],[STAFF:]],$A20,Feb_Period_2_Tbl[[#All],['# CLASSES LEAD]])+SUMIF(Mar_Period_2_Tbl[[#All],[STAFF:]],$A20,Mar_Period_2_Tbl[[#All],['# CLASSES LEAD]])+SUMIF(Apr_Period_2_Tbl[[#All],[STAFF:]],$A20,Apr_Period_2_Tbl[[#All],['# CLASSES LEAD]])+   SUMIF(May_Period_2_Tbl[[#All],[STAFF:]],$A20,May_Period_2_Tbl[[#All],['# CLASSES LEAD]])+   SUMIF(Jun_Period_2_Tbl[[#All],[STAFF:]],$A20,Jun_Period_2_Tbl[[#All],['# CLASSES LEAD]])+  SUMIF(Jul_Period_2_Tbl[[#All],[STAFF:]],$A20,Jul_Period_2_Tbl[[#All],['# CLASSES LEAD]])+  SUMIF(Aug_Period_2_Tbl[[#All],[STAFF:]],$A20,Aug_Period_2_Tbl[[#All],['# CLASSES LEAD]])+  SUMIF(Sep_Period_2_Tbl[[#All],[STAFF:]],$A20,Sep_Period_2_Tbl[[#All],['# CLASSES LEAD]])+  SUMIF(Oct_Period_2_Tbl[[#All],[STAFF:]],$A20,Oct_Period_2_Tbl[[#All],['# CLASSES LEAD]])+     SUMIF(Nov_Period_2_Tbl[[#All],[STAFF:]],$A20,Nov_Period_2_Tbl[[#All],['# CLASSES LEAD]])+  SUMIF(Dec_Period_2_Tbl[[#All],[STAFF:]],$A20,Dec_Period_2_Tbl[[#All],['# CLASSES LEAD]]))</f>
        <v>0</v>
      </c>
      <c r="U20" s="152">
        <f>(SUMIF(Jan_Period_1_Tbl[[#All],[STAFF:]],$A20,Jan_Period_1_Tbl[[#All],['# CLASSES SHOW]])+
SUMIF(Feb_Period_1_Tbl[[#All],[STAFF:]],$A20,Feb_Period_1_Tbl[[#All],['# CLASSES SHOW]])+SUMIF(Mar_Period_1_Tbl[[#All],[STAFF:]],$A20,Mar_Period_1_Tbl[[#All],['# CLASSES SHOW]])+SUMIF(Apr_Period_1_Tbl[[#All],[STAFF:]],$A20,Apr_Period_1_Tbl[[#All],['# CLASSES SHOW]])+   SUMIF(May_Period_1_Tbl[[#All],[STAFF:]],$A20,May_Period_1_Tbl[[#All],['# CLASSES SHOW]])+   SUMIF(Jun_Period_1_Tbl[[#All],[STAFF:]],$A20,Jun_Period_1_Tbl[[#All],['# CLASSES SHOW]])+  SUMIF(Jul_Period_1_Tbl[[#All],[STAFF:]],$A20,Jul_Period_1_Tbl[[#All],['# CLASSES SHOW]])+  SUMIF(Aug_Period_1_Tbl[[#All],[STAFF:]],$A20,Aug_Period_1_Tbl[[#All],['# CLASSES SHOW]])+  SUMIF(Sep_Period_1_Tbl[[#All],[STAFF:]],$A20,Sep_Period_1_Tbl[[#All],['# CLASSES SHOW]])+  SUMIF(Oct_Period_1_Tbl[[#All],[STAFF:]],$A20,Oct_Period_1_Tbl[[#All],['# CLASSES SHOW]])+     SUMIF(Nov_Period_1_Tbl[[#All],[STAFF:]],$A20,Nov_Period_1_Tbl[[#All],['# CLASSES SHOW]])+  SUMIF(Dec_Period_1_Tbl[[#All],[STAFF:]],$A20,Dec_Period_1_Tbl[[#All],['# CLASSES SHOW]]))+   (SUMIF(Jan_Period_2_Tbl[[#All],[STAFF:]],$A20,Jan_Period_2_Tbl[[#All],['# CLASSES SHOW]])+
SUMIF(Feb_Period_2_Tbl[[#All],[STAFF:]],$A20,Feb_Period_2_Tbl[[#All],['# CLASSES SHOW]])+SUMIF(Mar_Period_2_Tbl[[#All],[STAFF:]],$A20,Mar_Period_2_Tbl[[#All],['# CLASSES SHOW]])+SUMIF(Apr_Period_2_Tbl[[#All],[STAFF:]],$A20,Apr_Period_2_Tbl[[#All],['# CLASSES SHOW]])+   SUMIF(May_Period_2_Tbl[[#All],[STAFF:]],$A20,May_Period_2_Tbl[[#All],['# CLASSES SHOW]])+   SUMIF(Jun_Period_2_Tbl[[#All],[STAFF:]],$A20,Jun_Period_2_Tbl[[#All],['# CLASSES SHOW]])+  SUMIF(Jul_Period_2_Tbl[[#All],[STAFF:]],$A20,Jul_Period_2_Tbl[[#All],['# CLASSES SHOW]])+  SUMIF(Aug_Period_2_Tbl[[#All],[STAFF:]],$A20,Aug_Period_2_Tbl[[#All],['# CLASSES SHOW]])+  SUMIF(Sep_Period_2_Tbl[[#All],[STAFF:]],$A20,Sep_Period_2_Tbl[[#All],['# CLASSES SHOW]])+  SUMIF(Oct_Period_2_Tbl[[#All],[STAFF:]],$A20,Oct_Period_2_Tbl[[#All],['# CLASSES SHOW]])+     SUMIF(Nov_Period_2_Tbl[[#All],[STAFF:]],$A20,Nov_Period_2_Tbl[[#All],['# CLASSES SHOW]])+  SUMIF(Dec_Period_2_Tbl[[#All],[STAFF:]],$A20,Dec_Period_2_Tbl[[#All],['# CLASSES SHOW]]))</f>
        <v>0</v>
      </c>
      <c r="V20" s="156"/>
      <c r="W20" s="156"/>
      <c r="X20" s="154">
        <f t="shared" si="1"/>
        <v>0</v>
      </c>
      <c r="Y20" s="154">
        <f t="shared" si="2"/>
        <v>0</v>
      </c>
      <c r="Z20" s="154">
        <f t="shared" si="3"/>
        <v>0</v>
      </c>
      <c r="AA20" s="154">
        <f t="shared" si="4"/>
        <v>0</v>
      </c>
      <c r="AB20" s="154">
        <f t="shared" si="5"/>
        <v>0</v>
      </c>
      <c r="AC20" s="154">
        <f t="shared" si="6"/>
        <v>0</v>
      </c>
      <c r="AD20" s="154">
        <f t="shared" si="7"/>
        <v>0</v>
      </c>
      <c r="AE20" s="149"/>
      <c r="AF20" s="149"/>
      <c r="AG20" s="149"/>
      <c r="AH20" s="149"/>
      <c r="AJ20" s="75" t="str">
        <f t="shared" si="8"/>
        <v>zBlank</v>
      </c>
      <c r="AK20" s="210"/>
      <c r="AL20" s="168">
        <f>IFERROR(VLOOKUP(B20,List!$A:$B,2,FALSE),-1)</f>
        <v>-1</v>
      </c>
      <c r="AM20" s="168">
        <f>IFERROR(VLOOKUP(C20,List!$A:$B,2,FALSE),-1)</f>
        <v>-1</v>
      </c>
    </row>
    <row r="21" spans="1:39" ht="15" hidden="1" customHeight="1" x14ac:dyDescent="0.25">
      <c r="A21" s="20"/>
      <c r="B21" s="186"/>
      <c r="C21" s="186"/>
      <c r="D21" s="187"/>
      <c r="E21" s="188">
        <f>(SUMIF(Jan_Period_1_Tbl[[#All],[STAFF:]],$A21,Jan_Period_1_Tbl[[#All],['# PTO USED]])+
SUMIF(Feb_Period_1_Tbl[[#All],[STAFF:]],$A21,Feb_Period_1_Tbl[[#All],['# PTO USED]])+SUMIF(Mar_Period_1_Tbl[[#All],[STAFF:]],$A21,Mar_Period_1_Tbl[[#All],['# PTO USED]])+SUMIF(Apr_Period_1_Tbl[[#All],[STAFF:]],$A21,Apr_Period_1_Tbl[[#All],['# PTO USED]])+   SUMIF(May_Period_1_Tbl[[#All],[STAFF:]],$A21,May_Period_1_Tbl[[#All],['# PTO USED]])+   SUMIF(Jun_Period_1_Tbl[[#All],[STAFF:]],$A21,Jun_Period_1_Tbl[[#All],['# PTO USED]])+  SUMIF(Jul_Period_1_Tbl[[#All],[STAFF:]],$A21,Jul_Period_1_Tbl[[#All],['# PTO USED]])+  SUMIF(Aug_Period_1_Tbl[[#All],[STAFF:]],$A21,Aug_Period_1_Tbl[[#All],['# PTO USED]])+  SUMIF(Sep_Period_1_Tbl[[#All],[STAFF:]],$A21,Sep_Period_1_Tbl[[#All],['# PTO USED]])+  SUMIF(Oct_Period_1_Tbl[[#All],[STAFF:]],$A21,Oct_Period_1_Tbl[[#All],['# PTO USED]])+     SUMIF(Nov_Period_1_Tbl[[#All],[STAFF:]],$A21,Nov_Period_1_Tbl[[#All],['# PTO USED]])+  SUMIF(Dec_Period_1_Tbl[[#All],[STAFF:]],$A21,Dec_Period_1_Tbl[[#All],['# PTO USED]]))+   (SUMIF(Jan_Period_2_Tbl[[#All],[STAFF:]],$A21,Jan_Period_2_Tbl[[#All],['# PTO USED]])+
SUMIF(Feb_Period_2_Tbl[[#All],[STAFF:]],$A21,Feb_Period_2_Tbl[[#All],['# PTO USED]])+SUMIF(Mar_Period_2_Tbl[[#All],[STAFF:]],$A21,Mar_Period_2_Tbl[[#All],['# PTO USED]])+SUMIF(Apr_Period_2_Tbl[[#All],[STAFF:]],$A21,Apr_Period_2_Tbl[[#All],['# PTO USED]])+   SUMIF(May_Period_2_Tbl[[#All],[STAFF:]],$A21,May_Period_2_Tbl[[#All],['# PTO USED]])+   SUMIF(Jun_Period_2_Tbl[[#All],[STAFF:]],$A21,Jun_Period_2_Tbl[[#All],['# PTO USED]])+  SUMIF(Jul_Period_2_Tbl[[#All],[STAFF:]],$A21,Jul_Period_2_Tbl[[#All],['# PTO USED]])+  SUMIF(Aug_Period_2_Tbl[[#All],[STAFF:]],$A21,Aug_Period_2_Tbl[[#All],['# PTO USED]])+  SUMIF(Sep_Period_2_Tbl[[#All],[STAFF:]],$A21,Sep_Period_2_Tbl[[#All],['# PTO USED]])+  SUMIF(Oct_Period_2_Tbl[[#All],[STAFF:]],$A21,Oct_Period_2_Tbl[[#All],['# PTO USED]])+     SUMIF(Nov_Period_2_Tbl[[#All],[STAFF:]],$A21,Nov_Period_2_Tbl[[#All],['# PTO USED]])+  SUMIF(Dec_Period_2_Tbl[[#All],[STAFF:]],$A21,Dec_Period_2_Tbl[[#All],['# PTO USED]]))</f>
        <v>0</v>
      </c>
      <c r="F21" s="189">
        <f>(SUMIF(Jan_Period_1_Tbl[[#All],[STAFF:]],$A21,Jan_Period_1_Tbl[[#All],['# HRS WORKED]])+
SUMIF(Feb_Period_1_Tbl[[#All],[STAFF:]],$A21,Feb_Period_1_Tbl[[#All],['# HRS WORKED]])+SUMIF(Mar_Period_1_Tbl[[#All],[STAFF:]],$A21,Mar_Period_1_Tbl[[#All],['# HRS WORKED]])+SUMIF(Apr_Period_1_Tbl[[#All],[STAFF:]],$A21,Apr_Period_1_Tbl[[#All],['# HRS WORKED]])+   SUMIF(May_Period_1_Tbl[[#All],[STAFF:]],$A21,May_Period_1_Tbl[[#All],['# HRS WORKED]])+   SUMIF(Jun_Period_1_Tbl[[#All],[STAFF:]],$A21,Jun_Period_1_Tbl[[#All],['# HRS WORKED]])+  SUMIF(Jul_Period_1_Tbl[[#All],[STAFF:]],$A21,Jul_Period_1_Tbl[[#All],['# HRS WORKED]])+  SUMIF(Aug_Period_1_Tbl[[#All],[STAFF:]],$A21,Aug_Period_1_Tbl[[#All],['# HRS WORKED]])+  SUMIF(Sep_Period_1_Tbl[[#All],[STAFF:]],$A21,Sep_Period_1_Tbl[[#All],['# HRS WORKED]])+  SUMIF(Oct_Period_1_Tbl[[#All],[STAFF:]],$A21,Oct_Period_1_Tbl[[#All],['# HRS WORKED]])+     SUMIF(Nov_Period_1_Tbl[[#All],[STAFF:]],$A21,Nov_Period_1_Tbl[[#All],['# HRS WORKED]])+  SUMIF(Dec_Period_1_Tbl[[#All],[STAFF:]],$A21,Dec_Period_1_Tbl[[#All],['# HRS WORKED]]))+   (SUMIF(Jan_Period_2_Tbl[[#All],[STAFF:]],$A21,Jan_Period_2_Tbl[[#All],['# HRS WORKED]])+
SUMIF(Feb_Period_2_Tbl[[#All],[STAFF:]],$A21,Feb_Period_2_Tbl[[#All],['# HRS WORKED]])+SUMIF(Mar_Period_2_Tbl[[#All],[STAFF:]],$A21,Mar_Period_2_Tbl[[#All],['# HRS WORKED]])+SUMIF(Apr_Period_2_Tbl[[#All],[STAFF:]],$A21,Apr_Period_2_Tbl[[#All],['# HRS WORKED]])+   SUMIF(May_Period_2_Tbl[[#All],[STAFF:]],$A21,May_Period_2_Tbl[[#All],['# HRS WORKED]])+   SUMIF(Jun_Period_2_Tbl[[#All],[STAFF:]],$A21,Jun_Period_2_Tbl[[#All],['# HRS WORKED]])+  SUMIF(Jul_Period_2_Tbl[[#All],[STAFF:]],$A21,Jul_Period_2_Tbl[[#All],['# HRS WORKED]])+  SUMIF(Aug_Period_2_Tbl[[#All],[STAFF:]],$A21,Aug_Period_2_Tbl[[#All],['# HRS WORKED]])+  SUMIF(Sep_Period_2_Tbl[[#All],[STAFF:]],$A21,Sep_Period_2_Tbl[[#All],['# HRS WORKED]])+  SUMIF(Oct_Period_2_Tbl[[#All],[STAFF:]],$A21,Oct_Period_2_Tbl[[#All],['# HRS WORKED]])+     SUMIF(Nov_Period_2_Tbl[[#All],[STAFF:]],$A21,Nov_Period_2_Tbl[[#All],['# HRS WORKED]])+  SUMIF(Dec_Period_2_Tbl[[#All],[STAFF:]],$A21,Dec_Period_2_Tbl[[#All],['# HRS WORKED]]))</f>
        <v>0</v>
      </c>
      <c r="G21" s="190">
        <f>(SUMIF(Jan_Period_1_Tbl[[#All],[STAFF:]],$A21,Jan_Period_1_Tbl[[#All],[$ Hourly WAGES]])+
SUMIF(Feb_Period_1_Tbl[[#All],[STAFF:]],$A21,Feb_Period_1_Tbl[[#All],[$ Hourly WAGES]])+SUMIF(Mar_Period_1_Tbl[[#All],[STAFF:]],$A21,Mar_Period_1_Tbl[[#All],[$ Hourly WAGES]])+SUMIF(Apr_Period_1_Tbl[[#All],[STAFF:]],$A21,Apr_Period_1_Tbl[[#All],[$ Hourly WAGES]])+   SUMIF(May_Period_1_Tbl[[#All],[STAFF:]],$A21,May_Period_1_Tbl[[#All],[$ Hourly WAGES]])+   SUMIF(Jun_Period_1_Tbl[[#All],[STAFF:]],$A21,Jun_Period_1_Tbl[[#All],[$ Hourly WAGES]])+  SUMIF(Jul_Period_1_Tbl[[#All],[STAFF:]],$A21,Jul_Period_1_Tbl[[#All],[$ Hourly WAGES]])+  SUMIF(Aug_Period_1_Tbl[[#All],[STAFF:]],$A21,Aug_Period_1_Tbl[[#All],[$ Hourly WAGES]])+  SUMIF(Sep_Period_1_Tbl[[#All],[STAFF:]],$A21,Sep_Period_1_Tbl[[#All],[$ Hourly WAGES]])+  SUMIF(Oct_Period_1_Tbl[[#All],[STAFF:]],$A21,Oct_Period_1_Tbl[[#All],[$ Hourly WAGES]])+     SUMIF(Nov_Period_1_Tbl[[#All],[STAFF:]],$A21,Nov_Period_1_Tbl[[#All],[$ Hourly WAGES]])+  SUMIF(Dec_Period_1_Tbl[[#All],[STAFF:]],$A21,Dec_Period_1_Tbl[[#All],[$ Hourly WAGES]]))+   (SUMIF(Jan_Period_2_Tbl[[#All],[STAFF:]],$A21,Jan_Period_2_Tbl[[#All],[$ Hourly WAGES]])+
SUMIF(Feb_Period_2_Tbl[[#All],[STAFF:]],$A21,Feb_Period_2_Tbl[[#All],[$ Hourly WAGES]])+SUMIF(Mar_Period_2_Tbl[[#All],[STAFF:]],$A21,Mar_Period_2_Tbl[[#All],[$ Hourly WAGES]])+SUMIF(Apr_Period_2_Tbl[[#All],[STAFF:]],$A21,Apr_Period_2_Tbl[[#All],[$ Hourly WAGES]])+   SUMIF(May_Period_2_Tbl[[#All],[STAFF:]],$A21,May_Period_2_Tbl[[#All],[$ Hourly WAGES]])+   SUMIF(Jun_Period_2_Tbl[[#All],[STAFF:]],$A21,Jun_Period_2_Tbl[[#All],[$ Hourly WAGES]])+  SUMIF(Jul_Period_2_Tbl[[#All],[STAFF:]],$A21,Jul_Period_2_Tbl[[#All],[$ Hourly WAGES]])+  SUMIF(Aug_Period_2_Tbl[[#All],[STAFF:]],$A21,Aug_Period_2_Tbl[[#All],[$ Hourly WAGES]])+  SUMIF(Sep_Period_2_Tbl[[#All],[STAFF:]],$A21,Sep_Period_2_Tbl[[#All],[$ Hourly WAGES]])+  SUMIF(Oct_Period_2_Tbl[[#All],[STAFF:]],$A21,Oct_Period_2_Tbl[[#All],[$ Hourly WAGES]])+     SUMIF(Nov_Period_2_Tbl[[#All],[STAFF:]],$A21,Nov_Period_2_Tbl[[#All],[$ Hourly WAGES]])+  SUMIF(Dec_Period_2_Tbl[[#All],[STAFF:]],$A21,Dec_Period_2_Tbl[[#All],[$ Hourly WAGES]]))</f>
        <v>0</v>
      </c>
      <c r="H21" s="190">
        <f>(SUMIF(Jan_Period_1_Tbl[[#All],[STAFF:]],$A21,Jan_Period_1_Tbl[[#All],[$ SALARY]])+
SUMIF(Feb_Period_1_Tbl[[#All],[STAFF:]],$A21,Feb_Period_1_Tbl[[#All],[$ SALARY]])+SUMIF(Mar_Period_1_Tbl[[#All],[STAFF:]],$A21,Mar_Period_1_Tbl[[#All],[$ SALARY]])+SUMIF(Apr_Period_1_Tbl[[#All],[STAFF:]],$A21,Apr_Period_1_Tbl[[#All],[$ SALARY]])+   SUMIF(May_Period_1_Tbl[[#All],[STAFF:]],$A21,May_Period_1_Tbl[[#All],[$ SALARY]])+   SUMIF(Jun_Period_1_Tbl[[#All],[STAFF:]],$A21,Jun_Period_1_Tbl[[#All],[$ SALARY]])+  SUMIF(Jul_Period_1_Tbl[[#All],[STAFF:]],$A21,Jul_Period_1_Tbl[[#All],[$ SALARY]])+  SUMIF(Aug_Period_1_Tbl[[#All],[STAFF:]],$A21,Aug_Period_1_Tbl[[#All],[$ SALARY]])+  SUMIF(Sep_Period_1_Tbl[[#All],[STAFF:]],$A21,Sep_Period_1_Tbl[[#All],[$ SALARY]])+  SUMIF(Oct_Period_1_Tbl[[#All],[STAFF:]],$A21,Oct_Period_1_Tbl[[#All],[$ SALARY]])+     SUMIF(Nov_Period_1_Tbl[[#All],[STAFF:]],$A21,Nov_Period_1_Tbl[[#All],[$ SALARY]])+  SUMIF(Dec_Period_1_Tbl[[#All],[STAFF:]],$A21,Dec_Period_1_Tbl[[#All],[$ SALARY]]))+   (SUMIF(Jan_Period_2_Tbl[[#All],[STAFF:]],$A21,Jan_Period_2_Tbl[[#All],[$ SALARY]])+
SUMIF(Feb_Period_2_Tbl[[#All],[STAFF:]],$A21,Feb_Period_2_Tbl[[#All],[$ SALARY]])+SUMIF(Mar_Period_2_Tbl[[#All],[STAFF:]],$A21,Mar_Period_2_Tbl[[#All],[$ SALARY]])+SUMIF(Apr_Period_2_Tbl[[#All],[STAFF:]],$A21,Apr_Period_2_Tbl[[#All],[$ SALARY]])+   SUMIF(May_Period_2_Tbl[[#All],[STAFF:]],$A21,May_Period_2_Tbl[[#All],[$ SALARY]])+   SUMIF(Jun_Period_2_Tbl[[#All],[STAFF:]],$A21,Jun_Period_2_Tbl[[#All],[$ SALARY]])+  SUMIF(Jul_Period_2_Tbl[[#All],[STAFF:]],$A21,Jul_Period_2_Tbl[[#All],[$ SALARY]])+  SUMIF(Aug_Period_2_Tbl[[#All],[STAFF:]],$A21,Aug_Period_2_Tbl[[#All],[$ SALARY]])+  SUMIF(Sep_Period_2_Tbl[[#All],[STAFF:]],$A21,Sep_Period_2_Tbl[[#All],[$ SALARY]])+  SUMIF(Oct_Period_2_Tbl[[#All],[STAFF:]],$A21,Oct_Period_2_Tbl[[#All],[$ SALARY]])+     SUMIF(Nov_Period_2_Tbl[[#All],[STAFF:]],$A21,Nov_Period_2_Tbl[[#All],[$ SALARY]])+  SUMIF(Dec_Period_2_Tbl[[#All],[STAFF:]],$A21,Dec_Period_2_Tbl[[#All],[$ SALARY]]))</f>
        <v>0</v>
      </c>
      <c r="I21" s="190">
        <f>(SUMIF(Jan_Period_1_Tbl[[#All],[STAFF:]],$A21,Jan_Period_1_Tbl[[#All],[$ SALARY PT]])+
SUMIF(Feb_Period_1_Tbl[[#All],[STAFF:]],$A21,Feb_Period_1_Tbl[[#All],[$ SALARY PT]])+SUMIF(Mar_Period_1_Tbl[[#All],[STAFF:]],$A21,Mar_Period_1_Tbl[[#All],[$ SALARY PT]])+SUMIF(Apr_Period_1_Tbl[[#All],[STAFF:]],$A21,Apr_Period_1_Tbl[[#All],[$ SALARY PT]])+   SUMIF(May_Period_1_Tbl[[#All],[STAFF:]],$A21,May_Period_1_Tbl[[#All],[$ SALARY PT]])+   SUMIF(Jun_Period_1_Tbl[[#All],[STAFF:]],$A21,Jun_Period_1_Tbl[[#All],[$ SALARY PT]])+  SUMIF(Jul_Period_1_Tbl[[#All],[STAFF:]],$A21,Jul_Period_1_Tbl[[#All],[$ SALARY PT]])+  SUMIF(Aug_Period_1_Tbl[[#All],[STAFF:]],$A21,Aug_Period_1_Tbl[[#All],[$ SALARY PT]])+  SUMIF(Sep_Period_1_Tbl[[#All],[STAFF:]],$A21,Sep_Period_1_Tbl[[#All],[$ SALARY PT]])+  SUMIF(Oct_Period_1_Tbl[[#All],[STAFF:]],$A21,Oct_Period_1_Tbl[[#All],[$ SALARY PT]])+     SUMIF(Nov_Period_1_Tbl[[#All],[STAFF:]],$A21,Nov_Period_1_Tbl[[#All],[$ SALARY PT]])+  SUMIF(Dec_Period_1_Tbl[[#All],[STAFF:]],$A21,Dec_Period_1_Tbl[[#All],[$ SALARY PT]]))+   (SUMIF(Jan_Period_2_Tbl[[#All],[STAFF:]],$A21,Jan_Period_2_Tbl[[#All],[$ SALARY PT]])+
SUMIF(Feb_Period_2_Tbl[[#All],[STAFF:]],$A21,Feb_Period_2_Tbl[[#All],[$ SALARY PT]])+SUMIF(Mar_Period_2_Tbl[[#All],[STAFF:]],$A21,Mar_Period_2_Tbl[[#All],[$ SALARY PT]])+SUMIF(Apr_Period_2_Tbl[[#All],[STAFF:]],$A21,Apr_Period_2_Tbl[[#All],[$ SALARY PT]])+   SUMIF(May_Period_2_Tbl[[#All],[STAFF:]],$A21,May_Period_2_Tbl[[#All],[$ SALARY PT]])+   SUMIF(Jun_Period_2_Tbl[[#All],[STAFF:]],$A21,Jun_Period_2_Tbl[[#All],[$ SALARY PT]])+  SUMIF(Jul_Period_2_Tbl[[#All],[STAFF:]],$A21,Jul_Period_2_Tbl[[#All],[$ SALARY PT]])+  SUMIF(Aug_Period_2_Tbl[[#All],[STAFF:]],$A21,Aug_Period_2_Tbl[[#All],[$ SALARY PT]])+  SUMIF(Sep_Period_2_Tbl[[#All],[STAFF:]],$A21,Sep_Period_2_Tbl[[#All],[$ SALARY PT]])+  SUMIF(Oct_Period_2_Tbl[[#All],[STAFF:]],$A21,Oct_Period_2_Tbl[[#All],[$ SALARY PT]])+     SUMIF(Nov_Period_2_Tbl[[#All],[STAFF:]],$A21,Nov_Period_2_Tbl[[#All],[$ SALARY PT]])+  SUMIF(Dec_Period_2_Tbl[[#All],[STAFF:]],$A21,Dec_Period_2_Tbl[[#All],[$ SALARY PT]]))</f>
        <v>0</v>
      </c>
      <c r="J21" s="190">
        <f>(SUMIF(Jan_Period_1_Tbl[[#All],[STAFF:]],$A21,Jan_Period_1_Tbl[[#All],[$ FREE PT]])+
SUMIF(Feb_Period_1_Tbl[[#All],[STAFF:]],$A21,Feb_Period_1_Tbl[[#All],[$ FREE PT]])+SUMIF(Mar_Period_1_Tbl[[#All],[STAFF:]],$A21,Mar_Period_1_Tbl[[#All],[$ FREE PT]])+SUMIF(Apr_Period_1_Tbl[[#All],[STAFF:]],$A21,Apr_Period_1_Tbl[[#All],[$ FREE PT]])+   SUMIF(May_Period_1_Tbl[[#All],[STAFF:]],$A21,May_Period_1_Tbl[[#All],[$ FREE PT]])+   SUMIF(Jun_Period_1_Tbl[[#All],[STAFF:]],$A21,Jun_Period_1_Tbl[[#All],[$ FREE PT]])+  SUMIF(Jul_Period_1_Tbl[[#All],[STAFF:]],$A21,Jul_Period_1_Tbl[[#All],[$ FREE PT]])+  SUMIF(Aug_Period_1_Tbl[[#All],[STAFF:]],$A21,Aug_Period_1_Tbl[[#All],[$ FREE PT]])+  SUMIF(Sep_Period_1_Tbl[[#All],[STAFF:]],$A21,Sep_Period_1_Tbl[[#All],[$ FREE PT]])+  SUMIF(Oct_Period_1_Tbl[[#All],[STAFF:]],$A21,Oct_Period_1_Tbl[[#All],[$ FREE PT]])+     SUMIF(Nov_Period_1_Tbl[[#All],[STAFF:]],$A21,Nov_Period_1_Tbl[[#All],[$ FREE PT]])+  SUMIF(Dec_Period_1_Tbl[[#All],[STAFF:]],$A21,Dec_Period_1_Tbl[[#All],[$ FREE PT]]))+   (SUMIF(Jan_Period_2_Tbl[[#All],[STAFF:]],$A21,Jan_Period_2_Tbl[[#All],[$ FREE PT]])+
SUMIF(Feb_Period_2_Tbl[[#All],[STAFF:]],$A21,Feb_Period_2_Tbl[[#All],[$ FREE PT]])+SUMIF(Mar_Period_2_Tbl[[#All],[STAFF:]],$A21,Mar_Period_2_Tbl[[#All],[$ FREE PT]])+SUMIF(Apr_Period_2_Tbl[[#All],[STAFF:]],$A21,Apr_Period_2_Tbl[[#All],[$ FREE PT]])+   SUMIF(May_Period_2_Tbl[[#All],[STAFF:]],$A21,May_Period_2_Tbl[[#All],[$ FREE PT]])+   SUMIF(Jun_Period_2_Tbl[[#All],[STAFF:]],$A21,Jun_Period_2_Tbl[[#All],[$ FREE PT]])+  SUMIF(Jul_Period_2_Tbl[[#All],[STAFF:]],$A21,Jul_Period_2_Tbl[[#All],[$ FREE PT]])+  SUMIF(Aug_Period_2_Tbl[[#All],[STAFF:]],$A21,Aug_Period_2_Tbl[[#All],[$ FREE PT]])+  SUMIF(Sep_Period_2_Tbl[[#All],[STAFF:]],$A21,Sep_Period_2_Tbl[[#All],[$ FREE PT]])+  SUMIF(Oct_Period_2_Tbl[[#All],[STAFF:]],$A21,Oct_Period_2_Tbl[[#All],[$ FREE PT]])+     SUMIF(Nov_Period_2_Tbl[[#All],[STAFF:]],$A21,Nov_Period_2_Tbl[[#All],[$ FREE PT]])+  SUMIF(Dec_Period_2_Tbl[[#All],[STAFF:]],$A21,Dec_Period_2_Tbl[[#All],[$ FREE PT]]))</f>
        <v>0</v>
      </c>
      <c r="K21" s="190">
        <f>(SUMIF(Jan_Period_1_Tbl[[#All],[STAFF:]],$A21,Jan_Period_1_Tbl[[#All],[$ PAID PT]])+
SUMIF(Feb_Period_1_Tbl[[#All],[STAFF:]],$A21,Feb_Period_1_Tbl[[#All],[$ PAID PT]])+SUMIF(Mar_Period_1_Tbl[[#All],[STAFF:]],$A21,Mar_Period_1_Tbl[[#All],[$ PAID PT]])+SUMIF(Apr_Period_1_Tbl[[#All],[STAFF:]],$A21,Apr_Period_1_Tbl[[#All],[$ PAID PT]])+   SUMIF(May_Period_1_Tbl[[#All],[STAFF:]],$A21,May_Period_1_Tbl[[#All],[$ PAID PT]])+   SUMIF(Jun_Period_1_Tbl[[#All],[STAFF:]],$A21,Jun_Period_1_Tbl[[#All],[$ PAID PT]])+  SUMIF(Jul_Period_1_Tbl[[#All],[STAFF:]],$A21,Jul_Period_1_Tbl[[#All],[$ PAID PT]])+  SUMIF(Aug_Period_1_Tbl[[#All],[STAFF:]],$A21,Aug_Period_1_Tbl[[#All],[$ PAID PT]])+  SUMIF(Sep_Period_1_Tbl[[#All],[STAFF:]],$A21,Sep_Period_1_Tbl[[#All],[$ PAID PT]])+  SUMIF(Oct_Period_1_Tbl[[#All],[STAFF:]],$A21,Oct_Period_1_Tbl[[#All],[$ PAID PT]])+     SUMIF(Nov_Period_1_Tbl[[#All],[STAFF:]],$A21,Nov_Period_1_Tbl[[#All],[$ PAID PT]])+  SUMIF(Dec_Period_1_Tbl[[#All],[STAFF:]],$A21,Dec_Period_1_Tbl[[#All],[$ PAID PT]]))+   (SUMIF(Jan_Period_2_Tbl[[#All],[STAFF:]],$A21,Jan_Period_2_Tbl[[#All],[$ PAID PT]])+
SUMIF(Feb_Period_2_Tbl[[#All],[STAFF:]],$A21,Feb_Period_2_Tbl[[#All],[$ PAID PT]])+SUMIF(Mar_Period_2_Tbl[[#All],[STAFF:]],$A21,Mar_Period_2_Tbl[[#All],[$ PAID PT]])+SUMIF(Apr_Period_2_Tbl[[#All],[STAFF:]],$A21,Apr_Period_2_Tbl[[#All],[$ PAID PT]])+   SUMIF(May_Period_2_Tbl[[#All],[STAFF:]],$A21,May_Period_2_Tbl[[#All],[$ PAID PT]])+   SUMIF(Jun_Period_2_Tbl[[#All],[STAFF:]],$A21,Jun_Period_2_Tbl[[#All],[$ PAID PT]])+  SUMIF(Jul_Period_2_Tbl[[#All],[STAFF:]],$A21,Jul_Period_2_Tbl[[#All],[$ PAID PT]])+  SUMIF(Aug_Period_2_Tbl[[#All],[STAFF:]],$A21,Aug_Period_2_Tbl[[#All],[$ PAID PT]])+  SUMIF(Sep_Period_2_Tbl[[#All],[STAFF:]],$A21,Sep_Period_2_Tbl[[#All],[$ PAID PT]])+  SUMIF(Oct_Period_2_Tbl[[#All],[STAFF:]],$A21,Oct_Period_2_Tbl[[#All],[$ PAID PT]])+     SUMIF(Nov_Period_2_Tbl[[#All],[STAFF:]],$A21,Nov_Period_2_Tbl[[#All],[$ PAID PT]])+  SUMIF(Dec_Period_2_Tbl[[#All],[STAFF:]],$A21,Dec_Period_2_Tbl[[#All],[$ PAID PT]]))</f>
        <v>0</v>
      </c>
      <c r="L21" s="190">
        <f>(SUMIF(Jan_Period_1_Tbl[[#All],[STAFF:]],$A21,Jan_Period_1_Tbl[[#All],[$ PT COMM]])+
SUMIF(Feb_Period_1_Tbl[[#All],[STAFF:]],$A21,Feb_Period_1_Tbl[[#All],[$ PT COMM]])+SUMIF(Mar_Period_1_Tbl[[#All],[STAFF:]],$A21,Mar_Period_1_Tbl[[#All],[$ PT COMM]])+SUMIF(Apr_Period_1_Tbl[[#All],[STAFF:]],$A21,Apr_Period_1_Tbl[[#All],[$ PT COMM]])+   SUMIF(May_Period_1_Tbl[[#All],[STAFF:]],$A21,May_Period_1_Tbl[[#All],[$ PT COMM]])+   SUMIF(Jun_Period_1_Tbl[[#All],[STAFF:]],$A21,Jun_Period_1_Tbl[[#All],[$ PT COMM]])+  SUMIF(Jul_Period_1_Tbl[[#All],[STAFF:]],$A21,Jul_Period_1_Tbl[[#All],[$ PT COMM]])+  SUMIF(Aug_Period_1_Tbl[[#All],[STAFF:]],$A21,Aug_Period_1_Tbl[[#All],[$ PT COMM]])+  SUMIF(Sep_Period_1_Tbl[[#All],[STAFF:]],$A21,Sep_Period_1_Tbl[[#All],[$ PT COMM]])+  SUMIF(Oct_Period_1_Tbl[[#All],[STAFF:]],$A21,Oct_Period_1_Tbl[[#All],[$ PT COMM]])+     SUMIF(Nov_Period_1_Tbl[[#All],[STAFF:]],$A21,Nov_Period_1_Tbl[[#All],[$ PT COMM]])+  SUMIF(Dec_Period_1_Tbl[[#All],[STAFF:]],$A21,Dec_Period_1_Tbl[[#All],[$ PT COMM]]))+   (SUMIF(Jan_Period_2_Tbl[[#All],[STAFF:]],$A21,Jan_Period_2_Tbl[[#All],[$ PT COMM]])+
SUMIF(Feb_Period_2_Tbl[[#All],[STAFF:]],$A21,Feb_Period_2_Tbl[[#All],[$ PT COMM]])+SUMIF(Mar_Period_2_Tbl[[#All],[STAFF:]],$A21,Mar_Period_2_Tbl[[#All],[$ PT COMM]])+SUMIF(Apr_Period_2_Tbl[[#All],[STAFF:]],$A21,Apr_Period_2_Tbl[[#All],[$ PT COMM]])+   SUMIF(May_Period_2_Tbl[[#All],[STAFF:]],$A21,May_Period_2_Tbl[[#All],[$ PT COMM]])+   SUMIF(Jun_Period_2_Tbl[[#All],[STAFF:]],$A21,Jun_Period_2_Tbl[[#All],[$ PT COMM]])+  SUMIF(Jul_Period_2_Tbl[[#All],[STAFF:]],$A21,Jul_Period_2_Tbl[[#All],[$ PT COMM]])+  SUMIF(Aug_Period_2_Tbl[[#All],[STAFF:]],$A21,Aug_Period_2_Tbl[[#All],[$ PT COMM]])+  SUMIF(Sep_Period_2_Tbl[[#All],[STAFF:]],$A21,Sep_Period_2_Tbl[[#All],[$ PT COMM]])+  SUMIF(Oct_Period_2_Tbl[[#All],[STAFF:]],$A21,Oct_Period_2_Tbl[[#All],[$ PT COMM]])+     SUMIF(Nov_Period_2_Tbl[[#All],[STAFF:]],$A21,Nov_Period_2_Tbl[[#All],[$ PT COMM]])+  SUMIF(Dec_Period_2_Tbl[[#All],[STAFF:]],$A21,Dec_Period_2_Tbl[[#All],[$ PT COMM]]))</f>
        <v>0</v>
      </c>
      <c r="M21" s="190">
        <f>(SUMIF(Jan_Period_1_Tbl[[#All],[STAFF:]],$A21,Jan_Period_1_Tbl[[#All],[$ EFT COMM]])+
SUMIF(Feb_Period_1_Tbl[[#All],[STAFF:]],$A21,Feb_Period_1_Tbl[[#All],[$ EFT COMM]])+SUMIF(Mar_Period_1_Tbl[[#All],[STAFF:]],$A21,Mar_Period_1_Tbl[[#All],[$ EFT COMM]])+SUMIF(Apr_Period_1_Tbl[[#All],[STAFF:]],$A21,Apr_Period_1_Tbl[[#All],[$ EFT COMM]])+   SUMIF(May_Period_1_Tbl[[#All],[STAFF:]],$A21,May_Period_1_Tbl[[#All],[$ EFT COMM]])+   SUMIF(Jun_Period_1_Tbl[[#All],[STAFF:]],$A21,Jun_Period_1_Tbl[[#All],[$ EFT COMM]])+  SUMIF(Jul_Period_1_Tbl[[#All],[STAFF:]],$A21,Jul_Period_1_Tbl[[#All],[$ EFT COMM]])+  SUMIF(Aug_Period_1_Tbl[[#All],[STAFF:]],$A21,Aug_Period_1_Tbl[[#All],[$ EFT COMM]])+  SUMIF(Sep_Period_1_Tbl[[#All],[STAFF:]],$A21,Sep_Period_1_Tbl[[#All],[$ EFT COMM]])+  SUMIF(Oct_Period_1_Tbl[[#All],[STAFF:]],$A21,Oct_Period_1_Tbl[[#All],[$ EFT COMM]])+     SUMIF(Nov_Period_1_Tbl[[#All],[STAFF:]],$A21,Nov_Period_1_Tbl[[#All],[$ EFT COMM]])+  SUMIF(Dec_Period_1_Tbl[[#All],[STAFF:]],$A21,Dec_Period_1_Tbl[[#All],[$ EFT COMM]]))+   (SUMIF(Jan_Period_2_Tbl[[#All],[STAFF:]],$A21,Jan_Period_2_Tbl[[#All],[$ EFT COMM]])+
SUMIF(Feb_Period_2_Tbl[[#All],[STAFF:]],$A21,Feb_Period_2_Tbl[[#All],[$ EFT COMM]])+SUMIF(Mar_Period_2_Tbl[[#All],[STAFF:]],$A21,Mar_Period_2_Tbl[[#All],[$ EFT COMM]])+SUMIF(Apr_Period_2_Tbl[[#All],[STAFF:]],$A21,Apr_Period_2_Tbl[[#All],[$ EFT COMM]])+   SUMIF(May_Period_2_Tbl[[#All],[STAFF:]],$A21,May_Period_2_Tbl[[#All],[$ EFT COMM]])+   SUMIF(Jun_Period_2_Tbl[[#All],[STAFF:]],$A21,Jun_Period_2_Tbl[[#All],[$ EFT COMM]])+  SUMIF(Jul_Period_2_Tbl[[#All],[STAFF:]],$A21,Jul_Period_2_Tbl[[#All],[$ EFT COMM]])+  SUMIF(Aug_Period_2_Tbl[[#All],[STAFF:]],$A21,Aug_Period_2_Tbl[[#All],[$ EFT COMM]])+  SUMIF(Sep_Period_2_Tbl[[#All],[STAFF:]],$A21,Sep_Period_2_Tbl[[#All],[$ EFT COMM]])+  SUMIF(Oct_Period_2_Tbl[[#All],[STAFF:]],$A21,Oct_Period_2_Tbl[[#All],[$ EFT COMM]])+     SUMIF(Nov_Period_2_Tbl[[#All],[STAFF:]],$A21,Nov_Period_2_Tbl[[#All],[$ EFT COMM]])+  SUMIF(Dec_Period_2_Tbl[[#All],[STAFF:]],$A21,Dec_Period_2_Tbl[[#All],[$ EFT COMM]]))</f>
        <v>0</v>
      </c>
      <c r="N21" s="190">
        <f>(SUMIF(Jan_Period_1_Tbl[[#All],[STAFF:]],$A21,Jan_Period_1_Tbl[[#All],[$ CLASS PAY]])+
SUMIF(Feb_Period_1_Tbl[[#All],[STAFF:]],$A21,Feb_Period_1_Tbl[[#All],[$ CLASS PAY]])+SUMIF(Mar_Period_1_Tbl[[#All],[STAFF:]],$A21,Mar_Period_1_Tbl[[#All],[$ CLASS PAY]])+SUMIF(Apr_Period_1_Tbl[[#All],[STAFF:]],$A21,Apr_Period_1_Tbl[[#All],[$ CLASS PAY]])+   SUMIF(May_Period_1_Tbl[[#All],[STAFF:]],$A21,May_Period_1_Tbl[[#All],[$ CLASS PAY]])+   SUMIF(Jun_Period_1_Tbl[[#All],[STAFF:]],$A21,Jun_Period_1_Tbl[[#All],[$ CLASS PAY]])+  SUMIF(Jul_Period_1_Tbl[[#All],[STAFF:]],$A21,Jul_Period_1_Tbl[[#All],[$ CLASS PAY]])+  SUMIF(Aug_Period_1_Tbl[[#All],[STAFF:]],$A21,Aug_Period_1_Tbl[[#All],[$ CLASS PAY]])+  SUMIF(Sep_Period_1_Tbl[[#All],[STAFF:]],$A21,Sep_Period_1_Tbl[[#All],[$ CLASS PAY]])+  SUMIF(Oct_Period_1_Tbl[[#All],[STAFF:]],$A21,Oct_Period_1_Tbl[[#All],[$ CLASS PAY]])+     SUMIF(Nov_Period_1_Tbl[[#All],[STAFF:]],$A21,Nov_Period_1_Tbl[[#All],[$ CLASS PAY]])+  SUMIF(Dec_Period_1_Tbl[[#All],[STAFF:]],$A21,Dec_Period_1_Tbl[[#All],[$ CLASS PAY]]))+   (SUMIF(Jan_Period_2_Tbl[[#All],[STAFF:]],$A21,Jan_Period_2_Tbl[[#All],[$ CLASS PAY]])+
SUMIF(Feb_Period_2_Tbl[[#All],[STAFF:]],$A21,Feb_Period_2_Tbl[[#All],[$ CLASS PAY]])+SUMIF(Mar_Period_2_Tbl[[#All],[STAFF:]],$A21,Mar_Period_2_Tbl[[#All],[$ CLASS PAY]])+SUMIF(Apr_Period_2_Tbl[[#All],[STAFF:]],$A21,Apr_Period_2_Tbl[[#All],[$ CLASS PAY]])+   SUMIF(May_Period_2_Tbl[[#All],[STAFF:]],$A21,May_Period_2_Tbl[[#All],[$ CLASS PAY]])+   SUMIF(Jun_Period_2_Tbl[[#All],[STAFF:]],$A21,Jun_Period_2_Tbl[[#All],[$ CLASS PAY]])+  SUMIF(Jul_Period_2_Tbl[[#All],[STAFF:]],$A21,Jul_Period_2_Tbl[[#All],[$ CLASS PAY]])+  SUMIF(Aug_Period_2_Tbl[[#All],[STAFF:]],$A21,Aug_Period_2_Tbl[[#All],[$ CLASS PAY]])+  SUMIF(Sep_Period_2_Tbl[[#All],[STAFF:]],$A21,Sep_Period_2_Tbl[[#All],[$ CLASS PAY]])+  SUMIF(Oct_Period_2_Tbl[[#All],[STAFF:]],$A21,Oct_Period_2_Tbl[[#All],[$ CLASS PAY]])+     SUMIF(Nov_Period_2_Tbl[[#All],[STAFF:]],$A21,Nov_Period_2_Tbl[[#All],[$ CLASS PAY]])+  SUMIF(Dec_Period_2_Tbl[[#All],[STAFF:]],$A21,Dec_Period_2_Tbl[[#All],[$ CLASS PAY]]))</f>
        <v>0</v>
      </c>
      <c r="O21" s="191">
        <f>(SUMIF(Jan_Period_1_Tbl[[#All],[STAFF:]],$A21,Jan_Period_1_Tbl[[#All],[$ BONUS PAY]])+
SUMIF(Feb_Period_1_Tbl[[#All],[STAFF:]],$A21,Feb_Period_1_Tbl[[#All],[$ BONUS PAY]])+SUMIF(Mar_Period_1_Tbl[[#All],[STAFF:]],$A21,Mar_Period_1_Tbl[[#All],[$ BONUS PAY]])+SUMIF(Apr_Period_1_Tbl[[#All],[STAFF:]],$A21,Apr_Period_1_Tbl[[#All],[$ BONUS PAY]])+   SUMIF(May_Period_1_Tbl[[#All],[STAFF:]],$A21,May_Period_1_Tbl[[#All],[$ BONUS PAY]])+   SUMIF(Jun_Period_1_Tbl[[#All],[STAFF:]],$A21,Jun_Period_1_Tbl[[#All],[$ BONUS PAY]])+  SUMIF(Jul_Period_1_Tbl[[#All],[STAFF:]],$A21,Jul_Period_1_Tbl[[#All],[$ BONUS PAY]])+  SUMIF(Aug_Period_1_Tbl[[#All],[STAFF:]],$A21,Aug_Period_1_Tbl[[#All],[$ BONUS PAY]])+  SUMIF(Sep_Period_1_Tbl[[#All],[STAFF:]],$A21,Sep_Period_1_Tbl[[#All],[$ BONUS PAY]])+  SUMIF(Oct_Period_1_Tbl[[#All],[STAFF:]],$A21,Oct_Period_1_Tbl[[#All],[$ BONUS PAY]])+     SUMIF(Nov_Period_1_Tbl[[#All],[STAFF:]],$A21,Nov_Period_1_Tbl[[#All],[$ BONUS PAY]])+  SUMIF(Dec_Period_1_Tbl[[#All],[STAFF:]],$A21,Dec_Period_1_Tbl[[#All],[$ BONUS PAY]]))+   (SUMIF(Jan_Period_2_Tbl[[#All],[STAFF:]],$A21,Jan_Period_2_Tbl[[#All],[$ BONUS PAY]])+
SUMIF(Feb_Period_2_Tbl[[#All],[STAFF:]],$A21,Feb_Period_2_Tbl[[#All],[$ BONUS PAY]])+SUMIF(Mar_Period_2_Tbl[[#All],[STAFF:]],$A21,Mar_Period_2_Tbl[[#All],[$ BONUS PAY]])+SUMIF(Apr_Period_2_Tbl[[#All],[STAFF:]],$A21,Apr_Period_2_Tbl[[#All],[$ BONUS PAY]])+   SUMIF(May_Period_2_Tbl[[#All],[STAFF:]],$A21,May_Period_2_Tbl[[#All],[$ BONUS PAY]])+   SUMIF(Jun_Period_2_Tbl[[#All],[STAFF:]],$A21,Jun_Period_2_Tbl[[#All],[$ BONUS PAY]])+  SUMIF(Jul_Period_2_Tbl[[#All],[STAFF:]],$A21,Jul_Period_2_Tbl[[#All],[$ BONUS PAY]])+  SUMIF(Aug_Period_2_Tbl[[#All],[STAFF:]],$A21,Aug_Period_2_Tbl[[#All],[$ BONUS PAY]])+  SUMIF(Sep_Period_2_Tbl[[#All],[STAFF:]],$A21,Sep_Period_2_Tbl[[#All],[$ BONUS PAY]])+  SUMIF(Oct_Period_2_Tbl[[#All],[STAFF:]],$A21,Oct_Period_2_Tbl[[#All],[$ BONUS PAY]])+     SUMIF(Nov_Period_2_Tbl[[#All],[STAFF:]],$A21,Nov_Period_2_Tbl[[#All],[$ BONUS PAY]])+  SUMIF(Dec_Period_2_Tbl[[#All],[STAFF:]],$A21,Dec_Period_2_Tbl[[#All],[$ BONUS PAY]]))</f>
        <v>0</v>
      </c>
      <c r="P21" s="179">
        <f t="shared" si="0"/>
        <v>0</v>
      </c>
      <c r="Q21" s="149"/>
      <c r="R21" s="153">
        <f>(SUMIF(Jan_Period_1_Tbl[[#All],[STAFF:]],$A21,Jan_Period_1_Tbl[[#All],['# POINTS EARNED]])+
SUMIF(Feb_Period_1_Tbl[[#All],[STAFF:]],$A21,Feb_Period_1_Tbl[[#All],['# POINTS EARNED]])+SUMIF(Mar_Period_1_Tbl[[#All],[STAFF:]],$A21,Mar_Period_1_Tbl[[#All],['# POINTS EARNED]])+SUMIF(Apr_Period_1_Tbl[[#All],[STAFF:]],$A21,Apr_Period_1_Tbl[[#All],['# POINTS EARNED]])+   SUMIF(May_Period_1_Tbl[[#All],[STAFF:]],$A21,May_Period_1_Tbl[[#All],['# POINTS EARNED]])+   SUMIF(Jun_Period_1_Tbl[[#All],[STAFF:]],$A21,Jun_Period_1_Tbl[[#All],['# POINTS EARNED]])+  SUMIF(Jul_Period_1_Tbl[[#All],[STAFF:]],$A21,Jul_Period_1_Tbl[[#All],['# POINTS EARNED]])+  SUMIF(Aug_Period_1_Tbl[[#All],[STAFF:]],$A21,Aug_Period_1_Tbl[[#All],['# POINTS EARNED]])+  SUMIF(Sep_Period_1_Tbl[[#All],[STAFF:]],$A21,Sep_Period_1_Tbl[[#All],['# POINTS EARNED]])+  SUMIF(Oct_Period_1_Tbl[[#All],[STAFF:]],$A21,Oct_Period_1_Tbl[[#All],['# POINTS EARNED]])+     SUMIF(Nov_Period_1_Tbl[[#All],[STAFF:]],$A21,Nov_Period_1_Tbl[[#All],['# POINTS EARNED]])+  SUMIF(Dec_Period_1_Tbl[[#All],[STAFF:]],$A21,Dec_Period_1_Tbl[[#All],['# POINTS EARNED]]))+   (SUMIF(Jan_Period_2_Tbl[[#All],[STAFF:]],$A21,Jan_Period_2_Tbl[[#All],['# POINTS EARNED]])+
SUMIF(Feb_Period_2_Tbl[[#All],[STAFF:]],$A21,Feb_Period_2_Tbl[[#All],['# POINTS EARNED]])+SUMIF(Mar_Period_2_Tbl[[#All],[STAFF:]],$A21,Mar_Period_2_Tbl[[#All],['# POINTS EARNED]])+SUMIF(Apr_Period_2_Tbl[[#All],[STAFF:]],$A21,Apr_Period_2_Tbl[[#All],['# POINTS EARNED]])+   SUMIF(May_Period_2_Tbl[[#All],[STAFF:]],$A21,May_Period_2_Tbl[[#All],['# POINTS EARNED]])+   SUMIF(Jun_Period_2_Tbl[[#All],[STAFF:]],$A21,Jun_Period_2_Tbl[[#All],['# POINTS EARNED]])+  SUMIF(Jul_Period_2_Tbl[[#All],[STAFF:]],$A21,Jul_Period_2_Tbl[[#All],['# POINTS EARNED]])+  SUMIF(Aug_Period_2_Tbl[[#All],[STAFF:]],$A21,Aug_Period_2_Tbl[[#All],['# POINTS EARNED]])+  SUMIF(Sep_Period_2_Tbl[[#All],[STAFF:]],$A21,Sep_Period_2_Tbl[[#All],['# POINTS EARNED]])+  SUMIF(Oct_Period_2_Tbl[[#All],[STAFF:]],$A21,Oct_Period_2_Tbl[[#All],['# POINTS EARNED]])+     SUMIF(Nov_Period_2_Tbl[[#All],[STAFF:]],$A21,Nov_Period_2_Tbl[[#All],['# POINTS EARNED]])+  SUMIF(Dec_Period_2_Tbl[[#All],[STAFF:]],$A21,Dec_Period_2_Tbl[[#All],['# POINTS EARNED]]))</f>
        <v>0</v>
      </c>
      <c r="S21" s="153">
        <f>(SUMIF(Jan_Period_1_Tbl[[#All],[STAFF:]],$A21,Jan_Period_1_Tbl[[#All],['# POINTS USED]])+
SUMIF(Feb_Period_1_Tbl[[#All],[STAFF:]],$A21,Feb_Period_1_Tbl[[#All],['# POINTS USED]])+SUMIF(Mar_Period_1_Tbl[[#All],[STAFF:]],$A21,Mar_Period_1_Tbl[[#All],['# POINTS USED]])+SUMIF(Apr_Period_1_Tbl[[#All],[STAFF:]],$A21,Apr_Period_1_Tbl[[#All],['# POINTS USED]])+   SUMIF(May_Period_1_Tbl[[#All],[STAFF:]],$A21,May_Period_1_Tbl[[#All],['# POINTS USED]])+   SUMIF(Jun_Period_1_Tbl[[#All],[STAFF:]],$A21,Jun_Period_1_Tbl[[#All],['# POINTS USED]])+  SUMIF(Jul_Period_1_Tbl[[#All],[STAFF:]],$A21,Jul_Period_1_Tbl[[#All],['# POINTS USED]])+  SUMIF(Aug_Period_1_Tbl[[#All],[STAFF:]],$A21,Aug_Period_1_Tbl[[#All],['# POINTS USED]])+  SUMIF(Sep_Period_1_Tbl[[#All],[STAFF:]],$A21,Sep_Period_1_Tbl[[#All],['# POINTS USED]])+  SUMIF(Oct_Period_1_Tbl[[#All],[STAFF:]],$A21,Oct_Period_1_Tbl[[#All],['# POINTS USED]])+     SUMIF(Nov_Period_1_Tbl[[#All],[STAFF:]],$A21,Nov_Period_1_Tbl[[#All],['# POINTS USED]])+  SUMIF(Dec_Period_1_Tbl[[#All],[STAFF:]],$A21,Dec_Period_1_Tbl[[#All],['# POINTS USED]]))+   (SUMIF(Jan_Period_2_Tbl[[#All],[STAFF:]],$A21,Jan_Period_2_Tbl[[#All],['# POINTS USED]])+
SUMIF(Feb_Period_2_Tbl[[#All],[STAFF:]],$A21,Feb_Period_2_Tbl[[#All],['# POINTS USED]])+SUMIF(Mar_Period_2_Tbl[[#All],[STAFF:]],$A21,Mar_Period_2_Tbl[[#All],['# POINTS USED]])+SUMIF(Apr_Period_2_Tbl[[#All],[STAFF:]],$A21,Apr_Period_2_Tbl[[#All],['# POINTS USED]])+   SUMIF(May_Period_2_Tbl[[#All],[STAFF:]],$A21,May_Period_2_Tbl[[#All],['# POINTS USED]])+   SUMIF(Jun_Period_2_Tbl[[#All],[STAFF:]],$A21,Jun_Period_2_Tbl[[#All],['# POINTS USED]])+  SUMIF(Jul_Period_2_Tbl[[#All],[STAFF:]],$A21,Jul_Period_2_Tbl[[#All],['# POINTS USED]])+  SUMIF(Aug_Period_2_Tbl[[#All],[STAFF:]],$A21,Aug_Period_2_Tbl[[#All],['# POINTS USED]])+  SUMIF(Sep_Period_2_Tbl[[#All],[STAFF:]],$A21,Sep_Period_2_Tbl[[#All],['# POINTS USED]])+  SUMIF(Oct_Period_2_Tbl[[#All],[STAFF:]],$A21,Oct_Period_2_Tbl[[#All],['# POINTS USED]])+     SUMIF(Nov_Period_2_Tbl[[#All],[STAFF:]],$A21,Nov_Period_2_Tbl[[#All],['# POINTS USED]])+  SUMIF(Dec_Period_2_Tbl[[#All],[STAFF:]],$A21,Dec_Period_2_Tbl[[#All],['# POINTS USED]]))</f>
        <v>0</v>
      </c>
      <c r="T21" s="153">
        <f>(SUMIF(Jan_Period_1_Tbl[[#All],[STAFF:]],$A21,Jan_Period_1_Tbl[[#All],['# CLASSES LEAD]])+
SUMIF(Feb_Period_1_Tbl[[#All],[STAFF:]],$A21,Feb_Period_1_Tbl[[#All],['# CLASSES LEAD]])+SUMIF(Mar_Period_1_Tbl[[#All],[STAFF:]],$A21,Mar_Period_1_Tbl[[#All],['# CLASSES LEAD]])+SUMIF(Apr_Period_1_Tbl[[#All],[STAFF:]],$A21,Apr_Period_1_Tbl[[#All],['# CLASSES LEAD]])+   SUMIF(May_Period_1_Tbl[[#All],[STAFF:]],$A21,May_Period_1_Tbl[[#All],['# CLASSES LEAD]])+   SUMIF(Jun_Period_1_Tbl[[#All],[STAFF:]],$A21,Jun_Period_1_Tbl[[#All],['# CLASSES LEAD]])+  SUMIF(Jul_Period_1_Tbl[[#All],[STAFF:]],$A21,Jul_Period_1_Tbl[[#All],['# CLASSES LEAD]])+  SUMIF(Aug_Period_1_Tbl[[#All],[STAFF:]],$A21,Aug_Period_1_Tbl[[#All],['# CLASSES LEAD]])+  SUMIF(Sep_Period_1_Tbl[[#All],[STAFF:]],$A21,Sep_Period_1_Tbl[[#All],['# CLASSES LEAD]])+  SUMIF(Oct_Period_1_Tbl[[#All],[STAFF:]],$A21,Oct_Period_1_Tbl[[#All],['# CLASSES LEAD]])+     SUMIF(Nov_Period_1_Tbl[[#All],[STAFF:]],$A21,Nov_Period_1_Tbl[[#All],['# CLASSES LEAD]])+  SUMIF(Dec_Period_1_Tbl[[#All],[STAFF:]],$A21,Dec_Period_1_Tbl[[#All],['# CLASSES LEAD]]))+   (SUMIF(Jan_Period_2_Tbl[[#All],[STAFF:]],$A21,Jan_Period_2_Tbl[[#All],['# CLASSES LEAD]])+
SUMIF(Feb_Period_2_Tbl[[#All],[STAFF:]],$A21,Feb_Period_2_Tbl[[#All],['# CLASSES LEAD]])+SUMIF(Mar_Period_2_Tbl[[#All],[STAFF:]],$A21,Mar_Period_2_Tbl[[#All],['# CLASSES LEAD]])+SUMIF(Apr_Period_2_Tbl[[#All],[STAFF:]],$A21,Apr_Period_2_Tbl[[#All],['# CLASSES LEAD]])+   SUMIF(May_Period_2_Tbl[[#All],[STAFF:]],$A21,May_Period_2_Tbl[[#All],['# CLASSES LEAD]])+   SUMIF(Jun_Period_2_Tbl[[#All],[STAFF:]],$A21,Jun_Period_2_Tbl[[#All],['# CLASSES LEAD]])+  SUMIF(Jul_Period_2_Tbl[[#All],[STAFF:]],$A21,Jul_Period_2_Tbl[[#All],['# CLASSES LEAD]])+  SUMIF(Aug_Period_2_Tbl[[#All],[STAFF:]],$A21,Aug_Period_2_Tbl[[#All],['# CLASSES LEAD]])+  SUMIF(Sep_Period_2_Tbl[[#All],[STAFF:]],$A21,Sep_Period_2_Tbl[[#All],['# CLASSES LEAD]])+  SUMIF(Oct_Period_2_Tbl[[#All],[STAFF:]],$A21,Oct_Period_2_Tbl[[#All],['# CLASSES LEAD]])+     SUMIF(Nov_Period_2_Tbl[[#All],[STAFF:]],$A21,Nov_Period_2_Tbl[[#All],['# CLASSES LEAD]])+  SUMIF(Dec_Period_2_Tbl[[#All],[STAFF:]],$A21,Dec_Period_2_Tbl[[#All],['# CLASSES LEAD]]))</f>
        <v>0</v>
      </c>
      <c r="U21" s="153">
        <f>(SUMIF(Jan_Period_1_Tbl[[#All],[STAFF:]],$A21,Jan_Period_1_Tbl[[#All],['# CLASSES SHOW]])+
SUMIF(Feb_Period_1_Tbl[[#All],[STAFF:]],$A21,Feb_Period_1_Tbl[[#All],['# CLASSES SHOW]])+SUMIF(Mar_Period_1_Tbl[[#All],[STAFF:]],$A21,Mar_Period_1_Tbl[[#All],['# CLASSES SHOW]])+SUMIF(Apr_Period_1_Tbl[[#All],[STAFF:]],$A21,Apr_Period_1_Tbl[[#All],['# CLASSES SHOW]])+   SUMIF(May_Period_1_Tbl[[#All],[STAFF:]],$A21,May_Period_1_Tbl[[#All],['# CLASSES SHOW]])+   SUMIF(Jun_Period_1_Tbl[[#All],[STAFF:]],$A21,Jun_Period_1_Tbl[[#All],['# CLASSES SHOW]])+  SUMIF(Jul_Period_1_Tbl[[#All],[STAFF:]],$A21,Jul_Period_1_Tbl[[#All],['# CLASSES SHOW]])+  SUMIF(Aug_Period_1_Tbl[[#All],[STAFF:]],$A21,Aug_Period_1_Tbl[[#All],['# CLASSES SHOW]])+  SUMIF(Sep_Period_1_Tbl[[#All],[STAFF:]],$A21,Sep_Period_1_Tbl[[#All],['# CLASSES SHOW]])+  SUMIF(Oct_Period_1_Tbl[[#All],[STAFF:]],$A21,Oct_Period_1_Tbl[[#All],['# CLASSES SHOW]])+     SUMIF(Nov_Period_1_Tbl[[#All],[STAFF:]],$A21,Nov_Period_1_Tbl[[#All],['# CLASSES SHOW]])+  SUMIF(Dec_Period_1_Tbl[[#All],[STAFF:]],$A21,Dec_Period_1_Tbl[[#All],['# CLASSES SHOW]]))+   (SUMIF(Jan_Period_2_Tbl[[#All],[STAFF:]],$A21,Jan_Period_2_Tbl[[#All],['# CLASSES SHOW]])+
SUMIF(Feb_Period_2_Tbl[[#All],[STAFF:]],$A21,Feb_Period_2_Tbl[[#All],['# CLASSES SHOW]])+SUMIF(Mar_Period_2_Tbl[[#All],[STAFF:]],$A21,Mar_Period_2_Tbl[[#All],['# CLASSES SHOW]])+SUMIF(Apr_Period_2_Tbl[[#All],[STAFF:]],$A21,Apr_Period_2_Tbl[[#All],['# CLASSES SHOW]])+   SUMIF(May_Period_2_Tbl[[#All],[STAFF:]],$A21,May_Period_2_Tbl[[#All],['# CLASSES SHOW]])+   SUMIF(Jun_Period_2_Tbl[[#All],[STAFF:]],$A21,Jun_Period_2_Tbl[[#All],['# CLASSES SHOW]])+  SUMIF(Jul_Period_2_Tbl[[#All],[STAFF:]],$A21,Jul_Period_2_Tbl[[#All],['# CLASSES SHOW]])+  SUMIF(Aug_Period_2_Tbl[[#All],[STAFF:]],$A21,Aug_Period_2_Tbl[[#All],['# CLASSES SHOW]])+  SUMIF(Sep_Period_2_Tbl[[#All],[STAFF:]],$A21,Sep_Period_2_Tbl[[#All],['# CLASSES SHOW]])+  SUMIF(Oct_Period_2_Tbl[[#All],[STAFF:]],$A21,Oct_Period_2_Tbl[[#All],['# CLASSES SHOW]])+     SUMIF(Nov_Period_2_Tbl[[#All],[STAFF:]],$A21,Nov_Period_2_Tbl[[#All],['# CLASSES SHOW]])+  SUMIF(Dec_Period_2_Tbl[[#All],[STAFF:]],$A21,Dec_Period_2_Tbl[[#All],['# CLASSES SHOW]]))</f>
        <v>0</v>
      </c>
      <c r="V21" s="156"/>
      <c r="W21" s="156"/>
      <c r="X21" s="155">
        <f t="shared" si="1"/>
        <v>0</v>
      </c>
      <c r="Y21" s="155">
        <f t="shared" si="2"/>
        <v>0</v>
      </c>
      <c r="Z21" s="155">
        <f t="shared" si="3"/>
        <v>0</v>
      </c>
      <c r="AA21" s="155">
        <f t="shared" si="4"/>
        <v>0</v>
      </c>
      <c r="AB21" s="155">
        <f t="shared" si="5"/>
        <v>0</v>
      </c>
      <c r="AC21" s="155">
        <f t="shared" si="6"/>
        <v>0</v>
      </c>
      <c r="AD21" s="155">
        <f t="shared" si="7"/>
        <v>0</v>
      </c>
      <c r="AE21" s="149"/>
      <c r="AF21" s="149"/>
      <c r="AG21" s="149"/>
      <c r="AH21" s="149"/>
      <c r="AJ21" s="75" t="str">
        <f t="shared" si="8"/>
        <v>zBlank</v>
      </c>
      <c r="AK21" s="210"/>
      <c r="AL21" s="168">
        <f>IFERROR(VLOOKUP(B21,List!$A:$B,2,FALSE),-1)</f>
        <v>-1</v>
      </c>
      <c r="AM21" s="168">
        <f>IFERROR(VLOOKUP(C21,List!$A:$B,2,FALSE),-1)</f>
        <v>-1</v>
      </c>
    </row>
    <row r="22" spans="1:39" ht="15" hidden="1" customHeight="1" x14ac:dyDescent="0.25">
      <c r="A22" s="20"/>
      <c r="B22" s="186"/>
      <c r="C22" s="186"/>
      <c r="D22" s="187"/>
      <c r="E22" s="188">
        <f>(SUMIF(Jan_Period_1_Tbl[[#All],[STAFF:]],$A22,Jan_Period_1_Tbl[[#All],['# PTO USED]])+
SUMIF(Feb_Period_1_Tbl[[#All],[STAFF:]],$A22,Feb_Period_1_Tbl[[#All],['# PTO USED]])+SUMIF(Mar_Period_1_Tbl[[#All],[STAFF:]],$A22,Mar_Period_1_Tbl[[#All],['# PTO USED]])+SUMIF(Apr_Period_1_Tbl[[#All],[STAFF:]],$A22,Apr_Period_1_Tbl[[#All],['# PTO USED]])+   SUMIF(May_Period_1_Tbl[[#All],[STAFF:]],$A22,May_Period_1_Tbl[[#All],['# PTO USED]])+   SUMIF(Jun_Period_1_Tbl[[#All],[STAFF:]],$A22,Jun_Period_1_Tbl[[#All],['# PTO USED]])+  SUMIF(Jul_Period_1_Tbl[[#All],[STAFF:]],$A22,Jul_Period_1_Tbl[[#All],['# PTO USED]])+  SUMIF(Aug_Period_1_Tbl[[#All],[STAFF:]],$A22,Aug_Period_1_Tbl[[#All],['# PTO USED]])+  SUMIF(Sep_Period_1_Tbl[[#All],[STAFF:]],$A22,Sep_Period_1_Tbl[[#All],['# PTO USED]])+  SUMIF(Oct_Period_1_Tbl[[#All],[STAFF:]],$A22,Oct_Period_1_Tbl[[#All],['# PTO USED]])+     SUMIF(Nov_Period_1_Tbl[[#All],[STAFF:]],$A22,Nov_Period_1_Tbl[[#All],['# PTO USED]])+  SUMIF(Dec_Period_1_Tbl[[#All],[STAFF:]],$A22,Dec_Period_1_Tbl[[#All],['# PTO USED]]))+   (SUMIF(Jan_Period_2_Tbl[[#All],[STAFF:]],$A22,Jan_Period_2_Tbl[[#All],['# PTO USED]])+
SUMIF(Feb_Period_2_Tbl[[#All],[STAFF:]],$A22,Feb_Period_2_Tbl[[#All],['# PTO USED]])+SUMIF(Mar_Period_2_Tbl[[#All],[STAFF:]],$A22,Mar_Period_2_Tbl[[#All],['# PTO USED]])+SUMIF(Apr_Period_2_Tbl[[#All],[STAFF:]],$A22,Apr_Period_2_Tbl[[#All],['# PTO USED]])+   SUMIF(May_Period_2_Tbl[[#All],[STAFF:]],$A22,May_Period_2_Tbl[[#All],['# PTO USED]])+   SUMIF(Jun_Period_2_Tbl[[#All],[STAFF:]],$A22,Jun_Period_2_Tbl[[#All],['# PTO USED]])+  SUMIF(Jul_Period_2_Tbl[[#All],[STAFF:]],$A22,Jul_Period_2_Tbl[[#All],['# PTO USED]])+  SUMIF(Aug_Period_2_Tbl[[#All],[STAFF:]],$A22,Aug_Period_2_Tbl[[#All],['# PTO USED]])+  SUMIF(Sep_Period_2_Tbl[[#All],[STAFF:]],$A22,Sep_Period_2_Tbl[[#All],['# PTO USED]])+  SUMIF(Oct_Period_2_Tbl[[#All],[STAFF:]],$A22,Oct_Period_2_Tbl[[#All],['# PTO USED]])+     SUMIF(Nov_Period_2_Tbl[[#All],[STAFF:]],$A22,Nov_Period_2_Tbl[[#All],['# PTO USED]])+  SUMIF(Dec_Period_2_Tbl[[#All],[STAFF:]],$A22,Dec_Period_2_Tbl[[#All],['# PTO USED]]))</f>
        <v>0</v>
      </c>
      <c r="F22" s="189">
        <f>(SUMIF(Jan_Period_1_Tbl[[#All],[STAFF:]],$A22,Jan_Period_1_Tbl[[#All],['# HRS WORKED]])+
SUMIF(Feb_Period_1_Tbl[[#All],[STAFF:]],$A22,Feb_Period_1_Tbl[[#All],['# HRS WORKED]])+SUMIF(Mar_Period_1_Tbl[[#All],[STAFF:]],$A22,Mar_Period_1_Tbl[[#All],['# HRS WORKED]])+SUMIF(Apr_Period_1_Tbl[[#All],[STAFF:]],$A22,Apr_Period_1_Tbl[[#All],['# HRS WORKED]])+   SUMIF(May_Period_1_Tbl[[#All],[STAFF:]],$A22,May_Period_1_Tbl[[#All],['# HRS WORKED]])+   SUMIF(Jun_Period_1_Tbl[[#All],[STAFF:]],$A22,Jun_Period_1_Tbl[[#All],['# HRS WORKED]])+  SUMIF(Jul_Period_1_Tbl[[#All],[STAFF:]],$A22,Jul_Period_1_Tbl[[#All],['# HRS WORKED]])+  SUMIF(Aug_Period_1_Tbl[[#All],[STAFF:]],$A22,Aug_Period_1_Tbl[[#All],['# HRS WORKED]])+  SUMIF(Sep_Period_1_Tbl[[#All],[STAFF:]],$A22,Sep_Period_1_Tbl[[#All],['# HRS WORKED]])+  SUMIF(Oct_Period_1_Tbl[[#All],[STAFF:]],$A22,Oct_Period_1_Tbl[[#All],['# HRS WORKED]])+     SUMIF(Nov_Period_1_Tbl[[#All],[STAFF:]],$A22,Nov_Period_1_Tbl[[#All],['# HRS WORKED]])+  SUMIF(Dec_Period_1_Tbl[[#All],[STAFF:]],$A22,Dec_Period_1_Tbl[[#All],['# HRS WORKED]]))+   (SUMIF(Jan_Period_2_Tbl[[#All],[STAFF:]],$A22,Jan_Period_2_Tbl[[#All],['# HRS WORKED]])+
SUMIF(Feb_Period_2_Tbl[[#All],[STAFF:]],$A22,Feb_Period_2_Tbl[[#All],['# HRS WORKED]])+SUMIF(Mar_Period_2_Tbl[[#All],[STAFF:]],$A22,Mar_Period_2_Tbl[[#All],['# HRS WORKED]])+SUMIF(Apr_Period_2_Tbl[[#All],[STAFF:]],$A22,Apr_Period_2_Tbl[[#All],['# HRS WORKED]])+   SUMIF(May_Period_2_Tbl[[#All],[STAFF:]],$A22,May_Period_2_Tbl[[#All],['# HRS WORKED]])+   SUMIF(Jun_Period_2_Tbl[[#All],[STAFF:]],$A22,Jun_Period_2_Tbl[[#All],['# HRS WORKED]])+  SUMIF(Jul_Period_2_Tbl[[#All],[STAFF:]],$A22,Jul_Period_2_Tbl[[#All],['# HRS WORKED]])+  SUMIF(Aug_Period_2_Tbl[[#All],[STAFF:]],$A22,Aug_Period_2_Tbl[[#All],['# HRS WORKED]])+  SUMIF(Sep_Period_2_Tbl[[#All],[STAFF:]],$A22,Sep_Period_2_Tbl[[#All],['# HRS WORKED]])+  SUMIF(Oct_Period_2_Tbl[[#All],[STAFF:]],$A22,Oct_Period_2_Tbl[[#All],['# HRS WORKED]])+     SUMIF(Nov_Period_2_Tbl[[#All],[STAFF:]],$A22,Nov_Period_2_Tbl[[#All],['# HRS WORKED]])+  SUMIF(Dec_Period_2_Tbl[[#All],[STAFF:]],$A22,Dec_Period_2_Tbl[[#All],['# HRS WORKED]]))</f>
        <v>0</v>
      </c>
      <c r="G22" s="190">
        <f>(SUMIF(Jan_Period_1_Tbl[[#All],[STAFF:]],$A22,Jan_Period_1_Tbl[[#All],[$ Hourly WAGES]])+
SUMIF(Feb_Period_1_Tbl[[#All],[STAFF:]],$A22,Feb_Period_1_Tbl[[#All],[$ Hourly WAGES]])+SUMIF(Mar_Period_1_Tbl[[#All],[STAFF:]],$A22,Mar_Period_1_Tbl[[#All],[$ Hourly WAGES]])+SUMIF(Apr_Period_1_Tbl[[#All],[STAFF:]],$A22,Apr_Period_1_Tbl[[#All],[$ Hourly WAGES]])+   SUMIF(May_Period_1_Tbl[[#All],[STAFF:]],$A22,May_Period_1_Tbl[[#All],[$ Hourly WAGES]])+   SUMIF(Jun_Period_1_Tbl[[#All],[STAFF:]],$A22,Jun_Period_1_Tbl[[#All],[$ Hourly WAGES]])+  SUMIF(Jul_Period_1_Tbl[[#All],[STAFF:]],$A22,Jul_Period_1_Tbl[[#All],[$ Hourly WAGES]])+  SUMIF(Aug_Period_1_Tbl[[#All],[STAFF:]],$A22,Aug_Period_1_Tbl[[#All],[$ Hourly WAGES]])+  SUMIF(Sep_Period_1_Tbl[[#All],[STAFF:]],$A22,Sep_Period_1_Tbl[[#All],[$ Hourly WAGES]])+  SUMIF(Oct_Period_1_Tbl[[#All],[STAFF:]],$A22,Oct_Period_1_Tbl[[#All],[$ Hourly WAGES]])+     SUMIF(Nov_Period_1_Tbl[[#All],[STAFF:]],$A22,Nov_Period_1_Tbl[[#All],[$ Hourly WAGES]])+  SUMIF(Dec_Period_1_Tbl[[#All],[STAFF:]],$A22,Dec_Period_1_Tbl[[#All],[$ Hourly WAGES]]))+   (SUMIF(Jan_Period_2_Tbl[[#All],[STAFF:]],$A22,Jan_Period_2_Tbl[[#All],[$ Hourly WAGES]])+
SUMIF(Feb_Period_2_Tbl[[#All],[STAFF:]],$A22,Feb_Period_2_Tbl[[#All],[$ Hourly WAGES]])+SUMIF(Mar_Period_2_Tbl[[#All],[STAFF:]],$A22,Mar_Period_2_Tbl[[#All],[$ Hourly WAGES]])+SUMIF(Apr_Period_2_Tbl[[#All],[STAFF:]],$A22,Apr_Period_2_Tbl[[#All],[$ Hourly WAGES]])+   SUMIF(May_Period_2_Tbl[[#All],[STAFF:]],$A22,May_Period_2_Tbl[[#All],[$ Hourly WAGES]])+   SUMIF(Jun_Period_2_Tbl[[#All],[STAFF:]],$A22,Jun_Period_2_Tbl[[#All],[$ Hourly WAGES]])+  SUMIF(Jul_Period_2_Tbl[[#All],[STAFF:]],$A22,Jul_Period_2_Tbl[[#All],[$ Hourly WAGES]])+  SUMIF(Aug_Period_2_Tbl[[#All],[STAFF:]],$A22,Aug_Period_2_Tbl[[#All],[$ Hourly WAGES]])+  SUMIF(Sep_Period_2_Tbl[[#All],[STAFF:]],$A22,Sep_Period_2_Tbl[[#All],[$ Hourly WAGES]])+  SUMIF(Oct_Period_2_Tbl[[#All],[STAFF:]],$A22,Oct_Period_2_Tbl[[#All],[$ Hourly WAGES]])+     SUMIF(Nov_Period_2_Tbl[[#All],[STAFF:]],$A22,Nov_Period_2_Tbl[[#All],[$ Hourly WAGES]])+  SUMIF(Dec_Period_2_Tbl[[#All],[STAFF:]],$A22,Dec_Period_2_Tbl[[#All],[$ Hourly WAGES]]))</f>
        <v>0</v>
      </c>
      <c r="H22" s="190">
        <f>(SUMIF(Jan_Period_1_Tbl[[#All],[STAFF:]],$A22,Jan_Period_1_Tbl[[#All],[$ SALARY]])+
SUMIF(Feb_Period_1_Tbl[[#All],[STAFF:]],$A22,Feb_Period_1_Tbl[[#All],[$ SALARY]])+SUMIF(Mar_Period_1_Tbl[[#All],[STAFF:]],$A22,Mar_Period_1_Tbl[[#All],[$ SALARY]])+SUMIF(Apr_Period_1_Tbl[[#All],[STAFF:]],$A22,Apr_Period_1_Tbl[[#All],[$ SALARY]])+   SUMIF(May_Period_1_Tbl[[#All],[STAFF:]],$A22,May_Period_1_Tbl[[#All],[$ SALARY]])+   SUMIF(Jun_Period_1_Tbl[[#All],[STAFF:]],$A22,Jun_Period_1_Tbl[[#All],[$ SALARY]])+  SUMIF(Jul_Period_1_Tbl[[#All],[STAFF:]],$A22,Jul_Period_1_Tbl[[#All],[$ SALARY]])+  SUMIF(Aug_Period_1_Tbl[[#All],[STAFF:]],$A22,Aug_Period_1_Tbl[[#All],[$ SALARY]])+  SUMIF(Sep_Period_1_Tbl[[#All],[STAFF:]],$A22,Sep_Period_1_Tbl[[#All],[$ SALARY]])+  SUMIF(Oct_Period_1_Tbl[[#All],[STAFF:]],$A22,Oct_Period_1_Tbl[[#All],[$ SALARY]])+     SUMIF(Nov_Period_1_Tbl[[#All],[STAFF:]],$A22,Nov_Period_1_Tbl[[#All],[$ SALARY]])+  SUMIF(Dec_Period_1_Tbl[[#All],[STAFF:]],$A22,Dec_Period_1_Tbl[[#All],[$ SALARY]]))+   (SUMIF(Jan_Period_2_Tbl[[#All],[STAFF:]],$A22,Jan_Period_2_Tbl[[#All],[$ SALARY]])+
SUMIF(Feb_Period_2_Tbl[[#All],[STAFF:]],$A22,Feb_Period_2_Tbl[[#All],[$ SALARY]])+SUMIF(Mar_Period_2_Tbl[[#All],[STAFF:]],$A22,Mar_Period_2_Tbl[[#All],[$ SALARY]])+SUMIF(Apr_Period_2_Tbl[[#All],[STAFF:]],$A22,Apr_Period_2_Tbl[[#All],[$ SALARY]])+   SUMIF(May_Period_2_Tbl[[#All],[STAFF:]],$A22,May_Period_2_Tbl[[#All],[$ SALARY]])+   SUMIF(Jun_Period_2_Tbl[[#All],[STAFF:]],$A22,Jun_Period_2_Tbl[[#All],[$ SALARY]])+  SUMIF(Jul_Period_2_Tbl[[#All],[STAFF:]],$A22,Jul_Period_2_Tbl[[#All],[$ SALARY]])+  SUMIF(Aug_Period_2_Tbl[[#All],[STAFF:]],$A22,Aug_Period_2_Tbl[[#All],[$ SALARY]])+  SUMIF(Sep_Period_2_Tbl[[#All],[STAFF:]],$A22,Sep_Period_2_Tbl[[#All],[$ SALARY]])+  SUMIF(Oct_Period_2_Tbl[[#All],[STAFF:]],$A22,Oct_Period_2_Tbl[[#All],[$ SALARY]])+     SUMIF(Nov_Period_2_Tbl[[#All],[STAFF:]],$A22,Nov_Period_2_Tbl[[#All],[$ SALARY]])+  SUMIF(Dec_Period_2_Tbl[[#All],[STAFF:]],$A22,Dec_Period_2_Tbl[[#All],[$ SALARY]]))</f>
        <v>0</v>
      </c>
      <c r="I22" s="190">
        <f>(SUMIF(Jan_Period_1_Tbl[[#All],[STAFF:]],$A22,Jan_Period_1_Tbl[[#All],[$ SALARY PT]])+
SUMIF(Feb_Period_1_Tbl[[#All],[STAFF:]],$A22,Feb_Period_1_Tbl[[#All],[$ SALARY PT]])+SUMIF(Mar_Period_1_Tbl[[#All],[STAFF:]],$A22,Mar_Period_1_Tbl[[#All],[$ SALARY PT]])+SUMIF(Apr_Period_1_Tbl[[#All],[STAFF:]],$A22,Apr_Period_1_Tbl[[#All],[$ SALARY PT]])+   SUMIF(May_Period_1_Tbl[[#All],[STAFF:]],$A22,May_Period_1_Tbl[[#All],[$ SALARY PT]])+   SUMIF(Jun_Period_1_Tbl[[#All],[STAFF:]],$A22,Jun_Period_1_Tbl[[#All],[$ SALARY PT]])+  SUMIF(Jul_Period_1_Tbl[[#All],[STAFF:]],$A22,Jul_Period_1_Tbl[[#All],[$ SALARY PT]])+  SUMIF(Aug_Period_1_Tbl[[#All],[STAFF:]],$A22,Aug_Period_1_Tbl[[#All],[$ SALARY PT]])+  SUMIF(Sep_Period_1_Tbl[[#All],[STAFF:]],$A22,Sep_Period_1_Tbl[[#All],[$ SALARY PT]])+  SUMIF(Oct_Period_1_Tbl[[#All],[STAFF:]],$A22,Oct_Period_1_Tbl[[#All],[$ SALARY PT]])+     SUMIF(Nov_Period_1_Tbl[[#All],[STAFF:]],$A22,Nov_Period_1_Tbl[[#All],[$ SALARY PT]])+  SUMIF(Dec_Period_1_Tbl[[#All],[STAFF:]],$A22,Dec_Period_1_Tbl[[#All],[$ SALARY PT]]))+   (SUMIF(Jan_Period_2_Tbl[[#All],[STAFF:]],$A22,Jan_Period_2_Tbl[[#All],[$ SALARY PT]])+
SUMIF(Feb_Period_2_Tbl[[#All],[STAFF:]],$A22,Feb_Period_2_Tbl[[#All],[$ SALARY PT]])+SUMIF(Mar_Period_2_Tbl[[#All],[STAFF:]],$A22,Mar_Period_2_Tbl[[#All],[$ SALARY PT]])+SUMIF(Apr_Period_2_Tbl[[#All],[STAFF:]],$A22,Apr_Period_2_Tbl[[#All],[$ SALARY PT]])+   SUMIF(May_Period_2_Tbl[[#All],[STAFF:]],$A22,May_Period_2_Tbl[[#All],[$ SALARY PT]])+   SUMIF(Jun_Period_2_Tbl[[#All],[STAFF:]],$A22,Jun_Period_2_Tbl[[#All],[$ SALARY PT]])+  SUMIF(Jul_Period_2_Tbl[[#All],[STAFF:]],$A22,Jul_Period_2_Tbl[[#All],[$ SALARY PT]])+  SUMIF(Aug_Period_2_Tbl[[#All],[STAFF:]],$A22,Aug_Period_2_Tbl[[#All],[$ SALARY PT]])+  SUMIF(Sep_Period_2_Tbl[[#All],[STAFF:]],$A22,Sep_Period_2_Tbl[[#All],[$ SALARY PT]])+  SUMIF(Oct_Period_2_Tbl[[#All],[STAFF:]],$A22,Oct_Period_2_Tbl[[#All],[$ SALARY PT]])+     SUMIF(Nov_Period_2_Tbl[[#All],[STAFF:]],$A22,Nov_Period_2_Tbl[[#All],[$ SALARY PT]])+  SUMIF(Dec_Period_2_Tbl[[#All],[STAFF:]],$A22,Dec_Period_2_Tbl[[#All],[$ SALARY PT]]))</f>
        <v>0</v>
      </c>
      <c r="J22" s="190">
        <f>(SUMIF(Jan_Period_1_Tbl[[#All],[STAFF:]],$A22,Jan_Period_1_Tbl[[#All],[$ FREE PT]])+
SUMIF(Feb_Period_1_Tbl[[#All],[STAFF:]],$A22,Feb_Period_1_Tbl[[#All],[$ FREE PT]])+SUMIF(Mar_Period_1_Tbl[[#All],[STAFF:]],$A22,Mar_Period_1_Tbl[[#All],[$ FREE PT]])+SUMIF(Apr_Period_1_Tbl[[#All],[STAFF:]],$A22,Apr_Period_1_Tbl[[#All],[$ FREE PT]])+   SUMIF(May_Period_1_Tbl[[#All],[STAFF:]],$A22,May_Period_1_Tbl[[#All],[$ FREE PT]])+   SUMIF(Jun_Period_1_Tbl[[#All],[STAFF:]],$A22,Jun_Period_1_Tbl[[#All],[$ FREE PT]])+  SUMIF(Jul_Period_1_Tbl[[#All],[STAFF:]],$A22,Jul_Period_1_Tbl[[#All],[$ FREE PT]])+  SUMIF(Aug_Period_1_Tbl[[#All],[STAFF:]],$A22,Aug_Period_1_Tbl[[#All],[$ FREE PT]])+  SUMIF(Sep_Period_1_Tbl[[#All],[STAFF:]],$A22,Sep_Period_1_Tbl[[#All],[$ FREE PT]])+  SUMIF(Oct_Period_1_Tbl[[#All],[STAFF:]],$A22,Oct_Period_1_Tbl[[#All],[$ FREE PT]])+     SUMIF(Nov_Period_1_Tbl[[#All],[STAFF:]],$A22,Nov_Period_1_Tbl[[#All],[$ FREE PT]])+  SUMIF(Dec_Period_1_Tbl[[#All],[STAFF:]],$A22,Dec_Period_1_Tbl[[#All],[$ FREE PT]]))+   (SUMIF(Jan_Period_2_Tbl[[#All],[STAFF:]],$A22,Jan_Period_2_Tbl[[#All],[$ FREE PT]])+
SUMIF(Feb_Period_2_Tbl[[#All],[STAFF:]],$A22,Feb_Period_2_Tbl[[#All],[$ FREE PT]])+SUMIF(Mar_Period_2_Tbl[[#All],[STAFF:]],$A22,Mar_Period_2_Tbl[[#All],[$ FREE PT]])+SUMIF(Apr_Period_2_Tbl[[#All],[STAFF:]],$A22,Apr_Period_2_Tbl[[#All],[$ FREE PT]])+   SUMIF(May_Period_2_Tbl[[#All],[STAFF:]],$A22,May_Period_2_Tbl[[#All],[$ FREE PT]])+   SUMIF(Jun_Period_2_Tbl[[#All],[STAFF:]],$A22,Jun_Period_2_Tbl[[#All],[$ FREE PT]])+  SUMIF(Jul_Period_2_Tbl[[#All],[STAFF:]],$A22,Jul_Period_2_Tbl[[#All],[$ FREE PT]])+  SUMIF(Aug_Period_2_Tbl[[#All],[STAFF:]],$A22,Aug_Period_2_Tbl[[#All],[$ FREE PT]])+  SUMIF(Sep_Period_2_Tbl[[#All],[STAFF:]],$A22,Sep_Period_2_Tbl[[#All],[$ FREE PT]])+  SUMIF(Oct_Period_2_Tbl[[#All],[STAFF:]],$A22,Oct_Period_2_Tbl[[#All],[$ FREE PT]])+     SUMIF(Nov_Period_2_Tbl[[#All],[STAFF:]],$A22,Nov_Period_2_Tbl[[#All],[$ FREE PT]])+  SUMIF(Dec_Period_2_Tbl[[#All],[STAFF:]],$A22,Dec_Period_2_Tbl[[#All],[$ FREE PT]]))</f>
        <v>0</v>
      </c>
      <c r="K22" s="190">
        <f>(SUMIF(Jan_Period_1_Tbl[[#All],[STAFF:]],$A22,Jan_Period_1_Tbl[[#All],[$ PAID PT]])+
SUMIF(Feb_Period_1_Tbl[[#All],[STAFF:]],$A22,Feb_Period_1_Tbl[[#All],[$ PAID PT]])+SUMIF(Mar_Period_1_Tbl[[#All],[STAFF:]],$A22,Mar_Period_1_Tbl[[#All],[$ PAID PT]])+SUMIF(Apr_Period_1_Tbl[[#All],[STAFF:]],$A22,Apr_Period_1_Tbl[[#All],[$ PAID PT]])+   SUMIF(May_Period_1_Tbl[[#All],[STAFF:]],$A22,May_Period_1_Tbl[[#All],[$ PAID PT]])+   SUMIF(Jun_Period_1_Tbl[[#All],[STAFF:]],$A22,Jun_Period_1_Tbl[[#All],[$ PAID PT]])+  SUMIF(Jul_Period_1_Tbl[[#All],[STAFF:]],$A22,Jul_Period_1_Tbl[[#All],[$ PAID PT]])+  SUMIF(Aug_Period_1_Tbl[[#All],[STAFF:]],$A22,Aug_Period_1_Tbl[[#All],[$ PAID PT]])+  SUMIF(Sep_Period_1_Tbl[[#All],[STAFF:]],$A22,Sep_Period_1_Tbl[[#All],[$ PAID PT]])+  SUMIF(Oct_Period_1_Tbl[[#All],[STAFF:]],$A22,Oct_Period_1_Tbl[[#All],[$ PAID PT]])+     SUMIF(Nov_Period_1_Tbl[[#All],[STAFF:]],$A22,Nov_Period_1_Tbl[[#All],[$ PAID PT]])+  SUMIF(Dec_Period_1_Tbl[[#All],[STAFF:]],$A22,Dec_Period_1_Tbl[[#All],[$ PAID PT]]))+   (SUMIF(Jan_Period_2_Tbl[[#All],[STAFF:]],$A22,Jan_Period_2_Tbl[[#All],[$ PAID PT]])+
SUMIF(Feb_Period_2_Tbl[[#All],[STAFF:]],$A22,Feb_Period_2_Tbl[[#All],[$ PAID PT]])+SUMIF(Mar_Period_2_Tbl[[#All],[STAFF:]],$A22,Mar_Period_2_Tbl[[#All],[$ PAID PT]])+SUMIF(Apr_Period_2_Tbl[[#All],[STAFF:]],$A22,Apr_Period_2_Tbl[[#All],[$ PAID PT]])+   SUMIF(May_Period_2_Tbl[[#All],[STAFF:]],$A22,May_Period_2_Tbl[[#All],[$ PAID PT]])+   SUMIF(Jun_Period_2_Tbl[[#All],[STAFF:]],$A22,Jun_Period_2_Tbl[[#All],[$ PAID PT]])+  SUMIF(Jul_Period_2_Tbl[[#All],[STAFF:]],$A22,Jul_Period_2_Tbl[[#All],[$ PAID PT]])+  SUMIF(Aug_Period_2_Tbl[[#All],[STAFF:]],$A22,Aug_Period_2_Tbl[[#All],[$ PAID PT]])+  SUMIF(Sep_Period_2_Tbl[[#All],[STAFF:]],$A22,Sep_Period_2_Tbl[[#All],[$ PAID PT]])+  SUMIF(Oct_Period_2_Tbl[[#All],[STAFF:]],$A22,Oct_Period_2_Tbl[[#All],[$ PAID PT]])+     SUMIF(Nov_Period_2_Tbl[[#All],[STAFF:]],$A22,Nov_Period_2_Tbl[[#All],[$ PAID PT]])+  SUMIF(Dec_Period_2_Tbl[[#All],[STAFF:]],$A22,Dec_Period_2_Tbl[[#All],[$ PAID PT]]))</f>
        <v>0</v>
      </c>
      <c r="L22" s="190">
        <f>(SUMIF(Jan_Period_1_Tbl[[#All],[STAFF:]],$A22,Jan_Period_1_Tbl[[#All],[$ PT COMM]])+
SUMIF(Feb_Period_1_Tbl[[#All],[STAFF:]],$A22,Feb_Period_1_Tbl[[#All],[$ PT COMM]])+SUMIF(Mar_Period_1_Tbl[[#All],[STAFF:]],$A22,Mar_Period_1_Tbl[[#All],[$ PT COMM]])+SUMIF(Apr_Period_1_Tbl[[#All],[STAFF:]],$A22,Apr_Period_1_Tbl[[#All],[$ PT COMM]])+   SUMIF(May_Period_1_Tbl[[#All],[STAFF:]],$A22,May_Period_1_Tbl[[#All],[$ PT COMM]])+   SUMIF(Jun_Period_1_Tbl[[#All],[STAFF:]],$A22,Jun_Period_1_Tbl[[#All],[$ PT COMM]])+  SUMIF(Jul_Period_1_Tbl[[#All],[STAFF:]],$A22,Jul_Period_1_Tbl[[#All],[$ PT COMM]])+  SUMIF(Aug_Period_1_Tbl[[#All],[STAFF:]],$A22,Aug_Period_1_Tbl[[#All],[$ PT COMM]])+  SUMIF(Sep_Period_1_Tbl[[#All],[STAFF:]],$A22,Sep_Period_1_Tbl[[#All],[$ PT COMM]])+  SUMIF(Oct_Period_1_Tbl[[#All],[STAFF:]],$A22,Oct_Period_1_Tbl[[#All],[$ PT COMM]])+     SUMIF(Nov_Period_1_Tbl[[#All],[STAFF:]],$A22,Nov_Period_1_Tbl[[#All],[$ PT COMM]])+  SUMIF(Dec_Period_1_Tbl[[#All],[STAFF:]],$A22,Dec_Period_1_Tbl[[#All],[$ PT COMM]]))+   (SUMIF(Jan_Period_2_Tbl[[#All],[STAFF:]],$A22,Jan_Period_2_Tbl[[#All],[$ PT COMM]])+
SUMIF(Feb_Period_2_Tbl[[#All],[STAFF:]],$A22,Feb_Period_2_Tbl[[#All],[$ PT COMM]])+SUMIF(Mar_Period_2_Tbl[[#All],[STAFF:]],$A22,Mar_Period_2_Tbl[[#All],[$ PT COMM]])+SUMIF(Apr_Period_2_Tbl[[#All],[STAFF:]],$A22,Apr_Period_2_Tbl[[#All],[$ PT COMM]])+   SUMIF(May_Period_2_Tbl[[#All],[STAFF:]],$A22,May_Period_2_Tbl[[#All],[$ PT COMM]])+   SUMIF(Jun_Period_2_Tbl[[#All],[STAFF:]],$A22,Jun_Period_2_Tbl[[#All],[$ PT COMM]])+  SUMIF(Jul_Period_2_Tbl[[#All],[STAFF:]],$A22,Jul_Period_2_Tbl[[#All],[$ PT COMM]])+  SUMIF(Aug_Period_2_Tbl[[#All],[STAFF:]],$A22,Aug_Period_2_Tbl[[#All],[$ PT COMM]])+  SUMIF(Sep_Period_2_Tbl[[#All],[STAFF:]],$A22,Sep_Period_2_Tbl[[#All],[$ PT COMM]])+  SUMIF(Oct_Period_2_Tbl[[#All],[STAFF:]],$A22,Oct_Period_2_Tbl[[#All],[$ PT COMM]])+     SUMIF(Nov_Period_2_Tbl[[#All],[STAFF:]],$A22,Nov_Period_2_Tbl[[#All],[$ PT COMM]])+  SUMIF(Dec_Period_2_Tbl[[#All],[STAFF:]],$A22,Dec_Period_2_Tbl[[#All],[$ PT COMM]]))</f>
        <v>0</v>
      </c>
      <c r="M22" s="190">
        <f>(SUMIF(Jan_Period_1_Tbl[[#All],[STAFF:]],$A22,Jan_Period_1_Tbl[[#All],[$ EFT COMM]])+
SUMIF(Feb_Period_1_Tbl[[#All],[STAFF:]],$A22,Feb_Period_1_Tbl[[#All],[$ EFT COMM]])+SUMIF(Mar_Period_1_Tbl[[#All],[STAFF:]],$A22,Mar_Period_1_Tbl[[#All],[$ EFT COMM]])+SUMIF(Apr_Period_1_Tbl[[#All],[STAFF:]],$A22,Apr_Period_1_Tbl[[#All],[$ EFT COMM]])+   SUMIF(May_Period_1_Tbl[[#All],[STAFF:]],$A22,May_Period_1_Tbl[[#All],[$ EFT COMM]])+   SUMIF(Jun_Period_1_Tbl[[#All],[STAFF:]],$A22,Jun_Period_1_Tbl[[#All],[$ EFT COMM]])+  SUMIF(Jul_Period_1_Tbl[[#All],[STAFF:]],$A22,Jul_Period_1_Tbl[[#All],[$ EFT COMM]])+  SUMIF(Aug_Period_1_Tbl[[#All],[STAFF:]],$A22,Aug_Period_1_Tbl[[#All],[$ EFT COMM]])+  SUMIF(Sep_Period_1_Tbl[[#All],[STAFF:]],$A22,Sep_Period_1_Tbl[[#All],[$ EFT COMM]])+  SUMIF(Oct_Period_1_Tbl[[#All],[STAFF:]],$A22,Oct_Period_1_Tbl[[#All],[$ EFT COMM]])+     SUMIF(Nov_Period_1_Tbl[[#All],[STAFF:]],$A22,Nov_Period_1_Tbl[[#All],[$ EFT COMM]])+  SUMIF(Dec_Period_1_Tbl[[#All],[STAFF:]],$A22,Dec_Period_1_Tbl[[#All],[$ EFT COMM]]))+   (SUMIF(Jan_Period_2_Tbl[[#All],[STAFF:]],$A22,Jan_Period_2_Tbl[[#All],[$ EFT COMM]])+
SUMIF(Feb_Period_2_Tbl[[#All],[STAFF:]],$A22,Feb_Period_2_Tbl[[#All],[$ EFT COMM]])+SUMIF(Mar_Period_2_Tbl[[#All],[STAFF:]],$A22,Mar_Period_2_Tbl[[#All],[$ EFT COMM]])+SUMIF(Apr_Period_2_Tbl[[#All],[STAFF:]],$A22,Apr_Period_2_Tbl[[#All],[$ EFT COMM]])+   SUMIF(May_Period_2_Tbl[[#All],[STAFF:]],$A22,May_Period_2_Tbl[[#All],[$ EFT COMM]])+   SUMIF(Jun_Period_2_Tbl[[#All],[STAFF:]],$A22,Jun_Period_2_Tbl[[#All],[$ EFT COMM]])+  SUMIF(Jul_Period_2_Tbl[[#All],[STAFF:]],$A22,Jul_Period_2_Tbl[[#All],[$ EFT COMM]])+  SUMIF(Aug_Period_2_Tbl[[#All],[STAFF:]],$A22,Aug_Period_2_Tbl[[#All],[$ EFT COMM]])+  SUMIF(Sep_Period_2_Tbl[[#All],[STAFF:]],$A22,Sep_Period_2_Tbl[[#All],[$ EFT COMM]])+  SUMIF(Oct_Period_2_Tbl[[#All],[STAFF:]],$A22,Oct_Period_2_Tbl[[#All],[$ EFT COMM]])+     SUMIF(Nov_Period_2_Tbl[[#All],[STAFF:]],$A22,Nov_Period_2_Tbl[[#All],[$ EFT COMM]])+  SUMIF(Dec_Period_2_Tbl[[#All],[STAFF:]],$A22,Dec_Period_2_Tbl[[#All],[$ EFT COMM]]))</f>
        <v>0</v>
      </c>
      <c r="N22" s="190">
        <f>(SUMIF(Jan_Period_1_Tbl[[#All],[STAFF:]],$A22,Jan_Period_1_Tbl[[#All],[$ CLASS PAY]])+
SUMIF(Feb_Period_1_Tbl[[#All],[STAFF:]],$A22,Feb_Period_1_Tbl[[#All],[$ CLASS PAY]])+SUMIF(Mar_Period_1_Tbl[[#All],[STAFF:]],$A22,Mar_Period_1_Tbl[[#All],[$ CLASS PAY]])+SUMIF(Apr_Period_1_Tbl[[#All],[STAFF:]],$A22,Apr_Period_1_Tbl[[#All],[$ CLASS PAY]])+   SUMIF(May_Period_1_Tbl[[#All],[STAFF:]],$A22,May_Period_1_Tbl[[#All],[$ CLASS PAY]])+   SUMIF(Jun_Period_1_Tbl[[#All],[STAFF:]],$A22,Jun_Period_1_Tbl[[#All],[$ CLASS PAY]])+  SUMIF(Jul_Period_1_Tbl[[#All],[STAFF:]],$A22,Jul_Period_1_Tbl[[#All],[$ CLASS PAY]])+  SUMIF(Aug_Period_1_Tbl[[#All],[STAFF:]],$A22,Aug_Period_1_Tbl[[#All],[$ CLASS PAY]])+  SUMIF(Sep_Period_1_Tbl[[#All],[STAFF:]],$A22,Sep_Period_1_Tbl[[#All],[$ CLASS PAY]])+  SUMIF(Oct_Period_1_Tbl[[#All],[STAFF:]],$A22,Oct_Period_1_Tbl[[#All],[$ CLASS PAY]])+     SUMIF(Nov_Period_1_Tbl[[#All],[STAFF:]],$A22,Nov_Period_1_Tbl[[#All],[$ CLASS PAY]])+  SUMIF(Dec_Period_1_Tbl[[#All],[STAFF:]],$A22,Dec_Period_1_Tbl[[#All],[$ CLASS PAY]]))+   (SUMIF(Jan_Period_2_Tbl[[#All],[STAFF:]],$A22,Jan_Period_2_Tbl[[#All],[$ CLASS PAY]])+
SUMIF(Feb_Period_2_Tbl[[#All],[STAFF:]],$A22,Feb_Period_2_Tbl[[#All],[$ CLASS PAY]])+SUMIF(Mar_Period_2_Tbl[[#All],[STAFF:]],$A22,Mar_Period_2_Tbl[[#All],[$ CLASS PAY]])+SUMIF(Apr_Period_2_Tbl[[#All],[STAFF:]],$A22,Apr_Period_2_Tbl[[#All],[$ CLASS PAY]])+   SUMIF(May_Period_2_Tbl[[#All],[STAFF:]],$A22,May_Period_2_Tbl[[#All],[$ CLASS PAY]])+   SUMIF(Jun_Period_2_Tbl[[#All],[STAFF:]],$A22,Jun_Period_2_Tbl[[#All],[$ CLASS PAY]])+  SUMIF(Jul_Period_2_Tbl[[#All],[STAFF:]],$A22,Jul_Period_2_Tbl[[#All],[$ CLASS PAY]])+  SUMIF(Aug_Period_2_Tbl[[#All],[STAFF:]],$A22,Aug_Period_2_Tbl[[#All],[$ CLASS PAY]])+  SUMIF(Sep_Period_2_Tbl[[#All],[STAFF:]],$A22,Sep_Period_2_Tbl[[#All],[$ CLASS PAY]])+  SUMIF(Oct_Period_2_Tbl[[#All],[STAFF:]],$A22,Oct_Period_2_Tbl[[#All],[$ CLASS PAY]])+     SUMIF(Nov_Period_2_Tbl[[#All],[STAFF:]],$A22,Nov_Period_2_Tbl[[#All],[$ CLASS PAY]])+  SUMIF(Dec_Period_2_Tbl[[#All],[STAFF:]],$A22,Dec_Period_2_Tbl[[#All],[$ CLASS PAY]]))</f>
        <v>0</v>
      </c>
      <c r="O22" s="191">
        <f>(SUMIF(Jan_Period_1_Tbl[[#All],[STAFF:]],$A22,Jan_Period_1_Tbl[[#All],[$ BONUS PAY]])+
SUMIF(Feb_Period_1_Tbl[[#All],[STAFF:]],$A22,Feb_Period_1_Tbl[[#All],[$ BONUS PAY]])+SUMIF(Mar_Period_1_Tbl[[#All],[STAFF:]],$A22,Mar_Period_1_Tbl[[#All],[$ BONUS PAY]])+SUMIF(Apr_Period_1_Tbl[[#All],[STAFF:]],$A22,Apr_Period_1_Tbl[[#All],[$ BONUS PAY]])+   SUMIF(May_Period_1_Tbl[[#All],[STAFF:]],$A22,May_Period_1_Tbl[[#All],[$ BONUS PAY]])+   SUMIF(Jun_Period_1_Tbl[[#All],[STAFF:]],$A22,Jun_Period_1_Tbl[[#All],[$ BONUS PAY]])+  SUMIF(Jul_Period_1_Tbl[[#All],[STAFF:]],$A22,Jul_Period_1_Tbl[[#All],[$ BONUS PAY]])+  SUMIF(Aug_Period_1_Tbl[[#All],[STAFF:]],$A22,Aug_Period_1_Tbl[[#All],[$ BONUS PAY]])+  SUMIF(Sep_Period_1_Tbl[[#All],[STAFF:]],$A22,Sep_Period_1_Tbl[[#All],[$ BONUS PAY]])+  SUMIF(Oct_Period_1_Tbl[[#All],[STAFF:]],$A22,Oct_Period_1_Tbl[[#All],[$ BONUS PAY]])+     SUMIF(Nov_Period_1_Tbl[[#All],[STAFF:]],$A22,Nov_Period_1_Tbl[[#All],[$ BONUS PAY]])+  SUMIF(Dec_Period_1_Tbl[[#All],[STAFF:]],$A22,Dec_Period_1_Tbl[[#All],[$ BONUS PAY]]))+   (SUMIF(Jan_Period_2_Tbl[[#All],[STAFF:]],$A22,Jan_Period_2_Tbl[[#All],[$ BONUS PAY]])+
SUMIF(Feb_Period_2_Tbl[[#All],[STAFF:]],$A22,Feb_Period_2_Tbl[[#All],[$ BONUS PAY]])+SUMIF(Mar_Period_2_Tbl[[#All],[STAFF:]],$A22,Mar_Period_2_Tbl[[#All],[$ BONUS PAY]])+SUMIF(Apr_Period_2_Tbl[[#All],[STAFF:]],$A22,Apr_Period_2_Tbl[[#All],[$ BONUS PAY]])+   SUMIF(May_Period_2_Tbl[[#All],[STAFF:]],$A22,May_Period_2_Tbl[[#All],[$ BONUS PAY]])+   SUMIF(Jun_Period_2_Tbl[[#All],[STAFF:]],$A22,Jun_Period_2_Tbl[[#All],[$ BONUS PAY]])+  SUMIF(Jul_Period_2_Tbl[[#All],[STAFF:]],$A22,Jul_Period_2_Tbl[[#All],[$ BONUS PAY]])+  SUMIF(Aug_Period_2_Tbl[[#All],[STAFF:]],$A22,Aug_Period_2_Tbl[[#All],[$ BONUS PAY]])+  SUMIF(Sep_Period_2_Tbl[[#All],[STAFF:]],$A22,Sep_Period_2_Tbl[[#All],[$ BONUS PAY]])+  SUMIF(Oct_Period_2_Tbl[[#All],[STAFF:]],$A22,Oct_Period_2_Tbl[[#All],[$ BONUS PAY]])+     SUMIF(Nov_Period_2_Tbl[[#All],[STAFF:]],$A22,Nov_Period_2_Tbl[[#All],[$ BONUS PAY]])+  SUMIF(Dec_Period_2_Tbl[[#All],[STAFF:]],$A22,Dec_Period_2_Tbl[[#All],[$ BONUS PAY]]))</f>
        <v>0</v>
      </c>
      <c r="P22" s="179">
        <f t="shared" si="0"/>
        <v>0</v>
      </c>
      <c r="Q22" s="149"/>
      <c r="R22" s="152">
        <f>(SUMIF(Jan_Period_1_Tbl[[#All],[STAFF:]],$A22,Jan_Period_1_Tbl[[#All],['# POINTS EARNED]])+
SUMIF(Feb_Period_1_Tbl[[#All],[STAFF:]],$A22,Feb_Period_1_Tbl[[#All],['# POINTS EARNED]])+SUMIF(Mar_Period_1_Tbl[[#All],[STAFF:]],$A22,Mar_Period_1_Tbl[[#All],['# POINTS EARNED]])+SUMIF(Apr_Period_1_Tbl[[#All],[STAFF:]],$A22,Apr_Period_1_Tbl[[#All],['# POINTS EARNED]])+   SUMIF(May_Period_1_Tbl[[#All],[STAFF:]],$A22,May_Period_1_Tbl[[#All],['# POINTS EARNED]])+   SUMIF(Jun_Period_1_Tbl[[#All],[STAFF:]],$A22,Jun_Period_1_Tbl[[#All],['# POINTS EARNED]])+  SUMIF(Jul_Period_1_Tbl[[#All],[STAFF:]],$A22,Jul_Period_1_Tbl[[#All],['# POINTS EARNED]])+  SUMIF(Aug_Period_1_Tbl[[#All],[STAFF:]],$A22,Aug_Period_1_Tbl[[#All],['# POINTS EARNED]])+  SUMIF(Sep_Period_1_Tbl[[#All],[STAFF:]],$A22,Sep_Period_1_Tbl[[#All],['# POINTS EARNED]])+  SUMIF(Oct_Period_1_Tbl[[#All],[STAFF:]],$A22,Oct_Period_1_Tbl[[#All],['# POINTS EARNED]])+     SUMIF(Nov_Period_1_Tbl[[#All],[STAFF:]],$A22,Nov_Period_1_Tbl[[#All],['# POINTS EARNED]])+  SUMIF(Dec_Period_1_Tbl[[#All],[STAFF:]],$A22,Dec_Period_1_Tbl[[#All],['# POINTS EARNED]]))+   (SUMIF(Jan_Period_2_Tbl[[#All],[STAFF:]],$A22,Jan_Period_2_Tbl[[#All],['# POINTS EARNED]])+
SUMIF(Feb_Period_2_Tbl[[#All],[STAFF:]],$A22,Feb_Period_2_Tbl[[#All],['# POINTS EARNED]])+SUMIF(Mar_Period_2_Tbl[[#All],[STAFF:]],$A22,Mar_Period_2_Tbl[[#All],['# POINTS EARNED]])+SUMIF(Apr_Period_2_Tbl[[#All],[STAFF:]],$A22,Apr_Period_2_Tbl[[#All],['# POINTS EARNED]])+   SUMIF(May_Period_2_Tbl[[#All],[STAFF:]],$A22,May_Period_2_Tbl[[#All],['# POINTS EARNED]])+   SUMIF(Jun_Period_2_Tbl[[#All],[STAFF:]],$A22,Jun_Period_2_Tbl[[#All],['# POINTS EARNED]])+  SUMIF(Jul_Period_2_Tbl[[#All],[STAFF:]],$A22,Jul_Period_2_Tbl[[#All],['# POINTS EARNED]])+  SUMIF(Aug_Period_2_Tbl[[#All],[STAFF:]],$A22,Aug_Period_2_Tbl[[#All],['# POINTS EARNED]])+  SUMIF(Sep_Period_2_Tbl[[#All],[STAFF:]],$A22,Sep_Period_2_Tbl[[#All],['# POINTS EARNED]])+  SUMIF(Oct_Period_2_Tbl[[#All],[STAFF:]],$A22,Oct_Period_2_Tbl[[#All],['# POINTS EARNED]])+     SUMIF(Nov_Period_2_Tbl[[#All],[STAFF:]],$A22,Nov_Period_2_Tbl[[#All],['# POINTS EARNED]])+  SUMIF(Dec_Period_2_Tbl[[#All],[STAFF:]],$A22,Dec_Period_2_Tbl[[#All],['# POINTS EARNED]]))</f>
        <v>0</v>
      </c>
      <c r="S22" s="152">
        <f>(SUMIF(Jan_Period_1_Tbl[[#All],[STAFF:]],$A22,Jan_Period_1_Tbl[[#All],['# POINTS USED]])+
SUMIF(Feb_Period_1_Tbl[[#All],[STAFF:]],$A22,Feb_Period_1_Tbl[[#All],['# POINTS USED]])+SUMIF(Mar_Period_1_Tbl[[#All],[STAFF:]],$A22,Mar_Period_1_Tbl[[#All],['# POINTS USED]])+SUMIF(Apr_Period_1_Tbl[[#All],[STAFF:]],$A22,Apr_Period_1_Tbl[[#All],['# POINTS USED]])+   SUMIF(May_Period_1_Tbl[[#All],[STAFF:]],$A22,May_Period_1_Tbl[[#All],['# POINTS USED]])+   SUMIF(Jun_Period_1_Tbl[[#All],[STAFF:]],$A22,Jun_Period_1_Tbl[[#All],['# POINTS USED]])+  SUMIF(Jul_Period_1_Tbl[[#All],[STAFF:]],$A22,Jul_Period_1_Tbl[[#All],['# POINTS USED]])+  SUMIF(Aug_Period_1_Tbl[[#All],[STAFF:]],$A22,Aug_Period_1_Tbl[[#All],['# POINTS USED]])+  SUMIF(Sep_Period_1_Tbl[[#All],[STAFF:]],$A22,Sep_Period_1_Tbl[[#All],['# POINTS USED]])+  SUMIF(Oct_Period_1_Tbl[[#All],[STAFF:]],$A22,Oct_Period_1_Tbl[[#All],['# POINTS USED]])+     SUMIF(Nov_Period_1_Tbl[[#All],[STAFF:]],$A22,Nov_Period_1_Tbl[[#All],['# POINTS USED]])+  SUMIF(Dec_Period_1_Tbl[[#All],[STAFF:]],$A22,Dec_Period_1_Tbl[[#All],['# POINTS USED]]))+   (SUMIF(Jan_Period_2_Tbl[[#All],[STAFF:]],$A22,Jan_Period_2_Tbl[[#All],['# POINTS USED]])+
SUMIF(Feb_Period_2_Tbl[[#All],[STAFF:]],$A22,Feb_Period_2_Tbl[[#All],['# POINTS USED]])+SUMIF(Mar_Period_2_Tbl[[#All],[STAFF:]],$A22,Mar_Period_2_Tbl[[#All],['# POINTS USED]])+SUMIF(Apr_Period_2_Tbl[[#All],[STAFF:]],$A22,Apr_Period_2_Tbl[[#All],['# POINTS USED]])+   SUMIF(May_Period_2_Tbl[[#All],[STAFF:]],$A22,May_Period_2_Tbl[[#All],['# POINTS USED]])+   SUMIF(Jun_Period_2_Tbl[[#All],[STAFF:]],$A22,Jun_Period_2_Tbl[[#All],['# POINTS USED]])+  SUMIF(Jul_Period_2_Tbl[[#All],[STAFF:]],$A22,Jul_Period_2_Tbl[[#All],['# POINTS USED]])+  SUMIF(Aug_Period_2_Tbl[[#All],[STAFF:]],$A22,Aug_Period_2_Tbl[[#All],['# POINTS USED]])+  SUMIF(Sep_Period_2_Tbl[[#All],[STAFF:]],$A22,Sep_Period_2_Tbl[[#All],['# POINTS USED]])+  SUMIF(Oct_Period_2_Tbl[[#All],[STAFF:]],$A22,Oct_Period_2_Tbl[[#All],['# POINTS USED]])+     SUMIF(Nov_Period_2_Tbl[[#All],[STAFF:]],$A22,Nov_Period_2_Tbl[[#All],['# POINTS USED]])+  SUMIF(Dec_Period_2_Tbl[[#All],[STAFF:]],$A22,Dec_Period_2_Tbl[[#All],['# POINTS USED]]))</f>
        <v>0</v>
      </c>
      <c r="T22" s="152">
        <f>(SUMIF(Jan_Period_1_Tbl[[#All],[STAFF:]],$A22,Jan_Period_1_Tbl[[#All],['# CLASSES LEAD]])+
SUMIF(Feb_Period_1_Tbl[[#All],[STAFF:]],$A22,Feb_Period_1_Tbl[[#All],['# CLASSES LEAD]])+SUMIF(Mar_Period_1_Tbl[[#All],[STAFF:]],$A22,Mar_Period_1_Tbl[[#All],['# CLASSES LEAD]])+SUMIF(Apr_Period_1_Tbl[[#All],[STAFF:]],$A22,Apr_Period_1_Tbl[[#All],['# CLASSES LEAD]])+   SUMIF(May_Period_1_Tbl[[#All],[STAFF:]],$A22,May_Period_1_Tbl[[#All],['# CLASSES LEAD]])+   SUMIF(Jun_Period_1_Tbl[[#All],[STAFF:]],$A22,Jun_Period_1_Tbl[[#All],['# CLASSES LEAD]])+  SUMIF(Jul_Period_1_Tbl[[#All],[STAFF:]],$A22,Jul_Period_1_Tbl[[#All],['# CLASSES LEAD]])+  SUMIF(Aug_Period_1_Tbl[[#All],[STAFF:]],$A22,Aug_Period_1_Tbl[[#All],['# CLASSES LEAD]])+  SUMIF(Sep_Period_1_Tbl[[#All],[STAFF:]],$A22,Sep_Period_1_Tbl[[#All],['# CLASSES LEAD]])+  SUMIF(Oct_Period_1_Tbl[[#All],[STAFF:]],$A22,Oct_Period_1_Tbl[[#All],['# CLASSES LEAD]])+     SUMIF(Nov_Period_1_Tbl[[#All],[STAFF:]],$A22,Nov_Period_1_Tbl[[#All],['# CLASSES LEAD]])+  SUMIF(Dec_Period_1_Tbl[[#All],[STAFF:]],$A22,Dec_Period_1_Tbl[[#All],['# CLASSES LEAD]]))+   (SUMIF(Jan_Period_2_Tbl[[#All],[STAFF:]],$A22,Jan_Period_2_Tbl[[#All],['# CLASSES LEAD]])+
SUMIF(Feb_Period_2_Tbl[[#All],[STAFF:]],$A22,Feb_Period_2_Tbl[[#All],['# CLASSES LEAD]])+SUMIF(Mar_Period_2_Tbl[[#All],[STAFF:]],$A22,Mar_Period_2_Tbl[[#All],['# CLASSES LEAD]])+SUMIF(Apr_Period_2_Tbl[[#All],[STAFF:]],$A22,Apr_Period_2_Tbl[[#All],['# CLASSES LEAD]])+   SUMIF(May_Period_2_Tbl[[#All],[STAFF:]],$A22,May_Period_2_Tbl[[#All],['# CLASSES LEAD]])+   SUMIF(Jun_Period_2_Tbl[[#All],[STAFF:]],$A22,Jun_Period_2_Tbl[[#All],['# CLASSES LEAD]])+  SUMIF(Jul_Period_2_Tbl[[#All],[STAFF:]],$A22,Jul_Period_2_Tbl[[#All],['# CLASSES LEAD]])+  SUMIF(Aug_Period_2_Tbl[[#All],[STAFF:]],$A22,Aug_Period_2_Tbl[[#All],['# CLASSES LEAD]])+  SUMIF(Sep_Period_2_Tbl[[#All],[STAFF:]],$A22,Sep_Period_2_Tbl[[#All],['# CLASSES LEAD]])+  SUMIF(Oct_Period_2_Tbl[[#All],[STAFF:]],$A22,Oct_Period_2_Tbl[[#All],['# CLASSES LEAD]])+     SUMIF(Nov_Period_2_Tbl[[#All],[STAFF:]],$A22,Nov_Period_2_Tbl[[#All],['# CLASSES LEAD]])+  SUMIF(Dec_Period_2_Tbl[[#All],[STAFF:]],$A22,Dec_Period_2_Tbl[[#All],['# CLASSES LEAD]]))</f>
        <v>0</v>
      </c>
      <c r="U22" s="152">
        <f>(SUMIF(Jan_Period_1_Tbl[[#All],[STAFF:]],$A22,Jan_Period_1_Tbl[[#All],['# CLASSES SHOW]])+
SUMIF(Feb_Period_1_Tbl[[#All],[STAFF:]],$A22,Feb_Period_1_Tbl[[#All],['# CLASSES SHOW]])+SUMIF(Mar_Period_1_Tbl[[#All],[STAFF:]],$A22,Mar_Period_1_Tbl[[#All],['# CLASSES SHOW]])+SUMIF(Apr_Period_1_Tbl[[#All],[STAFF:]],$A22,Apr_Period_1_Tbl[[#All],['# CLASSES SHOW]])+   SUMIF(May_Period_1_Tbl[[#All],[STAFF:]],$A22,May_Period_1_Tbl[[#All],['# CLASSES SHOW]])+   SUMIF(Jun_Period_1_Tbl[[#All],[STAFF:]],$A22,Jun_Period_1_Tbl[[#All],['# CLASSES SHOW]])+  SUMIF(Jul_Period_1_Tbl[[#All],[STAFF:]],$A22,Jul_Period_1_Tbl[[#All],['# CLASSES SHOW]])+  SUMIF(Aug_Period_1_Tbl[[#All],[STAFF:]],$A22,Aug_Period_1_Tbl[[#All],['# CLASSES SHOW]])+  SUMIF(Sep_Period_1_Tbl[[#All],[STAFF:]],$A22,Sep_Period_1_Tbl[[#All],['# CLASSES SHOW]])+  SUMIF(Oct_Period_1_Tbl[[#All],[STAFF:]],$A22,Oct_Period_1_Tbl[[#All],['# CLASSES SHOW]])+     SUMIF(Nov_Period_1_Tbl[[#All],[STAFF:]],$A22,Nov_Period_1_Tbl[[#All],['# CLASSES SHOW]])+  SUMIF(Dec_Period_1_Tbl[[#All],[STAFF:]],$A22,Dec_Period_1_Tbl[[#All],['# CLASSES SHOW]]))+   (SUMIF(Jan_Period_2_Tbl[[#All],[STAFF:]],$A22,Jan_Period_2_Tbl[[#All],['# CLASSES SHOW]])+
SUMIF(Feb_Period_2_Tbl[[#All],[STAFF:]],$A22,Feb_Period_2_Tbl[[#All],['# CLASSES SHOW]])+SUMIF(Mar_Period_2_Tbl[[#All],[STAFF:]],$A22,Mar_Period_2_Tbl[[#All],['# CLASSES SHOW]])+SUMIF(Apr_Period_2_Tbl[[#All],[STAFF:]],$A22,Apr_Period_2_Tbl[[#All],['# CLASSES SHOW]])+   SUMIF(May_Period_2_Tbl[[#All],[STAFF:]],$A22,May_Period_2_Tbl[[#All],['# CLASSES SHOW]])+   SUMIF(Jun_Period_2_Tbl[[#All],[STAFF:]],$A22,Jun_Period_2_Tbl[[#All],['# CLASSES SHOW]])+  SUMIF(Jul_Period_2_Tbl[[#All],[STAFF:]],$A22,Jul_Period_2_Tbl[[#All],['# CLASSES SHOW]])+  SUMIF(Aug_Period_2_Tbl[[#All],[STAFF:]],$A22,Aug_Period_2_Tbl[[#All],['# CLASSES SHOW]])+  SUMIF(Sep_Period_2_Tbl[[#All],[STAFF:]],$A22,Sep_Period_2_Tbl[[#All],['# CLASSES SHOW]])+  SUMIF(Oct_Period_2_Tbl[[#All],[STAFF:]],$A22,Oct_Period_2_Tbl[[#All],['# CLASSES SHOW]])+     SUMIF(Nov_Period_2_Tbl[[#All],[STAFF:]],$A22,Nov_Period_2_Tbl[[#All],['# CLASSES SHOW]])+  SUMIF(Dec_Period_2_Tbl[[#All],[STAFF:]],$A22,Dec_Period_2_Tbl[[#All],['# CLASSES SHOW]]))</f>
        <v>0</v>
      </c>
      <c r="V22" s="156"/>
      <c r="W22" s="156"/>
      <c r="X22" s="154">
        <f t="shared" si="1"/>
        <v>0</v>
      </c>
      <c r="Y22" s="154">
        <f t="shared" si="2"/>
        <v>0</v>
      </c>
      <c r="Z22" s="154">
        <f t="shared" si="3"/>
        <v>0</v>
      </c>
      <c r="AA22" s="154">
        <f t="shared" si="4"/>
        <v>0</v>
      </c>
      <c r="AB22" s="154">
        <f t="shared" si="5"/>
        <v>0</v>
      </c>
      <c r="AC22" s="154">
        <f t="shared" si="6"/>
        <v>0</v>
      </c>
      <c r="AD22" s="154">
        <f t="shared" si="7"/>
        <v>0</v>
      </c>
      <c r="AE22" s="149"/>
      <c r="AF22" s="149"/>
      <c r="AG22" s="149"/>
      <c r="AH22" s="149"/>
      <c r="AJ22" s="75" t="str">
        <f t="shared" si="8"/>
        <v>zBlank</v>
      </c>
      <c r="AK22" s="210"/>
      <c r="AL22" s="168">
        <f>IFERROR(VLOOKUP(B22,List!$A:$B,2,FALSE),-1)</f>
        <v>-1</v>
      </c>
      <c r="AM22" s="168">
        <f>IFERROR(VLOOKUP(C22,List!$A:$B,2,FALSE),-1)</f>
        <v>-1</v>
      </c>
    </row>
    <row r="23" spans="1:39" ht="15" hidden="1" customHeight="1" x14ac:dyDescent="0.25">
      <c r="A23" s="20"/>
      <c r="B23" s="186"/>
      <c r="C23" s="186"/>
      <c r="D23" s="187"/>
      <c r="E23" s="188">
        <f>(SUMIF(Jan_Period_1_Tbl[[#All],[STAFF:]],$A23,Jan_Period_1_Tbl[[#All],['# PTO USED]])+
SUMIF(Feb_Period_1_Tbl[[#All],[STAFF:]],$A23,Feb_Period_1_Tbl[[#All],['# PTO USED]])+SUMIF(Mar_Period_1_Tbl[[#All],[STAFF:]],$A23,Mar_Period_1_Tbl[[#All],['# PTO USED]])+SUMIF(Apr_Period_1_Tbl[[#All],[STAFF:]],$A23,Apr_Period_1_Tbl[[#All],['# PTO USED]])+   SUMIF(May_Period_1_Tbl[[#All],[STAFF:]],$A23,May_Period_1_Tbl[[#All],['# PTO USED]])+   SUMIF(Jun_Period_1_Tbl[[#All],[STAFF:]],$A23,Jun_Period_1_Tbl[[#All],['# PTO USED]])+  SUMIF(Jul_Period_1_Tbl[[#All],[STAFF:]],$A23,Jul_Period_1_Tbl[[#All],['# PTO USED]])+  SUMIF(Aug_Period_1_Tbl[[#All],[STAFF:]],$A23,Aug_Period_1_Tbl[[#All],['# PTO USED]])+  SUMIF(Sep_Period_1_Tbl[[#All],[STAFF:]],$A23,Sep_Period_1_Tbl[[#All],['# PTO USED]])+  SUMIF(Oct_Period_1_Tbl[[#All],[STAFF:]],$A23,Oct_Period_1_Tbl[[#All],['# PTO USED]])+     SUMIF(Nov_Period_1_Tbl[[#All],[STAFF:]],$A23,Nov_Period_1_Tbl[[#All],['# PTO USED]])+  SUMIF(Dec_Period_1_Tbl[[#All],[STAFF:]],$A23,Dec_Period_1_Tbl[[#All],['# PTO USED]]))+   (SUMIF(Jan_Period_2_Tbl[[#All],[STAFF:]],$A23,Jan_Period_2_Tbl[[#All],['# PTO USED]])+
SUMIF(Feb_Period_2_Tbl[[#All],[STAFF:]],$A23,Feb_Period_2_Tbl[[#All],['# PTO USED]])+SUMIF(Mar_Period_2_Tbl[[#All],[STAFF:]],$A23,Mar_Period_2_Tbl[[#All],['# PTO USED]])+SUMIF(Apr_Period_2_Tbl[[#All],[STAFF:]],$A23,Apr_Period_2_Tbl[[#All],['# PTO USED]])+   SUMIF(May_Period_2_Tbl[[#All],[STAFF:]],$A23,May_Period_2_Tbl[[#All],['# PTO USED]])+   SUMIF(Jun_Period_2_Tbl[[#All],[STAFF:]],$A23,Jun_Period_2_Tbl[[#All],['# PTO USED]])+  SUMIF(Jul_Period_2_Tbl[[#All],[STAFF:]],$A23,Jul_Period_2_Tbl[[#All],['# PTO USED]])+  SUMIF(Aug_Period_2_Tbl[[#All],[STAFF:]],$A23,Aug_Period_2_Tbl[[#All],['# PTO USED]])+  SUMIF(Sep_Period_2_Tbl[[#All],[STAFF:]],$A23,Sep_Period_2_Tbl[[#All],['# PTO USED]])+  SUMIF(Oct_Period_2_Tbl[[#All],[STAFF:]],$A23,Oct_Period_2_Tbl[[#All],['# PTO USED]])+     SUMIF(Nov_Period_2_Tbl[[#All],[STAFF:]],$A23,Nov_Period_2_Tbl[[#All],['# PTO USED]])+  SUMIF(Dec_Period_2_Tbl[[#All],[STAFF:]],$A23,Dec_Period_2_Tbl[[#All],['# PTO USED]]))</f>
        <v>0</v>
      </c>
      <c r="F23" s="189">
        <f>(SUMIF(Jan_Period_1_Tbl[[#All],[STAFF:]],$A23,Jan_Period_1_Tbl[[#All],['# HRS WORKED]])+
SUMIF(Feb_Period_1_Tbl[[#All],[STAFF:]],$A23,Feb_Period_1_Tbl[[#All],['# HRS WORKED]])+SUMIF(Mar_Period_1_Tbl[[#All],[STAFF:]],$A23,Mar_Period_1_Tbl[[#All],['# HRS WORKED]])+SUMIF(Apr_Period_1_Tbl[[#All],[STAFF:]],$A23,Apr_Period_1_Tbl[[#All],['# HRS WORKED]])+   SUMIF(May_Period_1_Tbl[[#All],[STAFF:]],$A23,May_Period_1_Tbl[[#All],['# HRS WORKED]])+   SUMIF(Jun_Period_1_Tbl[[#All],[STAFF:]],$A23,Jun_Period_1_Tbl[[#All],['# HRS WORKED]])+  SUMIF(Jul_Period_1_Tbl[[#All],[STAFF:]],$A23,Jul_Period_1_Tbl[[#All],['# HRS WORKED]])+  SUMIF(Aug_Period_1_Tbl[[#All],[STAFF:]],$A23,Aug_Period_1_Tbl[[#All],['# HRS WORKED]])+  SUMIF(Sep_Period_1_Tbl[[#All],[STAFF:]],$A23,Sep_Period_1_Tbl[[#All],['# HRS WORKED]])+  SUMIF(Oct_Period_1_Tbl[[#All],[STAFF:]],$A23,Oct_Period_1_Tbl[[#All],['# HRS WORKED]])+     SUMIF(Nov_Period_1_Tbl[[#All],[STAFF:]],$A23,Nov_Period_1_Tbl[[#All],['# HRS WORKED]])+  SUMIF(Dec_Period_1_Tbl[[#All],[STAFF:]],$A23,Dec_Period_1_Tbl[[#All],['# HRS WORKED]]))+   (SUMIF(Jan_Period_2_Tbl[[#All],[STAFF:]],$A23,Jan_Period_2_Tbl[[#All],['# HRS WORKED]])+
SUMIF(Feb_Period_2_Tbl[[#All],[STAFF:]],$A23,Feb_Period_2_Tbl[[#All],['# HRS WORKED]])+SUMIF(Mar_Period_2_Tbl[[#All],[STAFF:]],$A23,Mar_Period_2_Tbl[[#All],['# HRS WORKED]])+SUMIF(Apr_Period_2_Tbl[[#All],[STAFF:]],$A23,Apr_Period_2_Tbl[[#All],['# HRS WORKED]])+   SUMIF(May_Period_2_Tbl[[#All],[STAFF:]],$A23,May_Period_2_Tbl[[#All],['# HRS WORKED]])+   SUMIF(Jun_Period_2_Tbl[[#All],[STAFF:]],$A23,Jun_Period_2_Tbl[[#All],['# HRS WORKED]])+  SUMIF(Jul_Period_2_Tbl[[#All],[STAFF:]],$A23,Jul_Period_2_Tbl[[#All],['# HRS WORKED]])+  SUMIF(Aug_Period_2_Tbl[[#All],[STAFF:]],$A23,Aug_Period_2_Tbl[[#All],['# HRS WORKED]])+  SUMIF(Sep_Period_2_Tbl[[#All],[STAFF:]],$A23,Sep_Period_2_Tbl[[#All],['# HRS WORKED]])+  SUMIF(Oct_Period_2_Tbl[[#All],[STAFF:]],$A23,Oct_Period_2_Tbl[[#All],['# HRS WORKED]])+     SUMIF(Nov_Period_2_Tbl[[#All],[STAFF:]],$A23,Nov_Period_2_Tbl[[#All],['# HRS WORKED]])+  SUMIF(Dec_Period_2_Tbl[[#All],[STAFF:]],$A23,Dec_Period_2_Tbl[[#All],['# HRS WORKED]]))</f>
        <v>0</v>
      </c>
      <c r="G23" s="190">
        <f>(SUMIF(Jan_Period_1_Tbl[[#All],[STAFF:]],$A23,Jan_Period_1_Tbl[[#All],[$ Hourly WAGES]])+
SUMIF(Feb_Period_1_Tbl[[#All],[STAFF:]],$A23,Feb_Period_1_Tbl[[#All],[$ Hourly WAGES]])+SUMIF(Mar_Period_1_Tbl[[#All],[STAFF:]],$A23,Mar_Period_1_Tbl[[#All],[$ Hourly WAGES]])+SUMIF(Apr_Period_1_Tbl[[#All],[STAFF:]],$A23,Apr_Period_1_Tbl[[#All],[$ Hourly WAGES]])+   SUMIF(May_Period_1_Tbl[[#All],[STAFF:]],$A23,May_Period_1_Tbl[[#All],[$ Hourly WAGES]])+   SUMIF(Jun_Period_1_Tbl[[#All],[STAFF:]],$A23,Jun_Period_1_Tbl[[#All],[$ Hourly WAGES]])+  SUMIF(Jul_Period_1_Tbl[[#All],[STAFF:]],$A23,Jul_Period_1_Tbl[[#All],[$ Hourly WAGES]])+  SUMIF(Aug_Period_1_Tbl[[#All],[STAFF:]],$A23,Aug_Period_1_Tbl[[#All],[$ Hourly WAGES]])+  SUMIF(Sep_Period_1_Tbl[[#All],[STAFF:]],$A23,Sep_Period_1_Tbl[[#All],[$ Hourly WAGES]])+  SUMIF(Oct_Period_1_Tbl[[#All],[STAFF:]],$A23,Oct_Period_1_Tbl[[#All],[$ Hourly WAGES]])+     SUMIF(Nov_Period_1_Tbl[[#All],[STAFF:]],$A23,Nov_Period_1_Tbl[[#All],[$ Hourly WAGES]])+  SUMIF(Dec_Period_1_Tbl[[#All],[STAFF:]],$A23,Dec_Period_1_Tbl[[#All],[$ Hourly WAGES]]))+   (SUMIF(Jan_Period_2_Tbl[[#All],[STAFF:]],$A23,Jan_Period_2_Tbl[[#All],[$ Hourly WAGES]])+
SUMIF(Feb_Period_2_Tbl[[#All],[STAFF:]],$A23,Feb_Period_2_Tbl[[#All],[$ Hourly WAGES]])+SUMIF(Mar_Period_2_Tbl[[#All],[STAFF:]],$A23,Mar_Period_2_Tbl[[#All],[$ Hourly WAGES]])+SUMIF(Apr_Period_2_Tbl[[#All],[STAFF:]],$A23,Apr_Period_2_Tbl[[#All],[$ Hourly WAGES]])+   SUMIF(May_Period_2_Tbl[[#All],[STAFF:]],$A23,May_Period_2_Tbl[[#All],[$ Hourly WAGES]])+   SUMIF(Jun_Period_2_Tbl[[#All],[STAFF:]],$A23,Jun_Period_2_Tbl[[#All],[$ Hourly WAGES]])+  SUMIF(Jul_Period_2_Tbl[[#All],[STAFF:]],$A23,Jul_Period_2_Tbl[[#All],[$ Hourly WAGES]])+  SUMIF(Aug_Period_2_Tbl[[#All],[STAFF:]],$A23,Aug_Period_2_Tbl[[#All],[$ Hourly WAGES]])+  SUMIF(Sep_Period_2_Tbl[[#All],[STAFF:]],$A23,Sep_Period_2_Tbl[[#All],[$ Hourly WAGES]])+  SUMIF(Oct_Period_2_Tbl[[#All],[STAFF:]],$A23,Oct_Period_2_Tbl[[#All],[$ Hourly WAGES]])+     SUMIF(Nov_Period_2_Tbl[[#All],[STAFF:]],$A23,Nov_Period_2_Tbl[[#All],[$ Hourly WAGES]])+  SUMIF(Dec_Period_2_Tbl[[#All],[STAFF:]],$A23,Dec_Period_2_Tbl[[#All],[$ Hourly WAGES]]))</f>
        <v>0</v>
      </c>
      <c r="H23" s="190">
        <f>(SUMIF(Jan_Period_1_Tbl[[#All],[STAFF:]],$A23,Jan_Period_1_Tbl[[#All],[$ SALARY]])+
SUMIF(Feb_Period_1_Tbl[[#All],[STAFF:]],$A23,Feb_Period_1_Tbl[[#All],[$ SALARY]])+SUMIF(Mar_Period_1_Tbl[[#All],[STAFF:]],$A23,Mar_Period_1_Tbl[[#All],[$ SALARY]])+SUMIF(Apr_Period_1_Tbl[[#All],[STAFF:]],$A23,Apr_Period_1_Tbl[[#All],[$ SALARY]])+   SUMIF(May_Period_1_Tbl[[#All],[STAFF:]],$A23,May_Period_1_Tbl[[#All],[$ SALARY]])+   SUMIF(Jun_Period_1_Tbl[[#All],[STAFF:]],$A23,Jun_Period_1_Tbl[[#All],[$ SALARY]])+  SUMIF(Jul_Period_1_Tbl[[#All],[STAFF:]],$A23,Jul_Period_1_Tbl[[#All],[$ SALARY]])+  SUMIF(Aug_Period_1_Tbl[[#All],[STAFF:]],$A23,Aug_Period_1_Tbl[[#All],[$ SALARY]])+  SUMIF(Sep_Period_1_Tbl[[#All],[STAFF:]],$A23,Sep_Period_1_Tbl[[#All],[$ SALARY]])+  SUMIF(Oct_Period_1_Tbl[[#All],[STAFF:]],$A23,Oct_Period_1_Tbl[[#All],[$ SALARY]])+     SUMIF(Nov_Period_1_Tbl[[#All],[STAFF:]],$A23,Nov_Period_1_Tbl[[#All],[$ SALARY]])+  SUMIF(Dec_Period_1_Tbl[[#All],[STAFF:]],$A23,Dec_Period_1_Tbl[[#All],[$ SALARY]]))+   (SUMIF(Jan_Period_2_Tbl[[#All],[STAFF:]],$A23,Jan_Period_2_Tbl[[#All],[$ SALARY]])+
SUMIF(Feb_Period_2_Tbl[[#All],[STAFF:]],$A23,Feb_Period_2_Tbl[[#All],[$ SALARY]])+SUMIF(Mar_Period_2_Tbl[[#All],[STAFF:]],$A23,Mar_Period_2_Tbl[[#All],[$ SALARY]])+SUMIF(Apr_Period_2_Tbl[[#All],[STAFF:]],$A23,Apr_Period_2_Tbl[[#All],[$ SALARY]])+   SUMIF(May_Period_2_Tbl[[#All],[STAFF:]],$A23,May_Period_2_Tbl[[#All],[$ SALARY]])+   SUMIF(Jun_Period_2_Tbl[[#All],[STAFF:]],$A23,Jun_Period_2_Tbl[[#All],[$ SALARY]])+  SUMIF(Jul_Period_2_Tbl[[#All],[STAFF:]],$A23,Jul_Period_2_Tbl[[#All],[$ SALARY]])+  SUMIF(Aug_Period_2_Tbl[[#All],[STAFF:]],$A23,Aug_Period_2_Tbl[[#All],[$ SALARY]])+  SUMIF(Sep_Period_2_Tbl[[#All],[STAFF:]],$A23,Sep_Period_2_Tbl[[#All],[$ SALARY]])+  SUMIF(Oct_Period_2_Tbl[[#All],[STAFF:]],$A23,Oct_Period_2_Tbl[[#All],[$ SALARY]])+     SUMIF(Nov_Period_2_Tbl[[#All],[STAFF:]],$A23,Nov_Period_2_Tbl[[#All],[$ SALARY]])+  SUMIF(Dec_Period_2_Tbl[[#All],[STAFF:]],$A23,Dec_Period_2_Tbl[[#All],[$ SALARY]]))</f>
        <v>0</v>
      </c>
      <c r="I23" s="190">
        <f>(SUMIF(Jan_Period_1_Tbl[[#All],[STAFF:]],$A23,Jan_Period_1_Tbl[[#All],[$ SALARY PT]])+
SUMIF(Feb_Period_1_Tbl[[#All],[STAFF:]],$A23,Feb_Period_1_Tbl[[#All],[$ SALARY PT]])+SUMIF(Mar_Period_1_Tbl[[#All],[STAFF:]],$A23,Mar_Period_1_Tbl[[#All],[$ SALARY PT]])+SUMIF(Apr_Period_1_Tbl[[#All],[STAFF:]],$A23,Apr_Period_1_Tbl[[#All],[$ SALARY PT]])+   SUMIF(May_Period_1_Tbl[[#All],[STAFF:]],$A23,May_Period_1_Tbl[[#All],[$ SALARY PT]])+   SUMIF(Jun_Period_1_Tbl[[#All],[STAFF:]],$A23,Jun_Period_1_Tbl[[#All],[$ SALARY PT]])+  SUMIF(Jul_Period_1_Tbl[[#All],[STAFF:]],$A23,Jul_Period_1_Tbl[[#All],[$ SALARY PT]])+  SUMIF(Aug_Period_1_Tbl[[#All],[STAFF:]],$A23,Aug_Period_1_Tbl[[#All],[$ SALARY PT]])+  SUMIF(Sep_Period_1_Tbl[[#All],[STAFF:]],$A23,Sep_Period_1_Tbl[[#All],[$ SALARY PT]])+  SUMIF(Oct_Period_1_Tbl[[#All],[STAFF:]],$A23,Oct_Period_1_Tbl[[#All],[$ SALARY PT]])+     SUMIF(Nov_Period_1_Tbl[[#All],[STAFF:]],$A23,Nov_Period_1_Tbl[[#All],[$ SALARY PT]])+  SUMIF(Dec_Period_1_Tbl[[#All],[STAFF:]],$A23,Dec_Period_1_Tbl[[#All],[$ SALARY PT]]))+   (SUMIF(Jan_Period_2_Tbl[[#All],[STAFF:]],$A23,Jan_Period_2_Tbl[[#All],[$ SALARY PT]])+
SUMIF(Feb_Period_2_Tbl[[#All],[STAFF:]],$A23,Feb_Period_2_Tbl[[#All],[$ SALARY PT]])+SUMIF(Mar_Period_2_Tbl[[#All],[STAFF:]],$A23,Mar_Period_2_Tbl[[#All],[$ SALARY PT]])+SUMIF(Apr_Period_2_Tbl[[#All],[STAFF:]],$A23,Apr_Period_2_Tbl[[#All],[$ SALARY PT]])+   SUMIF(May_Period_2_Tbl[[#All],[STAFF:]],$A23,May_Period_2_Tbl[[#All],[$ SALARY PT]])+   SUMIF(Jun_Period_2_Tbl[[#All],[STAFF:]],$A23,Jun_Period_2_Tbl[[#All],[$ SALARY PT]])+  SUMIF(Jul_Period_2_Tbl[[#All],[STAFF:]],$A23,Jul_Period_2_Tbl[[#All],[$ SALARY PT]])+  SUMIF(Aug_Period_2_Tbl[[#All],[STAFF:]],$A23,Aug_Period_2_Tbl[[#All],[$ SALARY PT]])+  SUMIF(Sep_Period_2_Tbl[[#All],[STAFF:]],$A23,Sep_Period_2_Tbl[[#All],[$ SALARY PT]])+  SUMIF(Oct_Period_2_Tbl[[#All],[STAFF:]],$A23,Oct_Period_2_Tbl[[#All],[$ SALARY PT]])+     SUMIF(Nov_Period_2_Tbl[[#All],[STAFF:]],$A23,Nov_Period_2_Tbl[[#All],[$ SALARY PT]])+  SUMIF(Dec_Period_2_Tbl[[#All],[STAFF:]],$A23,Dec_Period_2_Tbl[[#All],[$ SALARY PT]]))</f>
        <v>0</v>
      </c>
      <c r="J23" s="190">
        <f>(SUMIF(Jan_Period_1_Tbl[[#All],[STAFF:]],$A23,Jan_Period_1_Tbl[[#All],[$ FREE PT]])+
SUMIF(Feb_Period_1_Tbl[[#All],[STAFF:]],$A23,Feb_Period_1_Tbl[[#All],[$ FREE PT]])+SUMIF(Mar_Period_1_Tbl[[#All],[STAFF:]],$A23,Mar_Period_1_Tbl[[#All],[$ FREE PT]])+SUMIF(Apr_Period_1_Tbl[[#All],[STAFF:]],$A23,Apr_Period_1_Tbl[[#All],[$ FREE PT]])+   SUMIF(May_Period_1_Tbl[[#All],[STAFF:]],$A23,May_Period_1_Tbl[[#All],[$ FREE PT]])+   SUMIF(Jun_Period_1_Tbl[[#All],[STAFF:]],$A23,Jun_Period_1_Tbl[[#All],[$ FREE PT]])+  SUMIF(Jul_Period_1_Tbl[[#All],[STAFF:]],$A23,Jul_Period_1_Tbl[[#All],[$ FREE PT]])+  SUMIF(Aug_Period_1_Tbl[[#All],[STAFF:]],$A23,Aug_Period_1_Tbl[[#All],[$ FREE PT]])+  SUMIF(Sep_Period_1_Tbl[[#All],[STAFF:]],$A23,Sep_Period_1_Tbl[[#All],[$ FREE PT]])+  SUMIF(Oct_Period_1_Tbl[[#All],[STAFF:]],$A23,Oct_Period_1_Tbl[[#All],[$ FREE PT]])+     SUMIF(Nov_Period_1_Tbl[[#All],[STAFF:]],$A23,Nov_Period_1_Tbl[[#All],[$ FREE PT]])+  SUMIF(Dec_Period_1_Tbl[[#All],[STAFF:]],$A23,Dec_Period_1_Tbl[[#All],[$ FREE PT]]))+   (SUMIF(Jan_Period_2_Tbl[[#All],[STAFF:]],$A23,Jan_Period_2_Tbl[[#All],[$ FREE PT]])+
SUMIF(Feb_Period_2_Tbl[[#All],[STAFF:]],$A23,Feb_Period_2_Tbl[[#All],[$ FREE PT]])+SUMIF(Mar_Period_2_Tbl[[#All],[STAFF:]],$A23,Mar_Period_2_Tbl[[#All],[$ FREE PT]])+SUMIF(Apr_Period_2_Tbl[[#All],[STAFF:]],$A23,Apr_Period_2_Tbl[[#All],[$ FREE PT]])+   SUMIF(May_Period_2_Tbl[[#All],[STAFF:]],$A23,May_Period_2_Tbl[[#All],[$ FREE PT]])+   SUMIF(Jun_Period_2_Tbl[[#All],[STAFF:]],$A23,Jun_Period_2_Tbl[[#All],[$ FREE PT]])+  SUMIF(Jul_Period_2_Tbl[[#All],[STAFF:]],$A23,Jul_Period_2_Tbl[[#All],[$ FREE PT]])+  SUMIF(Aug_Period_2_Tbl[[#All],[STAFF:]],$A23,Aug_Period_2_Tbl[[#All],[$ FREE PT]])+  SUMIF(Sep_Period_2_Tbl[[#All],[STAFF:]],$A23,Sep_Period_2_Tbl[[#All],[$ FREE PT]])+  SUMIF(Oct_Period_2_Tbl[[#All],[STAFF:]],$A23,Oct_Period_2_Tbl[[#All],[$ FREE PT]])+     SUMIF(Nov_Period_2_Tbl[[#All],[STAFF:]],$A23,Nov_Period_2_Tbl[[#All],[$ FREE PT]])+  SUMIF(Dec_Period_2_Tbl[[#All],[STAFF:]],$A23,Dec_Period_2_Tbl[[#All],[$ FREE PT]]))</f>
        <v>0</v>
      </c>
      <c r="K23" s="190">
        <f>(SUMIF(Jan_Period_1_Tbl[[#All],[STAFF:]],$A23,Jan_Period_1_Tbl[[#All],[$ PAID PT]])+
SUMIF(Feb_Period_1_Tbl[[#All],[STAFF:]],$A23,Feb_Period_1_Tbl[[#All],[$ PAID PT]])+SUMIF(Mar_Period_1_Tbl[[#All],[STAFF:]],$A23,Mar_Period_1_Tbl[[#All],[$ PAID PT]])+SUMIF(Apr_Period_1_Tbl[[#All],[STAFF:]],$A23,Apr_Period_1_Tbl[[#All],[$ PAID PT]])+   SUMIF(May_Period_1_Tbl[[#All],[STAFF:]],$A23,May_Period_1_Tbl[[#All],[$ PAID PT]])+   SUMIF(Jun_Period_1_Tbl[[#All],[STAFF:]],$A23,Jun_Period_1_Tbl[[#All],[$ PAID PT]])+  SUMIF(Jul_Period_1_Tbl[[#All],[STAFF:]],$A23,Jul_Period_1_Tbl[[#All],[$ PAID PT]])+  SUMIF(Aug_Period_1_Tbl[[#All],[STAFF:]],$A23,Aug_Period_1_Tbl[[#All],[$ PAID PT]])+  SUMIF(Sep_Period_1_Tbl[[#All],[STAFF:]],$A23,Sep_Period_1_Tbl[[#All],[$ PAID PT]])+  SUMIF(Oct_Period_1_Tbl[[#All],[STAFF:]],$A23,Oct_Period_1_Tbl[[#All],[$ PAID PT]])+     SUMIF(Nov_Period_1_Tbl[[#All],[STAFF:]],$A23,Nov_Period_1_Tbl[[#All],[$ PAID PT]])+  SUMIF(Dec_Period_1_Tbl[[#All],[STAFF:]],$A23,Dec_Period_1_Tbl[[#All],[$ PAID PT]]))+   (SUMIF(Jan_Period_2_Tbl[[#All],[STAFF:]],$A23,Jan_Period_2_Tbl[[#All],[$ PAID PT]])+
SUMIF(Feb_Period_2_Tbl[[#All],[STAFF:]],$A23,Feb_Period_2_Tbl[[#All],[$ PAID PT]])+SUMIF(Mar_Period_2_Tbl[[#All],[STAFF:]],$A23,Mar_Period_2_Tbl[[#All],[$ PAID PT]])+SUMIF(Apr_Period_2_Tbl[[#All],[STAFF:]],$A23,Apr_Period_2_Tbl[[#All],[$ PAID PT]])+   SUMIF(May_Period_2_Tbl[[#All],[STAFF:]],$A23,May_Period_2_Tbl[[#All],[$ PAID PT]])+   SUMIF(Jun_Period_2_Tbl[[#All],[STAFF:]],$A23,Jun_Period_2_Tbl[[#All],[$ PAID PT]])+  SUMIF(Jul_Period_2_Tbl[[#All],[STAFF:]],$A23,Jul_Period_2_Tbl[[#All],[$ PAID PT]])+  SUMIF(Aug_Period_2_Tbl[[#All],[STAFF:]],$A23,Aug_Period_2_Tbl[[#All],[$ PAID PT]])+  SUMIF(Sep_Period_2_Tbl[[#All],[STAFF:]],$A23,Sep_Period_2_Tbl[[#All],[$ PAID PT]])+  SUMIF(Oct_Period_2_Tbl[[#All],[STAFF:]],$A23,Oct_Period_2_Tbl[[#All],[$ PAID PT]])+     SUMIF(Nov_Period_2_Tbl[[#All],[STAFF:]],$A23,Nov_Period_2_Tbl[[#All],[$ PAID PT]])+  SUMIF(Dec_Period_2_Tbl[[#All],[STAFF:]],$A23,Dec_Period_2_Tbl[[#All],[$ PAID PT]]))</f>
        <v>0</v>
      </c>
      <c r="L23" s="190">
        <f>(SUMIF(Jan_Period_1_Tbl[[#All],[STAFF:]],$A23,Jan_Period_1_Tbl[[#All],[$ PT COMM]])+
SUMIF(Feb_Period_1_Tbl[[#All],[STAFF:]],$A23,Feb_Period_1_Tbl[[#All],[$ PT COMM]])+SUMIF(Mar_Period_1_Tbl[[#All],[STAFF:]],$A23,Mar_Period_1_Tbl[[#All],[$ PT COMM]])+SUMIF(Apr_Period_1_Tbl[[#All],[STAFF:]],$A23,Apr_Period_1_Tbl[[#All],[$ PT COMM]])+   SUMIF(May_Period_1_Tbl[[#All],[STAFF:]],$A23,May_Period_1_Tbl[[#All],[$ PT COMM]])+   SUMIF(Jun_Period_1_Tbl[[#All],[STAFF:]],$A23,Jun_Period_1_Tbl[[#All],[$ PT COMM]])+  SUMIF(Jul_Period_1_Tbl[[#All],[STAFF:]],$A23,Jul_Period_1_Tbl[[#All],[$ PT COMM]])+  SUMIF(Aug_Period_1_Tbl[[#All],[STAFF:]],$A23,Aug_Period_1_Tbl[[#All],[$ PT COMM]])+  SUMIF(Sep_Period_1_Tbl[[#All],[STAFF:]],$A23,Sep_Period_1_Tbl[[#All],[$ PT COMM]])+  SUMIF(Oct_Period_1_Tbl[[#All],[STAFF:]],$A23,Oct_Period_1_Tbl[[#All],[$ PT COMM]])+     SUMIF(Nov_Period_1_Tbl[[#All],[STAFF:]],$A23,Nov_Period_1_Tbl[[#All],[$ PT COMM]])+  SUMIF(Dec_Period_1_Tbl[[#All],[STAFF:]],$A23,Dec_Period_1_Tbl[[#All],[$ PT COMM]]))+   (SUMIF(Jan_Period_2_Tbl[[#All],[STAFF:]],$A23,Jan_Period_2_Tbl[[#All],[$ PT COMM]])+
SUMIF(Feb_Period_2_Tbl[[#All],[STAFF:]],$A23,Feb_Period_2_Tbl[[#All],[$ PT COMM]])+SUMIF(Mar_Period_2_Tbl[[#All],[STAFF:]],$A23,Mar_Period_2_Tbl[[#All],[$ PT COMM]])+SUMIF(Apr_Period_2_Tbl[[#All],[STAFF:]],$A23,Apr_Period_2_Tbl[[#All],[$ PT COMM]])+   SUMIF(May_Period_2_Tbl[[#All],[STAFF:]],$A23,May_Period_2_Tbl[[#All],[$ PT COMM]])+   SUMIF(Jun_Period_2_Tbl[[#All],[STAFF:]],$A23,Jun_Period_2_Tbl[[#All],[$ PT COMM]])+  SUMIF(Jul_Period_2_Tbl[[#All],[STAFF:]],$A23,Jul_Period_2_Tbl[[#All],[$ PT COMM]])+  SUMIF(Aug_Period_2_Tbl[[#All],[STAFF:]],$A23,Aug_Period_2_Tbl[[#All],[$ PT COMM]])+  SUMIF(Sep_Period_2_Tbl[[#All],[STAFF:]],$A23,Sep_Period_2_Tbl[[#All],[$ PT COMM]])+  SUMIF(Oct_Period_2_Tbl[[#All],[STAFF:]],$A23,Oct_Period_2_Tbl[[#All],[$ PT COMM]])+     SUMIF(Nov_Period_2_Tbl[[#All],[STAFF:]],$A23,Nov_Period_2_Tbl[[#All],[$ PT COMM]])+  SUMIF(Dec_Period_2_Tbl[[#All],[STAFF:]],$A23,Dec_Period_2_Tbl[[#All],[$ PT COMM]]))</f>
        <v>0</v>
      </c>
      <c r="M23" s="190">
        <f>(SUMIF(Jan_Period_1_Tbl[[#All],[STAFF:]],$A23,Jan_Period_1_Tbl[[#All],[$ EFT COMM]])+
SUMIF(Feb_Period_1_Tbl[[#All],[STAFF:]],$A23,Feb_Period_1_Tbl[[#All],[$ EFT COMM]])+SUMIF(Mar_Period_1_Tbl[[#All],[STAFF:]],$A23,Mar_Period_1_Tbl[[#All],[$ EFT COMM]])+SUMIF(Apr_Period_1_Tbl[[#All],[STAFF:]],$A23,Apr_Period_1_Tbl[[#All],[$ EFT COMM]])+   SUMIF(May_Period_1_Tbl[[#All],[STAFF:]],$A23,May_Period_1_Tbl[[#All],[$ EFT COMM]])+   SUMIF(Jun_Period_1_Tbl[[#All],[STAFF:]],$A23,Jun_Period_1_Tbl[[#All],[$ EFT COMM]])+  SUMIF(Jul_Period_1_Tbl[[#All],[STAFF:]],$A23,Jul_Period_1_Tbl[[#All],[$ EFT COMM]])+  SUMIF(Aug_Period_1_Tbl[[#All],[STAFF:]],$A23,Aug_Period_1_Tbl[[#All],[$ EFT COMM]])+  SUMIF(Sep_Period_1_Tbl[[#All],[STAFF:]],$A23,Sep_Period_1_Tbl[[#All],[$ EFT COMM]])+  SUMIF(Oct_Period_1_Tbl[[#All],[STAFF:]],$A23,Oct_Period_1_Tbl[[#All],[$ EFT COMM]])+     SUMIF(Nov_Period_1_Tbl[[#All],[STAFF:]],$A23,Nov_Period_1_Tbl[[#All],[$ EFT COMM]])+  SUMIF(Dec_Period_1_Tbl[[#All],[STAFF:]],$A23,Dec_Period_1_Tbl[[#All],[$ EFT COMM]]))+   (SUMIF(Jan_Period_2_Tbl[[#All],[STAFF:]],$A23,Jan_Period_2_Tbl[[#All],[$ EFT COMM]])+
SUMIF(Feb_Period_2_Tbl[[#All],[STAFF:]],$A23,Feb_Period_2_Tbl[[#All],[$ EFT COMM]])+SUMIF(Mar_Period_2_Tbl[[#All],[STAFF:]],$A23,Mar_Period_2_Tbl[[#All],[$ EFT COMM]])+SUMIF(Apr_Period_2_Tbl[[#All],[STAFF:]],$A23,Apr_Period_2_Tbl[[#All],[$ EFT COMM]])+   SUMIF(May_Period_2_Tbl[[#All],[STAFF:]],$A23,May_Period_2_Tbl[[#All],[$ EFT COMM]])+   SUMIF(Jun_Period_2_Tbl[[#All],[STAFF:]],$A23,Jun_Period_2_Tbl[[#All],[$ EFT COMM]])+  SUMIF(Jul_Period_2_Tbl[[#All],[STAFF:]],$A23,Jul_Period_2_Tbl[[#All],[$ EFT COMM]])+  SUMIF(Aug_Period_2_Tbl[[#All],[STAFF:]],$A23,Aug_Period_2_Tbl[[#All],[$ EFT COMM]])+  SUMIF(Sep_Period_2_Tbl[[#All],[STAFF:]],$A23,Sep_Period_2_Tbl[[#All],[$ EFT COMM]])+  SUMIF(Oct_Period_2_Tbl[[#All],[STAFF:]],$A23,Oct_Period_2_Tbl[[#All],[$ EFT COMM]])+     SUMIF(Nov_Period_2_Tbl[[#All],[STAFF:]],$A23,Nov_Period_2_Tbl[[#All],[$ EFT COMM]])+  SUMIF(Dec_Period_2_Tbl[[#All],[STAFF:]],$A23,Dec_Period_2_Tbl[[#All],[$ EFT COMM]]))</f>
        <v>0</v>
      </c>
      <c r="N23" s="190">
        <f>(SUMIF(Jan_Period_1_Tbl[[#All],[STAFF:]],$A23,Jan_Period_1_Tbl[[#All],[$ CLASS PAY]])+
SUMIF(Feb_Period_1_Tbl[[#All],[STAFF:]],$A23,Feb_Period_1_Tbl[[#All],[$ CLASS PAY]])+SUMIF(Mar_Period_1_Tbl[[#All],[STAFF:]],$A23,Mar_Period_1_Tbl[[#All],[$ CLASS PAY]])+SUMIF(Apr_Period_1_Tbl[[#All],[STAFF:]],$A23,Apr_Period_1_Tbl[[#All],[$ CLASS PAY]])+   SUMIF(May_Period_1_Tbl[[#All],[STAFF:]],$A23,May_Period_1_Tbl[[#All],[$ CLASS PAY]])+   SUMIF(Jun_Period_1_Tbl[[#All],[STAFF:]],$A23,Jun_Period_1_Tbl[[#All],[$ CLASS PAY]])+  SUMIF(Jul_Period_1_Tbl[[#All],[STAFF:]],$A23,Jul_Period_1_Tbl[[#All],[$ CLASS PAY]])+  SUMIF(Aug_Period_1_Tbl[[#All],[STAFF:]],$A23,Aug_Period_1_Tbl[[#All],[$ CLASS PAY]])+  SUMIF(Sep_Period_1_Tbl[[#All],[STAFF:]],$A23,Sep_Period_1_Tbl[[#All],[$ CLASS PAY]])+  SUMIF(Oct_Period_1_Tbl[[#All],[STAFF:]],$A23,Oct_Period_1_Tbl[[#All],[$ CLASS PAY]])+     SUMIF(Nov_Period_1_Tbl[[#All],[STAFF:]],$A23,Nov_Period_1_Tbl[[#All],[$ CLASS PAY]])+  SUMIF(Dec_Period_1_Tbl[[#All],[STAFF:]],$A23,Dec_Period_1_Tbl[[#All],[$ CLASS PAY]]))+   (SUMIF(Jan_Period_2_Tbl[[#All],[STAFF:]],$A23,Jan_Period_2_Tbl[[#All],[$ CLASS PAY]])+
SUMIF(Feb_Period_2_Tbl[[#All],[STAFF:]],$A23,Feb_Period_2_Tbl[[#All],[$ CLASS PAY]])+SUMIF(Mar_Period_2_Tbl[[#All],[STAFF:]],$A23,Mar_Period_2_Tbl[[#All],[$ CLASS PAY]])+SUMIF(Apr_Period_2_Tbl[[#All],[STAFF:]],$A23,Apr_Period_2_Tbl[[#All],[$ CLASS PAY]])+   SUMIF(May_Period_2_Tbl[[#All],[STAFF:]],$A23,May_Period_2_Tbl[[#All],[$ CLASS PAY]])+   SUMIF(Jun_Period_2_Tbl[[#All],[STAFF:]],$A23,Jun_Period_2_Tbl[[#All],[$ CLASS PAY]])+  SUMIF(Jul_Period_2_Tbl[[#All],[STAFF:]],$A23,Jul_Period_2_Tbl[[#All],[$ CLASS PAY]])+  SUMIF(Aug_Period_2_Tbl[[#All],[STAFF:]],$A23,Aug_Period_2_Tbl[[#All],[$ CLASS PAY]])+  SUMIF(Sep_Period_2_Tbl[[#All],[STAFF:]],$A23,Sep_Period_2_Tbl[[#All],[$ CLASS PAY]])+  SUMIF(Oct_Period_2_Tbl[[#All],[STAFF:]],$A23,Oct_Period_2_Tbl[[#All],[$ CLASS PAY]])+     SUMIF(Nov_Period_2_Tbl[[#All],[STAFF:]],$A23,Nov_Period_2_Tbl[[#All],[$ CLASS PAY]])+  SUMIF(Dec_Period_2_Tbl[[#All],[STAFF:]],$A23,Dec_Period_2_Tbl[[#All],[$ CLASS PAY]]))</f>
        <v>0</v>
      </c>
      <c r="O23" s="191">
        <f>(SUMIF(Jan_Period_1_Tbl[[#All],[STAFF:]],$A23,Jan_Period_1_Tbl[[#All],[$ BONUS PAY]])+
SUMIF(Feb_Period_1_Tbl[[#All],[STAFF:]],$A23,Feb_Period_1_Tbl[[#All],[$ BONUS PAY]])+SUMIF(Mar_Period_1_Tbl[[#All],[STAFF:]],$A23,Mar_Period_1_Tbl[[#All],[$ BONUS PAY]])+SUMIF(Apr_Period_1_Tbl[[#All],[STAFF:]],$A23,Apr_Period_1_Tbl[[#All],[$ BONUS PAY]])+   SUMIF(May_Period_1_Tbl[[#All],[STAFF:]],$A23,May_Period_1_Tbl[[#All],[$ BONUS PAY]])+   SUMIF(Jun_Period_1_Tbl[[#All],[STAFF:]],$A23,Jun_Period_1_Tbl[[#All],[$ BONUS PAY]])+  SUMIF(Jul_Period_1_Tbl[[#All],[STAFF:]],$A23,Jul_Period_1_Tbl[[#All],[$ BONUS PAY]])+  SUMIF(Aug_Period_1_Tbl[[#All],[STAFF:]],$A23,Aug_Period_1_Tbl[[#All],[$ BONUS PAY]])+  SUMIF(Sep_Period_1_Tbl[[#All],[STAFF:]],$A23,Sep_Period_1_Tbl[[#All],[$ BONUS PAY]])+  SUMIF(Oct_Period_1_Tbl[[#All],[STAFF:]],$A23,Oct_Period_1_Tbl[[#All],[$ BONUS PAY]])+     SUMIF(Nov_Period_1_Tbl[[#All],[STAFF:]],$A23,Nov_Period_1_Tbl[[#All],[$ BONUS PAY]])+  SUMIF(Dec_Period_1_Tbl[[#All],[STAFF:]],$A23,Dec_Period_1_Tbl[[#All],[$ BONUS PAY]]))+   (SUMIF(Jan_Period_2_Tbl[[#All],[STAFF:]],$A23,Jan_Period_2_Tbl[[#All],[$ BONUS PAY]])+
SUMIF(Feb_Period_2_Tbl[[#All],[STAFF:]],$A23,Feb_Period_2_Tbl[[#All],[$ BONUS PAY]])+SUMIF(Mar_Period_2_Tbl[[#All],[STAFF:]],$A23,Mar_Period_2_Tbl[[#All],[$ BONUS PAY]])+SUMIF(Apr_Period_2_Tbl[[#All],[STAFF:]],$A23,Apr_Period_2_Tbl[[#All],[$ BONUS PAY]])+   SUMIF(May_Period_2_Tbl[[#All],[STAFF:]],$A23,May_Period_2_Tbl[[#All],[$ BONUS PAY]])+   SUMIF(Jun_Period_2_Tbl[[#All],[STAFF:]],$A23,Jun_Period_2_Tbl[[#All],[$ BONUS PAY]])+  SUMIF(Jul_Period_2_Tbl[[#All],[STAFF:]],$A23,Jul_Period_2_Tbl[[#All],[$ BONUS PAY]])+  SUMIF(Aug_Period_2_Tbl[[#All],[STAFF:]],$A23,Aug_Period_2_Tbl[[#All],[$ BONUS PAY]])+  SUMIF(Sep_Period_2_Tbl[[#All],[STAFF:]],$A23,Sep_Period_2_Tbl[[#All],[$ BONUS PAY]])+  SUMIF(Oct_Period_2_Tbl[[#All],[STAFF:]],$A23,Oct_Period_2_Tbl[[#All],[$ BONUS PAY]])+     SUMIF(Nov_Period_2_Tbl[[#All],[STAFF:]],$A23,Nov_Period_2_Tbl[[#All],[$ BONUS PAY]])+  SUMIF(Dec_Period_2_Tbl[[#All],[STAFF:]],$A23,Dec_Period_2_Tbl[[#All],[$ BONUS PAY]]))</f>
        <v>0</v>
      </c>
      <c r="P23" s="179">
        <f t="shared" si="0"/>
        <v>0</v>
      </c>
      <c r="Q23" s="149"/>
      <c r="R23" s="153">
        <f>(SUMIF(Jan_Period_1_Tbl[[#All],[STAFF:]],$A23,Jan_Period_1_Tbl[[#All],['# POINTS EARNED]])+
SUMIF(Feb_Period_1_Tbl[[#All],[STAFF:]],$A23,Feb_Period_1_Tbl[[#All],['# POINTS EARNED]])+SUMIF(Mar_Period_1_Tbl[[#All],[STAFF:]],$A23,Mar_Period_1_Tbl[[#All],['# POINTS EARNED]])+SUMIF(Apr_Period_1_Tbl[[#All],[STAFF:]],$A23,Apr_Period_1_Tbl[[#All],['# POINTS EARNED]])+   SUMIF(May_Period_1_Tbl[[#All],[STAFF:]],$A23,May_Period_1_Tbl[[#All],['# POINTS EARNED]])+   SUMIF(Jun_Period_1_Tbl[[#All],[STAFF:]],$A23,Jun_Period_1_Tbl[[#All],['# POINTS EARNED]])+  SUMIF(Jul_Period_1_Tbl[[#All],[STAFF:]],$A23,Jul_Period_1_Tbl[[#All],['# POINTS EARNED]])+  SUMIF(Aug_Period_1_Tbl[[#All],[STAFF:]],$A23,Aug_Period_1_Tbl[[#All],['# POINTS EARNED]])+  SUMIF(Sep_Period_1_Tbl[[#All],[STAFF:]],$A23,Sep_Period_1_Tbl[[#All],['# POINTS EARNED]])+  SUMIF(Oct_Period_1_Tbl[[#All],[STAFF:]],$A23,Oct_Period_1_Tbl[[#All],['# POINTS EARNED]])+     SUMIF(Nov_Period_1_Tbl[[#All],[STAFF:]],$A23,Nov_Period_1_Tbl[[#All],['# POINTS EARNED]])+  SUMIF(Dec_Period_1_Tbl[[#All],[STAFF:]],$A23,Dec_Period_1_Tbl[[#All],['# POINTS EARNED]]))+   (SUMIF(Jan_Period_2_Tbl[[#All],[STAFF:]],$A23,Jan_Period_2_Tbl[[#All],['# POINTS EARNED]])+
SUMIF(Feb_Period_2_Tbl[[#All],[STAFF:]],$A23,Feb_Period_2_Tbl[[#All],['# POINTS EARNED]])+SUMIF(Mar_Period_2_Tbl[[#All],[STAFF:]],$A23,Mar_Period_2_Tbl[[#All],['# POINTS EARNED]])+SUMIF(Apr_Period_2_Tbl[[#All],[STAFF:]],$A23,Apr_Period_2_Tbl[[#All],['# POINTS EARNED]])+   SUMIF(May_Period_2_Tbl[[#All],[STAFF:]],$A23,May_Period_2_Tbl[[#All],['# POINTS EARNED]])+   SUMIF(Jun_Period_2_Tbl[[#All],[STAFF:]],$A23,Jun_Period_2_Tbl[[#All],['# POINTS EARNED]])+  SUMIF(Jul_Period_2_Tbl[[#All],[STAFF:]],$A23,Jul_Period_2_Tbl[[#All],['# POINTS EARNED]])+  SUMIF(Aug_Period_2_Tbl[[#All],[STAFF:]],$A23,Aug_Period_2_Tbl[[#All],['# POINTS EARNED]])+  SUMIF(Sep_Period_2_Tbl[[#All],[STAFF:]],$A23,Sep_Period_2_Tbl[[#All],['# POINTS EARNED]])+  SUMIF(Oct_Period_2_Tbl[[#All],[STAFF:]],$A23,Oct_Period_2_Tbl[[#All],['# POINTS EARNED]])+     SUMIF(Nov_Period_2_Tbl[[#All],[STAFF:]],$A23,Nov_Period_2_Tbl[[#All],['# POINTS EARNED]])+  SUMIF(Dec_Period_2_Tbl[[#All],[STAFF:]],$A23,Dec_Period_2_Tbl[[#All],['# POINTS EARNED]]))</f>
        <v>0</v>
      </c>
      <c r="S23" s="153">
        <f>(SUMIF(Jan_Period_1_Tbl[[#All],[STAFF:]],$A23,Jan_Period_1_Tbl[[#All],['# POINTS USED]])+
SUMIF(Feb_Period_1_Tbl[[#All],[STAFF:]],$A23,Feb_Period_1_Tbl[[#All],['# POINTS USED]])+SUMIF(Mar_Period_1_Tbl[[#All],[STAFF:]],$A23,Mar_Period_1_Tbl[[#All],['# POINTS USED]])+SUMIF(Apr_Period_1_Tbl[[#All],[STAFF:]],$A23,Apr_Period_1_Tbl[[#All],['# POINTS USED]])+   SUMIF(May_Period_1_Tbl[[#All],[STAFF:]],$A23,May_Period_1_Tbl[[#All],['# POINTS USED]])+   SUMIF(Jun_Period_1_Tbl[[#All],[STAFF:]],$A23,Jun_Period_1_Tbl[[#All],['# POINTS USED]])+  SUMIF(Jul_Period_1_Tbl[[#All],[STAFF:]],$A23,Jul_Period_1_Tbl[[#All],['# POINTS USED]])+  SUMIF(Aug_Period_1_Tbl[[#All],[STAFF:]],$A23,Aug_Period_1_Tbl[[#All],['# POINTS USED]])+  SUMIF(Sep_Period_1_Tbl[[#All],[STAFF:]],$A23,Sep_Period_1_Tbl[[#All],['# POINTS USED]])+  SUMIF(Oct_Period_1_Tbl[[#All],[STAFF:]],$A23,Oct_Period_1_Tbl[[#All],['# POINTS USED]])+     SUMIF(Nov_Period_1_Tbl[[#All],[STAFF:]],$A23,Nov_Period_1_Tbl[[#All],['# POINTS USED]])+  SUMIF(Dec_Period_1_Tbl[[#All],[STAFF:]],$A23,Dec_Period_1_Tbl[[#All],['# POINTS USED]]))+   (SUMIF(Jan_Period_2_Tbl[[#All],[STAFF:]],$A23,Jan_Period_2_Tbl[[#All],['# POINTS USED]])+
SUMIF(Feb_Period_2_Tbl[[#All],[STAFF:]],$A23,Feb_Period_2_Tbl[[#All],['# POINTS USED]])+SUMIF(Mar_Period_2_Tbl[[#All],[STAFF:]],$A23,Mar_Period_2_Tbl[[#All],['# POINTS USED]])+SUMIF(Apr_Period_2_Tbl[[#All],[STAFF:]],$A23,Apr_Period_2_Tbl[[#All],['# POINTS USED]])+   SUMIF(May_Period_2_Tbl[[#All],[STAFF:]],$A23,May_Period_2_Tbl[[#All],['# POINTS USED]])+   SUMIF(Jun_Period_2_Tbl[[#All],[STAFF:]],$A23,Jun_Period_2_Tbl[[#All],['# POINTS USED]])+  SUMIF(Jul_Period_2_Tbl[[#All],[STAFF:]],$A23,Jul_Period_2_Tbl[[#All],['# POINTS USED]])+  SUMIF(Aug_Period_2_Tbl[[#All],[STAFF:]],$A23,Aug_Period_2_Tbl[[#All],['# POINTS USED]])+  SUMIF(Sep_Period_2_Tbl[[#All],[STAFF:]],$A23,Sep_Period_2_Tbl[[#All],['# POINTS USED]])+  SUMIF(Oct_Period_2_Tbl[[#All],[STAFF:]],$A23,Oct_Period_2_Tbl[[#All],['# POINTS USED]])+     SUMIF(Nov_Period_2_Tbl[[#All],[STAFF:]],$A23,Nov_Period_2_Tbl[[#All],['# POINTS USED]])+  SUMIF(Dec_Period_2_Tbl[[#All],[STAFF:]],$A23,Dec_Period_2_Tbl[[#All],['# POINTS USED]]))</f>
        <v>0</v>
      </c>
      <c r="T23" s="153">
        <f>(SUMIF(Jan_Period_1_Tbl[[#All],[STAFF:]],$A23,Jan_Period_1_Tbl[[#All],['# CLASSES LEAD]])+
SUMIF(Feb_Period_1_Tbl[[#All],[STAFF:]],$A23,Feb_Period_1_Tbl[[#All],['# CLASSES LEAD]])+SUMIF(Mar_Period_1_Tbl[[#All],[STAFF:]],$A23,Mar_Period_1_Tbl[[#All],['# CLASSES LEAD]])+SUMIF(Apr_Period_1_Tbl[[#All],[STAFF:]],$A23,Apr_Period_1_Tbl[[#All],['# CLASSES LEAD]])+   SUMIF(May_Period_1_Tbl[[#All],[STAFF:]],$A23,May_Period_1_Tbl[[#All],['# CLASSES LEAD]])+   SUMIF(Jun_Period_1_Tbl[[#All],[STAFF:]],$A23,Jun_Period_1_Tbl[[#All],['# CLASSES LEAD]])+  SUMIF(Jul_Period_1_Tbl[[#All],[STAFF:]],$A23,Jul_Period_1_Tbl[[#All],['# CLASSES LEAD]])+  SUMIF(Aug_Period_1_Tbl[[#All],[STAFF:]],$A23,Aug_Period_1_Tbl[[#All],['# CLASSES LEAD]])+  SUMIF(Sep_Period_1_Tbl[[#All],[STAFF:]],$A23,Sep_Period_1_Tbl[[#All],['# CLASSES LEAD]])+  SUMIF(Oct_Period_1_Tbl[[#All],[STAFF:]],$A23,Oct_Period_1_Tbl[[#All],['# CLASSES LEAD]])+     SUMIF(Nov_Period_1_Tbl[[#All],[STAFF:]],$A23,Nov_Period_1_Tbl[[#All],['# CLASSES LEAD]])+  SUMIF(Dec_Period_1_Tbl[[#All],[STAFF:]],$A23,Dec_Period_1_Tbl[[#All],['# CLASSES LEAD]]))+   (SUMIF(Jan_Period_2_Tbl[[#All],[STAFF:]],$A23,Jan_Period_2_Tbl[[#All],['# CLASSES LEAD]])+
SUMIF(Feb_Period_2_Tbl[[#All],[STAFF:]],$A23,Feb_Period_2_Tbl[[#All],['# CLASSES LEAD]])+SUMIF(Mar_Period_2_Tbl[[#All],[STAFF:]],$A23,Mar_Period_2_Tbl[[#All],['# CLASSES LEAD]])+SUMIF(Apr_Period_2_Tbl[[#All],[STAFF:]],$A23,Apr_Period_2_Tbl[[#All],['# CLASSES LEAD]])+   SUMIF(May_Period_2_Tbl[[#All],[STAFF:]],$A23,May_Period_2_Tbl[[#All],['# CLASSES LEAD]])+   SUMIF(Jun_Period_2_Tbl[[#All],[STAFF:]],$A23,Jun_Period_2_Tbl[[#All],['# CLASSES LEAD]])+  SUMIF(Jul_Period_2_Tbl[[#All],[STAFF:]],$A23,Jul_Period_2_Tbl[[#All],['# CLASSES LEAD]])+  SUMIF(Aug_Period_2_Tbl[[#All],[STAFF:]],$A23,Aug_Period_2_Tbl[[#All],['# CLASSES LEAD]])+  SUMIF(Sep_Period_2_Tbl[[#All],[STAFF:]],$A23,Sep_Period_2_Tbl[[#All],['# CLASSES LEAD]])+  SUMIF(Oct_Period_2_Tbl[[#All],[STAFF:]],$A23,Oct_Period_2_Tbl[[#All],['# CLASSES LEAD]])+     SUMIF(Nov_Period_2_Tbl[[#All],[STAFF:]],$A23,Nov_Period_2_Tbl[[#All],['# CLASSES LEAD]])+  SUMIF(Dec_Period_2_Tbl[[#All],[STAFF:]],$A23,Dec_Period_2_Tbl[[#All],['# CLASSES LEAD]]))</f>
        <v>0</v>
      </c>
      <c r="U23" s="153">
        <f>(SUMIF(Jan_Period_1_Tbl[[#All],[STAFF:]],$A23,Jan_Period_1_Tbl[[#All],['# CLASSES SHOW]])+
SUMIF(Feb_Period_1_Tbl[[#All],[STAFF:]],$A23,Feb_Period_1_Tbl[[#All],['# CLASSES SHOW]])+SUMIF(Mar_Period_1_Tbl[[#All],[STAFF:]],$A23,Mar_Period_1_Tbl[[#All],['# CLASSES SHOW]])+SUMIF(Apr_Period_1_Tbl[[#All],[STAFF:]],$A23,Apr_Period_1_Tbl[[#All],['# CLASSES SHOW]])+   SUMIF(May_Period_1_Tbl[[#All],[STAFF:]],$A23,May_Period_1_Tbl[[#All],['# CLASSES SHOW]])+   SUMIF(Jun_Period_1_Tbl[[#All],[STAFF:]],$A23,Jun_Period_1_Tbl[[#All],['# CLASSES SHOW]])+  SUMIF(Jul_Period_1_Tbl[[#All],[STAFF:]],$A23,Jul_Period_1_Tbl[[#All],['# CLASSES SHOW]])+  SUMIF(Aug_Period_1_Tbl[[#All],[STAFF:]],$A23,Aug_Period_1_Tbl[[#All],['# CLASSES SHOW]])+  SUMIF(Sep_Period_1_Tbl[[#All],[STAFF:]],$A23,Sep_Period_1_Tbl[[#All],['# CLASSES SHOW]])+  SUMIF(Oct_Period_1_Tbl[[#All],[STAFF:]],$A23,Oct_Period_1_Tbl[[#All],['# CLASSES SHOW]])+     SUMIF(Nov_Period_1_Tbl[[#All],[STAFF:]],$A23,Nov_Period_1_Tbl[[#All],['# CLASSES SHOW]])+  SUMIF(Dec_Period_1_Tbl[[#All],[STAFF:]],$A23,Dec_Period_1_Tbl[[#All],['# CLASSES SHOW]]))+   (SUMIF(Jan_Period_2_Tbl[[#All],[STAFF:]],$A23,Jan_Period_2_Tbl[[#All],['# CLASSES SHOW]])+
SUMIF(Feb_Period_2_Tbl[[#All],[STAFF:]],$A23,Feb_Period_2_Tbl[[#All],['# CLASSES SHOW]])+SUMIF(Mar_Period_2_Tbl[[#All],[STAFF:]],$A23,Mar_Period_2_Tbl[[#All],['# CLASSES SHOW]])+SUMIF(Apr_Period_2_Tbl[[#All],[STAFF:]],$A23,Apr_Period_2_Tbl[[#All],['# CLASSES SHOW]])+   SUMIF(May_Period_2_Tbl[[#All],[STAFF:]],$A23,May_Period_2_Tbl[[#All],['# CLASSES SHOW]])+   SUMIF(Jun_Period_2_Tbl[[#All],[STAFF:]],$A23,Jun_Period_2_Tbl[[#All],['# CLASSES SHOW]])+  SUMIF(Jul_Period_2_Tbl[[#All],[STAFF:]],$A23,Jul_Period_2_Tbl[[#All],['# CLASSES SHOW]])+  SUMIF(Aug_Period_2_Tbl[[#All],[STAFF:]],$A23,Aug_Period_2_Tbl[[#All],['# CLASSES SHOW]])+  SUMIF(Sep_Period_2_Tbl[[#All],[STAFF:]],$A23,Sep_Period_2_Tbl[[#All],['# CLASSES SHOW]])+  SUMIF(Oct_Period_2_Tbl[[#All],[STAFF:]],$A23,Oct_Period_2_Tbl[[#All],['# CLASSES SHOW]])+     SUMIF(Nov_Period_2_Tbl[[#All],[STAFF:]],$A23,Nov_Period_2_Tbl[[#All],['# CLASSES SHOW]])+  SUMIF(Dec_Period_2_Tbl[[#All],[STAFF:]],$A23,Dec_Period_2_Tbl[[#All],['# CLASSES SHOW]]))</f>
        <v>0</v>
      </c>
      <c r="V23" s="156"/>
      <c r="W23" s="156"/>
      <c r="X23" s="155">
        <f t="shared" si="1"/>
        <v>0</v>
      </c>
      <c r="Y23" s="155">
        <f t="shared" si="2"/>
        <v>0</v>
      </c>
      <c r="Z23" s="155">
        <f t="shared" si="3"/>
        <v>0</v>
      </c>
      <c r="AA23" s="155">
        <f t="shared" si="4"/>
        <v>0</v>
      </c>
      <c r="AB23" s="155">
        <f t="shared" si="5"/>
        <v>0</v>
      </c>
      <c r="AC23" s="155">
        <f t="shared" si="6"/>
        <v>0</v>
      </c>
      <c r="AD23" s="155">
        <f t="shared" si="7"/>
        <v>0</v>
      </c>
      <c r="AE23" s="149"/>
      <c r="AF23" s="149"/>
      <c r="AG23" s="149"/>
      <c r="AH23" s="149"/>
      <c r="AJ23" s="75" t="str">
        <f t="shared" si="8"/>
        <v>zBlank</v>
      </c>
      <c r="AK23" s="210"/>
      <c r="AL23" s="168">
        <f>IFERROR(VLOOKUP(B23,List!$A:$B,2,FALSE),-1)</f>
        <v>-1</v>
      </c>
      <c r="AM23" s="168">
        <f>IFERROR(VLOOKUP(C23,List!$A:$B,2,FALSE),-1)</f>
        <v>-1</v>
      </c>
    </row>
    <row r="24" spans="1:39" ht="15" hidden="1" customHeight="1" x14ac:dyDescent="0.25">
      <c r="A24" s="20"/>
      <c r="B24" s="186"/>
      <c r="C24" s="186"/>
      <c r="D24" s="187"/>
      <c r="E24" s="188">
        <f>(SUMIF(Jan_Period_1_Tbl[[#All],[STAFF:]],$A24,Jan_Period_1_Tbl[[#All],['# PTO USED]])+
SUMIF(Feb_Period_1_Tbl[[#All],[STAFF:]],$A24,Feb_Period_1_Tbl[[#All],['# PTO USED]])+SUMIF(Mar_Period_1_Tbl[[#All],[STAFF:]],$A24,Mar_Period_1_Tbl[[#All],['# PTO USED]])+SUMIF(Apr_Period_1_Tbl[[#All],[STAFF:]],$A24,Apr_Period_1_Tbl[[#All],['# PTO USED]])+   SUMIF(May_Period_1_Tbl[[#All],[STAFF:]],$A24,May_Period_1_Tbl[[#All],['# PTO USED]])+   SUMIF(Jun_Period_1_Tbl[[#All],[STAFF:]],$A24,Jun_Period_1_Tbl[[#All],['# PTO USED]])+  SUMIF(Jul_Period_1_Tbl[[#All],[STAFF:]],$A24,Jul_Period_1_Tbl[[#All],['# PTO USED]])+  SUMIF(Aug_Period_1_Tbl[[#All],[STAFF:]],$A24,Aug_Period_1_Tbl[[#All],['# PTO USED]])+  SUMIF(Sep_Period_1_Tbl[[#All],[STAFF:]],$A24,Sep_Period_1_Tbl[[#All],['# PTO USED]])+  SUMIF(Oct_Period_1_Tbl[[#All],[STAFF:]],$A24,Oct_Period_1_Tbl[[#All],['# PTO USED]])+     SUMIF(Nov_Period_1_Tbl[[#All],[STAFF:]],$A24,Nov_Period_1_Tbl[[#All],['# PTO USED]])+  SUMIF(Dec_Period_1_Tbl[[#All],[STAFF:]],$A24,Dec_Period_1_Tbl[[#All],['# PTO USED]]))+   (SUMIF(Jan_Period_2_Tbl[[#All],[STAFF:]],$A24,Jan_Period_2_Tbl[[#All],['# PTO USED]])+
SUMIF(Feb_Period_2_Tbl[[#All],[STAFF:]],$A24,Feb_Period_2_Tbl[[#All],['# PTO USED]])+SUMIF(Mar_Period_2_Tbl[[#All],[STAFF:]],$A24,Mar_Period_2_Tbl[[#All],['# PTO USED]])+SUMIF(Apr_Period_2_Tbl[[#All],[STAFF:]],$A24,Apr_Period_2_Tbl[[#All],['# PTO USED]])+   SUMIF(May_Period_2_Tbl[[#All],[STAFF:]],$A24,May_Period_2_Tbl[[#All],['# PTO USED]])+   SUMIF(Jun_Period_2_Tbl[[#All],[STAFF:]],$A24,Jun_Period_2_Tbl[[#All],['# PTO USED]])+  SUMIF(Jul_Period_2_Tbl[[#All],[STAFF:]],$A24,Jul_Period_2_Tbl[[#All],['# PTO USED]])+  SUMIF(Aug_Period_2_Tbl[[#All],[STAFF:]],$A24,Aug_Period_2_Tbl[[#All],['# PTO USED]])+  SUMIF(Sep_Period_2_Tbl[[#All],[STAFF:]],$A24,Sep_Period_2_Tbl[[#All],['# PTO USED]])+  SUMIF(Oct_Period_2_Tbl[[#All],[STAFF:]],$A24,Oct_Period_2_Tbl[[#All],['# PTO USED]])+     SUMIF(Nov_Period_2_Tbl[[#All],[STAFF:]],$A24,Nov_Period_2_Tbl[[#All],['# PTO USED]])+  SUMIF(Dec_Period_2_Tbl[[#All],[STAFF:]],$A24,Dec_Period_2_Tbl[[#All],['# PTO USED]]))</f>
        <v>0</v>
      </c>
      <c r="F24" s="189">
        <f>(SUMIF(Jan_Period_1_Tbl[[#All],[STAFF:]],$A24,Jan_Period_1_Tbl[[#All],['# HRS WORKED]])+
SUMIF(Feb_Period_1_Tbl[[#All],[STAFF:]],$A24,Feb_Period_1_Tbl[[#All],['# HRS WORKED]])+SUMIF(Mar_Period_1_Tbl[[#All],[STAFF:]],$A24,Mar_Period_1_Tbl[[#All],['# HRS WORKED]])+SUMIF(Apr_Period_1_Tbl[[#All],[STAFF:]],$A24,Apr_Period_1_Tbl[[#All],['# HRS WORKED]])+   SUMIF(May_Period_1_Tbl[[#All],[STAFF:]],$A24,May_Period_1_Tbl[[#All],['# HRS WORKED]])+   SUMIF(Jun_Period_1_Tbl[[#All],[STAFF:]],$A24,Jun_Period_1_Tbl[[#All],['# HRS WORKED]])+  SUMIF(Jul_Period_1_Tbl[[#All],[STAFF:]],$A24,Jul_Period_1_Tbl[[#All],['# HRS WORKED]])+  SUMIF(Aug_Period_1_Tbl[[#All],[STAFF:]],$A24,Aug_Period_1_Tbl[[#All],['# HRS WORKED]])+  SUMIF(Sep_Period_1_Tbl[[#All],[STAFF:]],$A24,Sep_Period_1_Tbl[[#All],['# HRS WORKED]])+  SUMIF(Oct_Period_1_Tbl[[#All],[STAFF:]],$A24,Oct_Period_1_Tbl[[#All],['# HRS WORKED]])+     SUMIF(Nov_Period_1_Tbl[[#All],[STAFF:]],$A24,Nov_Period_1_Tbl[[#All],['# HRS WORKED]])+  SUMIF(Dec_Period_1_Tbl[[#All],[STAFF:]],$A24,Dec_Period_1_Tbl[[#All],['# HRS WORKED]]))+   (SUMIF(Jan_Period_2_Tbl[[#All],[STAFF:]],$A24,Jan_Period_2_Tbl[[#All],['# HRS WORKED]])+
SUMIF(Feb_Period_2_Tbl[[#All],[STAFF:]],$A24,Feb_Period_2_Tbl[[#All],['# HRS WORKED]])+SUMIF(Mar_Period_2_Tbl[[#All],[STAFF:]],$A24,Mar_Period_2_Tbl[[#All],['# HRS WORKED]])+SUMIF(Apr_Period_2_Tbl[[#All],[STAFF:]],$A24,Apr_Period_2_Tbl[[#All],['# HRS WORKED]])+   SUMIF(May_Period_2_Tbl[[#All],[STAFF:]],$A24,May_Period_2_Tbl[[#All],['# HRS WORKED]])+   SUMIF(Jun_Period_2_Tbl[[#All],[STAFF:]],$A24,Jun_Period_2_Tbl[[#All],['# HRS WORKED]])+  SUMIF(Jul_Period_2_Tbl[[#All],[STAFF:]],$A24,Jul_Period_2_Tbl[[#All],['# HRS WORKED]])+  SUMIF(Aug_Period_2_Tbl[[#All],[STAFF:]],$A24,Aug_Period_2_Tbl[[#All],['# HRS WORKED]])+  SUMIF(Sep_Period_2_Tbl[[#All],[STAFF:]],$A24,Sep_Period_2_Tbl[[#All],['# HRS WORKED]])+  SUMIF(Oct_Period_2_Tbl[[#All],[STAFF:]],$A24,Oct_Period_2_Tbl[[#All],['# HRS WORKED]])+     SUMIF(Nov_Period_2_Tbl[[#All],[STAFF:]],$A24,Nov_Period_2_Tbl[[#All],['# HRS WORKED]])+  SUMIF(Dec_Period_2_Tbl[[#All],[STAFF:]],$A24,Dec_Period_2_Tbl[[#All],['# HRS WORKED]]))</f>
        <v>0</v>
      </c>
      <c r="G24" s="190">
        <f>(SUMIF(Jan_Period_1_Tbl[[#All],[STAFF:]],$A24,Jan_Period_1_Tbl[[#All],[$ Hourly WAGES]])+
SUMIF(Feb_Period_1_Tbl[[#All],[STAFF:]],$A24,Feb_Period_1_Tbl[[#All],[$ Hourly WAGES]])+SUMIF(Mar_Period_1_Tbl[[#All],[STAFF:]],$A24,Mar_Period_1_Tbl[[#All],[$ Hourly WAGES]])+SUMIF(Apr_Period_1_Tbl[[#All],[STAFF:]],$A24,Apr_Period_1_Tbl[[#All],[$ Hourly WAGES]])+   SUMIF(May_Period_1_Tbl[[#All],[STAFF:]],$A24,May_Period_1_Tbl[[#All],[$ Hourly WAGES]])+   SUMIF(Jun_Period_1_Tbl[[#All],[STAFF:]],$A24,Jun_Period_1_Tbl[[#All],[$ Hourly WAGES]])+  SUMIF(Jul_Period_1_Tbl[[#All],[STAFF:]],$A24,Jul_Period_1_Tbl[[#All],[$ Hourly WAGES]])+  SUMIF(Aug_Period_1_Tbl[[#All],[STAFF:]],$A24,Aug_Period_1_Tbl[[#All],[$ Hourly WAGES]])+  SUMIF(Sep_Period_1_Tbl[[#All],[STAFF:]],$A24,Sep_Period_1_Tbl[[#All],[$ Hourly WAGES]])+  SUMIF(Oct_Period_1_Tbl[[#All],[STAFF:]],$A24,Oct_Period_1_Tbl[[#All],[$ Hourly WAGES]])+     SUMIF(Nov_Period_1_Tbl[[#All],[STAFF:]],$A24,Nov_Period_1_Tbl[[#All],[$ Hourly WAGES]])+  SUMIF(Dec_Period_1_Tbl[[#All],[STAFF:]],$A24,Dec_Period_1_Tbl[[#All],[$ Hourly WAGES]]))+   (SUMIF(Jan_Period_2_Tbl[[#All],[STAFF:]],$A24,Jan_Period_2_Tbl[[#All],[$ Hourly WAGES]])+
SUMIF(Feb_Period_2_Tbl[[#All],[STAFF:]],$A24,Feb_Period_2_Tbl[[#All],[$ Hourly WAGES]])+SUMIF(Mar_Period_2_Tbl[[#All],[STAFF:]],$A24,Mar_Period_2_Tbl[[#All],[$ Hourly WAGES]])+SUMIF(Apr_Period_2_Tbl[[#All],[STAFF:]],$A24,Apr_Period_2_Tbl[[#All],[$ Hourly WAGES]])+   SUMIF(May_Period_2_Tbl[[#All],[STAFF:]],$A24,May_Period_2_Tbl[[#All],[$ Hourly WAGES]])+   SUMIF(Jun_Period_2_Tbl[[#All],[STAFF:]],$A24,Jun_Period_2_Tbl[[#All],[$ Hourly WAGES]])+  SUMIF(Jul_Period_2_Tbl[[#All],[STAFF:]],$A24,Jul_Period_2_Tbl[[#All],[$ Hourly WAGES]])+  SUMIF(Aug_Period_2_Tbl[[#All],[STAFF:]],$A24,Aug_Period_2_Tbl[[#All],[$ Hourly WAGES]])+  SUMIF(Sep_Period_2_Tbl[[#All],[STAFF:]],$A24,Sep_Period_2_Tbl[[#All],[$ Hourly WAGES]])+  SUMIF(Oct_Period_2_Tbl[[#All],[STAFF:]],$A24,Oct_Period_2_Tbl[[#All],[$ Hourly WAGES]])+     SUMIF(Nov_Period_2_Tbl[[#All],[STAFF:]],$A24,Nov_Period_2_Tbl[[#All],[$ Hourly WAGES]])+  SUMIF(Dec_Period_2_Tbl[[#All],[STAFF:]],$A24,Dec_Period_2_Tbl[[#All],[$ Hourly WAGES]]))</f>
        <v>0</v>
      </c>
      <c r="H24" s="190">
        <f>(SUMIF(Jan_Period_1_Tbl[[#All],[STAFF:]],$A24,Jan_Period_1_Tbl[[#All],[$ SALARY]])+
SUMIF(Feb_Period_1_Tbl[[#All],[STAFF:]],$A24,Feb_Period_1_Tbl[[#All],[$ SALARY]])+SUMIF(Mar_Period_1_Tbl[[#All],[STAFF:]],$A24,Mar_Period_1_Tbl[[#All],[$ SALARY]])+SUMIF(Apr_Period_1_Tbl[[#All],[STAFF:]],$A24,Apr_Period_1_Tbl[[#All],[$ SALARY]])+   SUMIF(May_Period_1_Tbl[[#All],[STAFF:]],$A24,May_Period_1_Tbl[[#All],[$ SALARY]])+   SUMIF(Jun_Period_1_Tbl[[#All],[STAFF:]],$A24,Jun_Period_1_Tbl[[#All],[$ SALARY]])+  SUMIF(Jul_Period_1_Tbl[[#All],[STAFF:]],$A24,Jul_Period_1_Tbl[[#All],[$ SALARY]])+  SUMIF(Aug_Period_1_Tbl[[#All],[STAFF:]],$A24,Aug_Period_1_Tbl[[#All],[$ SALARY]])+  SUMIF(Sep_Period_1_Tbl[[#All],[STAFF:]],$A24,Sep_Period_1_Tbl[[#All],[$ SALARY]])+  SUMIF(Oct_Period_1_Tbl[[#All],[STAFF:]],$A24,Oct_Period_1_Tbl[[#All],[$ SALARY]])+     SUMIF(Nov_Period_1_Tbl[[#All],[STAFF:]],$A24,Nov_Period_1_Tbl[[#All],[$ SALARY]])+  SUMIF(Dec_Period_1_Tbl[[#All],[STAFF:]],$A24,Dec_Period_1_Tbl[[#All],[$ SALARY]]))+   (SUMIF(Jan_Period_2_Tbl[[#All],[STAFF:]],$A24,Jan_Period_2_Tbl[[#All],[$ SALARY]])+
SUMIF(Feb_Period_2_Tbl[[#All],[STAFF:]],$A24,Feb_Period_2_Tbl[[#All],[$ SALARY]])+SUMIF(Mar_Period_2_Tbl[[#All],[STAFF:]],$A24,Mar_Period_2_Tbl[[#All],[$ SALARY]])+SUMIF(Apr_Period_2_Tbl[[#All],[STAFF:]],$A24,Apr_Period_2_Tbl[[#All],[$ SALARY]])+   SUMIF(May_Period_2_Tbl[[#All],[STAFF:]],$A24,May_Period_2_Tbl[[#All],[$ SALARY]])+   SUMIF(Jun_Period_2_Tbl[[#All],[STAFF:]],$A24,Jun_Period_2_Tbl[[#All],[$ SALARY]])+  SUMIF(Jul_Period_2_Tbl[[#All],[STAFF:]],$A24,Jul_Period_2_Tbl[[#All],[$ SALARY]])+  SUMIF(Aug_Period_2_Tbl[[#All],[STAFF:]],$A24,Aug_Period_2_Tbl[[#All],[$ SALARY]])+  SUMIF(Sep_Period_2_Tbl[[#All],[STAFF:]],$A24,Sep_Period_2_Tbl[[#All],[$ SALARY]])+  SUMIF(Oct_Period_2_Tbl[[#All],[STAFF:]],$A24,Oct_Period_2_Tbl[[#All],[$ SALARY]])+     SUMIF(Nov_Period_2_Tbl[[#All],[STAFF:]],$A24,Nov_Period_2_Tbl[[#All],[$ SALARY]])+  SUMIF(Dec_Period_2_Tbl[[#All],[STAFF:]],$A24,Dec_Period_2_Tbl[[#All],[$ SALARY]]))</f>
        <v>0</v>
      </c>
      <c r="I24" s="190">
        <f>(SUMIF(Jan_Period_1_Tbl[[#All],[STAFF:]],$A24,Jan_Period_1_Tbl[[#All],[$ SALARY PT]])+
SUMIF(Feb_Period_1_Tbl[[#All],[STAFF:]],$A24,Feb_Period_1_Tbl[[#All],[$ SALARY PT]])+SUMIF(Mar_Period_1_Tbl[[#All],[STAFF:]],$A24,Mar_Period_1_Tbl[[#All],[$ SALARY PT]])+SUMIF(Apr_Period_1_Tbl[[#All],[STAFF:]],$A24,Apr_Period_1_Tbl[[#All],[$ SALARY PT]])+   SUMIF(May_Period_1_Tbl[[#All],[STAFF:]],$A24,May_Period_1_Tbl[[#All],[$ SALARY PT]])+   SUMIF(Jun_Period_1_Tbl[[#All],[STAFF:]],$A24,Jun_Period_1_Tbl[[#All],[$ SALARY PT]])+  SUMIF(Jul_Period_1_Tbl[[#All],[STAFF:]],$A24,Jul_Period_1_Tbl[[#All],[$ SALARY PT]])+  SUMIF(Aug_Period_1_Tbl[[#All],[STAFF:]],$A24,Aug_Period_1_Tbl[[#All],[$ SALARY PT]])+  SUMIF(Sep_Period_1_Tbl[[#All],[STAFF:]],$A24,Sep_Period_1_Tbl[[#All],[$ SALARY PT]])+  SUMIF(Oct_Period_1_Tbl[[#All],[STAFF:]],$A24,Oct_Period_1_Tbl[[#All],[$ SALARY PT]])+     SUMIF(Nov_Period_1_Tbl[[#All],[STAFF:]],$A24,Nov_Period_1_Tbl[[#All],[$ SALARY PT]])+  SUMIF(Dec_Period_1_Tbl[[#All],[STAFF:]],$A24,Dec_Period_1_Tbl[[#All],[$ SALARY PT]]))+   (SUMIF(Jan_Period_2_Tbl[[#All],[STAFF:]],$A24,Jan_Period_2_Tbl[[#All],[$ SALARY PT]])+
SUMIF(Feb_Period_2_Tbl[[#All],[STAFF:]],$A24,Feb_Period_2_Tbl[[#All],[$ SALARY PT]])+SUMIF(Mar_Period_2_Tbl[[#All],[STAFF:]],$A24,Mar_Period_2_Tbl[[#All],[$ SALARY PT]])+SUMIF(Apr_Period_2_Tbl[[#All],[STAFF:]],$A24,Apr_Period_2_Tbl[[#All],[$ SALARY PT]])+   SUMIF(May_Period_2_Tbl[[#All],[STAFF:]],$A24,May_Period_2_Tbl[[#All],[$ SALARY PT]])+   SUMIF(Jun_Period_2_Tbl[[#All],[STAFF:]],$A24,Jun_Period_2_Tbl[[#All],[$ SALARY PT]])+  SUMIF(Jul_Period_2_Tbl[[#All],[STAFF:]],$A24,Jul_Period_2_Tbl[[#All],[$ SALARY PT]])+  SUMIF(Aug_Period_2_Tbl[[#All],[STAFF:]],$A24,Aug_Period_2_Tbl[[#All],[$ SALARY PT]])+  SUMIF(Sep_Period_2_Tbl[[#All],[STAFF:]],$A24,Sep_Period_2_Tbl[[#All],[$ SALARY PT]])+  SUMIF(Oct_Period_2_Tbl[[#All],[STAFF:]],$A24,Oct_Period_2_Tbl[[#All],[$ SALARY PT]])+     SUMIF(Nov_Period_2_Tbl[[#All],[STAFF:]],$A24,Nov_Period_2_Tbl[[#All],[$ SALARY PT]])+  SUMIF(Dec_Period_2_Tbl[[#All],[STAFF:]],$A24,Dec_Period_2_Tbl[[#All],[$ SALARY PT]]))</f>
        <v>0</v>
      </c>
      <c r="J24" s="190">
        <f>(SUMIF(Jan_Period_1_Tbl[[#All],[STAFF:]],$A24,Jan_Period_1_Tbl[[#All],[$ FREE PT]])+
SUMIF(Feb_Period_1_Tbl[[#All],[STAFF:]],$A24,Feb_Period_1_Tbl[[#All],[$ FREE PT]])+SUMIF(Mar_Period_1_Tbl[[#All],[STAFF:]],$A24,Mar_Period_1_Tbl[[#All],[$ FREE PT]])+SUMIF(Apr_Period_1_Tbl[[#All],[STAFF:]],$A24,Apr_Period_1_Tbl[[#All],[$ FREE PT]])+   SUMIF(May_Period_1_Tbl[[#All],[STAFF:]],$A24,May_Period_1_Tbl[[#All],[$ FREE PT]])+   SUMIF(Jun_Period_1_Tbl[[#All],[STAFF:]],$A24,Jun_Period_1_Tbl[[#All],[$ FREE PT]])+  SUMIF(Jul_Period_1_Tbl[[#All],[STAFF:]],$A24,Jul_Period_1_Tbl[[#All],[$ FREE PT]])+  SUMIF(Aug_Period_1_Tbl[[#All],[STAFF:]],$A24,Aug_Period_1_Tbl[[#All],[$ FREE PT]])+  SUMIF(Sep_Period_1_Tbl[[#All],[STAFF:]],$A24,Sep_Period_1_Tbl[[#All],[$ FREE PT]])+  SUMIF(Oct_Period_1_Tbl[[#All],[STAFF:]],$A24,Oct_Period_1_Tbl[[#All],[$ FREE PT]])+     SUMIF(Nov_Period_1_Tbl[[#All],[STAFF:]],$A24,Nov_Period_1_Tbl[[#All],[$ FREE PT]])+  SUMIF(Dec_Period_1_Tbl[[#All],[STAFF:]],$A24,Dec_Period_1_Tbl[[#All],[$ FREE PT]]))+   (SUMIF(Jan_Period_2_Tbl[[#All],[STAFF:]],$A24,Jan_Period_2_Tbl[[#All],[$ FREE PT]])+
SUMIF(Feb_Period_2_Tbl[[#All],[STAFF:]],$A24,Feb_Period_2_Tbl[[#All],[$ FREE PT]])+SUMIF(Mar_Period_2_Tbl[[#All],[STAFF:]],$A24,Mar_Period_2_Tbl[[#All],[$ FREE PT]])+SUMIF(Apr_Period_2_Tbl[[#All],[STAFF:]],$A24,Apr_Period_2_Tbl[[#All],[$ FREE PT]])+   SUMIF(May_Period_2_Tbl[[#All],[STAFF:]],$A24,May_Period_2_Tbl[[#All],[$ FREE PT]])+   SUMIF(Jun_Period_2_Tbl[[#All],[STAFF:]],$A24,Jun_Period_2_Tbl[[#All],[$ FREE PT]])+  SUMIF(Jul_Period_2_Tbl[[#All],[STAFF:]],$A24,Jul_Period_2_Tbl[[#All],[$ FREE PT]])+  SUMIF(Aug_Period_2_Tbl[[#All],[STAFF:]],$A24,Aug_Period_2_Tbl[[#All],[$ FREE PT]])+  SUMIF(Sep_Period_2_Tbl[[#All],[STAFF:]],$A24,Sep_Period_2_Tbl[[#All],[$ FREE PT]])+  SUMIF(Oct_Period_2_Tbl[[#All],[STAFF:]],$A24,Oct_Period_2_Tbl[[#All],[$ FREE PT]])+     SUMIF(Nov_Period_2_Tbl[[#All],[STAFF:]],$A24,Nov_Period_2_Tbl[[#All],[$ FREE PT]])+  SUMIF(Dec_Period_2_Tbl[[#All],[STAFF:]],$A24,Dec_Period_2_Tbl[[#All],[$ FREE PT]]))</f>
        <v>0</v>
      </c>
      <c r="K24" s="190">
        <f>(SUMIF(Jan_Period_1_Tbl[[#All],[STAFF:]],$A24,Jan_Period_1_Tbl[[#All],[$ PAID PT]])+
SUMIF(Feb_Period_1_Tbl[[#All],[STAFF:]],$A24,Feb_Period_1_Tbl[[#All],[$ PAID PT]])+SUMIF(Mar_Period_1_Tbl[[#All],[STAFF:]],$A24,Mar_Period_1_Tbl[[#All],[$ PAID PT]])+SUMIF(Apr_Period_1_Tbl[[#All],[STAFF:]],$A24,Apr_Period_1_Tbl[[#All],[$ PAID PT]])+   SUMIF(May_Period_1_Tbl[[#All],[STAFF:]],$A24,May_Period_1_Tbl[[#All],[$ PAID PT]])+   SUMIF(Jun_Period_1_Tbl[[#All],[STAFF:]],$A24,Jun_Period_1_Tbl[[#All],[$ PAID PT]])+  SUMIF(Jul_Period_1_Tbl[[#All],[STAFF:]],$A24,Jul_Period_1_Tbl[[#All],[$ PAID PT]])+  SUMIF(Aug_Period_1_Tbl[[#All],[STAFF:]],$A24,Aug_Period_1_Tbl[[#All],[$ PAID PT]])+  SUMIF(Sep_Period_1_Tbl[[#All],[STAFF:]],$A24,Sep_Period_1_Tbl[[#All],[$ PAID PT]])+  SUMIF(Oct_Period_1_Tbl[[#All],[STAFF:]],$A24,Oct_Period_1_Tbl[[#All],[$ PAID PT]])+     SUMIF(Nov_Period_1_Tbl[[#All],[STAFF:]],$A24,Nov_Period_1_Tbl[[#All],[$ PAID PT]])+  SUMIF(Dec_Period_1_Tbl[[#All],[STAFF:]],$A24,Dec_Period_1_Tbl[[#All],[$ PAID PT]]))+   (SUMIF(Jan_Period_2_Tbl[[#All],[STAFF:]],$A24,Jan_Period_2_Tbl[[#All],[$ PAID PT]])+
SUMIF(Feb_Period_2_Tbl[[#All],[STAFF:]],$A24,Feb_Period_2_Tbl[[#All],[$ PAID PT]])+SUMIF(Mar_Period_2_Tbl[[#All],[STAFF:]],$A24,Mar_Period_2_Tbl[[#All],[$ PAID PT]])+SUMIF(Apr_Period_2_Tbl[[#All],[STAFF:]],$A24,Apr_Period_2_Tbl[[#All],[$ PAID PT]])+   SUMIF(May_Period_2_Tbl[[#All],[STAFF:]],$A24,May_Period_2_Tbl[[#All],[$ PAID PT]])+   SUMIF(Jun_Period_2_Tbl[[#All],[STAFF:]],$A24,Jun_Period_2_Tbl[[#All],[$ PAID PT]])+  SUMIF(Jul_Period_2_Tbl[[#All],[STAFF:]],$A24,Jul_Period_2_Tbl[[#All],[$ PAID PT]])+  SUMIF(Aug_Period_2_Tbl[[#All],[STAFF:]],$A24,Aug_Period_2_Tbl[[#All],[$ PAID PT]])+  SUMIF(Sep_Period_2_Tbl[[#All],[STAFF:]],$A24,Sep_Period_2_Tbl[[#All],[$ PAID PT]])+  SUMIF(Oct_Period_2_Tbl[[#All],[STAFF:]],$A24,Oct_Period_2_Tbl[[#All],[$ PAID PT]])+     SUMIF(Nov_Period_2_Tbl[[#All],[STAFF:]],$A24,Nov_Period_2_Tbl[[#All],[$ PAID PT]])+  SUMIF(Dec_Period_2_Tbl[[#All],[STAFF:]],$A24,Dec_Period_2_Tbl[[#All],[$ PAID PT]]))</f>
        <v>0</v>
      </c>
      <c r="L24" s="190">
        <f>(SUMIF(Jan_Period_1_Tbl[[#All],[STAFF:]],$A24,Jan_Period_1_Tbl[[#All],[$ PT COMM]])+
SUMIF(Feb_Period_1_Tbl[[#All],[STAFF:]],$A24,Feb_Period_1_Tbl[[#All],[$ PT COMM]])+SUMIF(Mar_Period_1_Tbl[[#All],[STAFF:]],$A24,Mar_Period_1_Tbl[[#All],[$ PT COMM]])+SUMIF(Apr_Period_1_Tbl[[#All],[STAFF:]],$A24,Apr_Period_1_Tbl[[#All],[$ PT COMM]])+   SUMIF(May_Period_1_Tbl[[#All],[STAFF:]],$A24,May_Period_1_Tbl[[#All],[$ PT COMM]])+   SUMIF(Jun_Period_1_Tbl[[#All],[STAFF:]],$A24,Jun_Period_1_Tbl[[#All],[$ PT COMM]])+  SUMIF(Jul_Period_1_Tbl[[#All],[STAFF:]],$A24,Jul_Period_1_Tbl[[#All],[$ PT COMM]])+  SUMIF(Aug_Period_1_Tbl[[#All],[STAFF:]],$A24,Aug_Period_1_Tbl[[#All],[$ PT COMM]])+  SUMIF(Sep_Period_1_Tbl[[#All],[STAFF:]],$A24,Sep_Period_1_Tbl[[#All],[$ PT COMM]])+  SUMIF(Oct_Period_1_Tbl[[#All],[STAFF:]],$A24,Oct_Period_1_Tbl[[#All],[$ PT COMM]])+     SUMIF(Nov_Period_1_Tbl[[#All],[STAFF:]],$A24,Nov_Period_1_Tbl[[#All],[$ PT COMM]])+  SUMIF(Dec_Period_1_Tbl[[#All],[STAFF:]],$A24,Dec_Period_1_Tbl[[#All],[$ PT COMM]]))+   (SUMIF(Jan_Period_2_Tbl[[#All],[STAFF:]],$A24,Jan_Period_2_Tbl[[#All],[$ PT COMM]])+
SUMIF(Feb_Period_2_Tbl[[#All],[STAFF:]],$A24,Feb_Period_2_Tbl[[#All],[$ PT COMM]])+SUMIF(Mar_Period_2_Tbl[[#All],[STAFF:]],$A24,Mar_Period_2_Tbl[[#All],[$ PT COMM]])+SUMIF(Apr_Period_2_Tbl[[#All],[STAFF:]],$A24,Apr_Period_2_Tbl[[#All],[$ PT COMM]])+   SUMIF(May_Period_2_Tbl[[#All],[STAFF:]],$A24,May_Period_2_Tbl[[#All],[$ PT COMM]])+   SUMIF(Jun_Period_2_Tbl[[#All],[STAFF:]],$A24,Jun_Period_2_Tbl[[#All],[$ PT COMM]])+  SUMIF(Jul_Period_2_Tbl[[#All],[STAFF:]],$A24,Jul_Period_2_Tbl[[#All],[$ PT COMM]])+  SUMIF(Aug_Period_2_Tbl[[#All],[STAFF:]],$A24,Aug_Period_2_Tbl[[#All],[$ PT COMM]])+  SUMIF(Sep_Period_2_Tbl[[#All],[STAFF:]],$A24,Sep_Period_2_Tbl[[#All],[$ PT COMM]])+  SUMIF(Oct_Period_2_Tbl[[#All],[STAFF:]],$A24,Oct_Period_2_Tbl[[#All],[$ PT COMM]])+     SUMIF(Nov_Period_2_Tbl[[#All],[STAFF:]],$A24,Nov_Period_2_Tbl[[#All],[$ PT COMM]])+  SUMIF(Dec_Period_2_Tbl[[#All],[STAFF:]],$A24,Dec_Period_2_Tbl[[#All],[$ PT COMM]]))</f>
        <v>0</v>
      </c>
      <c r="M24" s="190">
        <f>(SUMIF(Jan_Period_1_Tbl[[#All],[STAFF:]],$A24,Jan_Period_1_Tbl[[#All],[$ EFT COMM]])+
SUMIF(Feb_Period_1_Tbl[[#All],[STAFF:]],$A24,Feb_Period_1_Tbl[[#All],[$ EFT COMM]])+SUMIF(Mar_Period_1_Tbl[[#All],[STAFF:]],$A24,Mar_Period_1_Tbl[[#All],[$ EFT COMM]])+SUMIF(Apr_Period_1_Tbl[[#All],[STAFF:]],$A24,Apr_Period_1_Tbl[[#All],[$ EFT COMM]])+   SUMIF(May_Period_1_Tbl[[#All],[STAFF:]],$A24,May_Period_1_Tbl[[#All],[$ EFT COMM]])+   SUMIF(Jun_Period_1_Tbl[[#All],[STAFF:]],$A24,Jun_Period_1_Tbl[[#All],[$ EFT COMM]])+  SUMIF(Jul_Period_1_Tbl[[#All],[STAFF:]],$A24,Jul_Period_1_Tbl[[#All],[$ EFT COMM]])+  SUMIF(Aug_Period_1_Tbl[[#All],[STAFF:]],$A24,Aug_Period_1_Tbl[[#All],[$ EFT COMM]])+  SUMIF(Sep_Period_1_Tbl[[#All],[STAFF:]],$A24,Sep_Period_1_Tbl[[#All],[$ EFT COMM]])+  SUMIF(Oct_Period_1_Tbl[[#All],[STAFF:]],$A24,Oct_Period_1_Tbl[[#All],[$ EFT COMM]])+     SUMIF(Nov_Period_1_Tbl[[#All],[STAFF:]],$A24,Nov_Period_1_Tbl[[#All],[$ EFT COMM]])+  SUMIF(Dec_Period_1_Tbl[[#All],[STAFF:]],$A24,Dec_Period_1_Tbl[[#All],[$ EFT COMM]]))+   (SUMIF(Jan_Period_2_Tbl[[#All],[STAFF:]],$A24,Jan_Period_2_Tbl[[#All],[$ EFT COMM]])+
SUMIF(Feb_Period_2_Tbl[[#All],[STAFF:]],$A24,Feb_Period_2_Tbl[[#All],[$ EFT COMM]])+SUMIF(Mar_Period_2_Tbl[[#All],[STAFF:]],$A24,Mar_Period_2_Tbl[[#All],[$ EFT COMM]])+SUMIF(Apr_Period_2_Tbl[[#All],[STAFF:]],$A24,Apr_Period_2_Tbl[[#All],[$ EFT COMM]])+   SUMIF(May_Period_2_Tbl[[#All],[STAFF:]],$A24,May_Period_2_Tbl[[#All],[$ EFT COMM]])+   SUMIF(Jun_Period_2_Tbl[[#All],[STAFF:]],$A24,Jun_Period_2_Tbl[[#All],[$ EFT COMM]])+  SUMIF(Jul_Period_2_Tbl[[#All],[STAFF:]],$A24,Jul_Period_2_Tbl[[#All],[$ EFT COMM]])+  SUMIF(Aug_Period_2_Tbl[[#All],[STAFF:]],$A24,Aug_Period_2_Tbl[[#All],[$ EFT COMM]])+  SUMIF(Sep_Period_2_Tbl[[#All],[STAFF:]],$A24,Sep_Period_2_Tbl[[#All],[$ EFT COMM]])+  SUMIF(Oct_Period_2_Tbl[[#All],[STAFF:]],$A24,Oct_Period_2_Tbl[[#All],[$ EFT COMM]])+     SUMIF(Nov_Period_2_Tbl[[#All],[STAFF:]],$A24,Nov_Period_2_Tbl[[#All],[$ EFT COMM]])+  SUMIF(Dec_Period_2_Tbl[[#All],[STAFF:]],$A24,Dec_Period_2_Tbl[[#All],[$ EFT COMM]]))</f>
        <v>0</v>
      </c>
      <c r="N24" s="190">
        <f>(SUMIF(Jan_Period_1_Tbl[[#All],[STAFF:]],$A24,Jan_Period_1_Tbl[[#All],[$ CLASS PAY]])+
SUMIF(Feb_Period_1_Tbl[[#All],[STAFF:]],$A24,Feb_Period_1_Tbl[[#All],[$ CLASS PAY]])+SUMIF(Mar_Period_1_Tbl[[#All],[STAFF:]],$A24,Mar_Period_1_Tbl[[#All],[$ CLASS PAY]])+SUMIF(Apr_Period_1_Tbl[[#All],[STAFF:]],$A24,Apr_Period_1_Tbl[[#All],[$ CLASS PAY]])+   SUMIF(May_Period_1_Tbl[[#All],[STAFF:]],$A24,May_Period_1_Tbl[[#All],[$ CLASS PAY]])+   SUMIF(Jun_Period_1_Tbl[[#All],[STAFF:]],$A24,Jun_Period_1_Tbl[[#All],[$ CLASS PAY]])+  SUMIF(Jul_Period_1_Tbl[[#All],[STAFF:]],$A24,Jul_Period_1_Tbl[[#All],[$ CLASS PAY]])+  SUMIF(Aug_Period_1_Tbl[[#All],[STAFF:]],$A24,Aug_Period_1_Tbl[[#All],[$ CLASS PAY]])+  SUMIF(Sep_Period_1_Tbl[[#All],[STAFF:]],$A24,Sep_Period_1_Tbl[[#All],[$ CLASS PAY]])+  SUMIF(Oct_Period_1_Tbl[[#All],[STAFF:]],$A24,Oct_Period_1_Tbl[[#All],[$ CLASS PAY]])+     SUMIF(Nov_Period_1_Tbl[[#All],[STAFF:]],$A24,Nov_Period_1_Tbl[[#All],[$ CLASS PAY]])+  SUMIF(Dec_Period_1_Tbl[[#All],[STAFF:]],$A24,Dec_Period_1_Tbl[[#All],[$ CLASS PAY]]))+   (SUMIF(Jan_Period_2_Tbl[[#All],[STAFF:]],$A24,Jan_Period_2_Tbl[[#All],[$ CLASS PAY]])+
SUMIF(Feb_Period_2_Tbl[[#All],[STAFF:]],$A24,Feb_Period_2_Tbl[[#All],[$ CLASS PAY]])+SUMIF(Mar_Period_2_Tbl[[#All],[STAFF:]],$A24,Mar_Period_2_Tbl[[#All],[$ CLASS PAY]])+SUMIF(Apr_Period_2_Tbl[[#All],[STAFF:]],$A24,Apr_Period_2_Tbl[[#All],[$ CLASS PAY]])+   SUMIF(May_Period_2_Tbl[[#All],[STAFF:]],$A24,May_Period_2_Tbl[[#All],[$ CLASS PAY]])+   SUMIF(Jun_Period_2_Tbl[[#All],[STAFF:]],$A24,Jun_Period_2_Tbl[[#All],[$ CLASS PAY]])+  SUMIF(Jul_Period_2_Tbl[[#All],[STAFF:]],$A24,Jul_Period_2_Tbl[[#All],[$ CLASS PAY]])+  SUMIF(Aug_Period_2_Tbl[[#All],[STAFF:]],$A24,Aug_Period_2_Tbl[[#All],[$ CLASS PAY]])+  SUMIF(Sep_Period_2_Tbl[[#All],[STAFF:]],$A24,Sep_Period_2_Tbl[[#All],[$ CLASS PAY]])+  SUMIF(Oct_Period_2_Tbl[[#All],[STAFF:]],$A24,Oct_Period_2_Tbl[[#All],[$ CLASS PAY]])+     SUMIF(Nov_Period_2_Tbl[[#All],[STAFF:]],$A24,Nov_Period_2_Tbl[[#All],[$ CLASS PAY]])+  SUMIF(Dec_Period_2_Tbl[[#All],[STAFF:]],$A24,Dec_Period_2_Tbl[[#All],[$ CLASS PAY]]))</f>
        <v>0</v>
      </c>
      <c r="O24" s="191">
        <f>(SUMIF(Jan_Period_1_Tbl[[#All],[STAFF:]],$A24,Jan_Period_1_Tbl[[#All],[$ BONUS PAY]])+
SUMIF(Feb_Period_1_Tbl[[#All],[STAFF:]],$A24,Feb_Period_1_Tbl[[#All],[$ BONUS PAY]])+SUMIF(Mar_Period_1_Tbl[[#All],[STAFF:]],$A24,Mar_Period_1_Tbl[[#All],[$ BONUS PAY]])+SUMIF(Apr_Period_1_Tbl[[#All],[STAFF:]],$A24,Apr_Period_1_Tbl[[#All],[$ BONUS PAY]])+   SUMIF(May_Period_1_Tbl[[#All],[STAFF:]],$A24,May_Period_1_Tbl[[#All],[$ BONUS PAY]])+   SUMIF(Jun_Period_1_Tbl[[#All],[STAFF:]],$A24,Jun_Period_1_Tbl[[#All],[$ BONUS PAY]])+  SUMIF(Jul_Period_1_Tbl[[#All],[STAFF:]],$A24,Jul_Period_1_Tbl[[#All],[$ BONUS PAY]])+  SUMIF(Aug_Period_1_Tbl[[#All],[STAFF:]],$A24,Aug_Period_1_Tbl[[#All],[$ BONUS PAY]])+  SUMIF(Sep_Period_1_Tbl[[#All],[STAFF:]],$A24,Sep_Period_1_Tbl[[#All],[$ BONUS PAY]])+  SUMIF(Oct_Period_1_Tbl[[#All],[STAFF:]],$A24,Oct_Period_1_Tbl[[#All],[$ BONUS PAY]])+     SUMIF(Nov_Period_1_Tbl[[#All],[STAFF:]],$A24,Nov_Period_1_Tbl[[#All],[$ BONUS PAY]])+  SUMIF(Dec_Period_1_Tbl[[#All],[STAFF:]],$A24,Dec_Period_1_Tbl[[#All],[$ BONUS PAY]]))+   (SUMIF(Jan_Period_2_Tbl[[#All],[STAFF:]],$A24,Jan_Period_2_Tbl[[#All],[$ BONUS PAY]])+
SUMIF(Feb_Period_2_Tbl[[#All],[STAFF:]],$A24,Feb_Period_2_Tbl[[#All],[$ BONUS PAY]])+SUMIF(Mar_Period_2_Tbl[[#All],[STAFF:]],$A24,Mar_Period_2_Tbl[[#All],[$ BONUS PAY]])+SUMIF(Apr_Period_2_Tbl[[#All],[STAFF:]],$A24,Apr_Period_2_Tbl[[#All],[$ BONUS PAY]])+   SUMIF(May_Period_2_Tbl[[#All],[STAFF:]],$A24,May_Period_2_Tbl[[#All],[$ BONUS PAY]])+   SUMIF(Jun_Period_2_Tbl[[#All],[STAFF:]],$A24,Jun_Period_2_Tbl[[#All],[$ BONUS PAY]])+  SUMIF(Jul_Period_2_Tbl[[#All],[STAFF:]],$A24,Jul_Period_2_Tbl[[#All],[$ BONUS PAY]])+  SUMIF(Aug_Period_2_Tbl[[#All],[STAFF:]],$A24,Aug_Period_2_Tbl[[#All],[$ BONUS PAY]])+  SUMIF(Sep_Period_2_Tbl[[#All],[STAFF:]],$A24,Sep_Period_2_Tbl[[#All],[$ BONUS PAY]])+  SUMIF(Oct_Period_2_Tbl[[#All],[STAFF:]],$A24,Oct_Period_2_Tbl[[#All],[$ BONUS PAY]])+     SUMIF(Nov_Period_2_Tbl[[#All],[STAFF:]],$A24,Nov_Period_2_Tbl[[#All],[$ BONUS PAY]])+  SUMIF(Dec_Period_2_Tbl[[#All],[STAFF:]],$A24,Dec_Period_2_Tbl[[#All],[$ BONUS PAY]]))</f>
        <v>0</v>
      </c>
      <c r="P24" s="179">
        <f t="shared" si="0"/>
        <v>0</v>
      </c>
      <c r="Q24" s="149"/>
      <c r="R24" s="152">
        <f>(SUMIF(Jan_Period_1_Tbl[[#All],[STAFF:]],$A24,Jan_Period_1_Tbl[[#All],['# POINTS EARNED]])+
SUMIF(Feb_Period_1_Tbl[[#All],[STAFF:]],$A24,Feb_Period_1_Tbl[[#All],['# POINTS EARNED]])+SUMIF(Mar_Period_1_Tbl[[#All],[STAFF:]],$A24,Mar_Period_1_Tbl[[#All],['# POINTS EARNED]])+SUMIF(Apr_Period_1_Tbl[[#All],[STAFF:]],$A24,Apr_Period_1_Tbl[[#All],['# POINTS EARNED]])+   SUMIF(May_Period_1_Tbl[[#All],[STAFF:]],$A24,May_Period_1_Tbl[[#All],['# POINTS EARNED]])+   SUMIF(Jun_Period_1_Tbl[[#All],[STAFF:]],$A24,Jun_Period_1_Tbl[[#All],['# POINTS EARNED]])+  SUMIF(Jul_Period_1_Tbl[[#All],[STAFF:]],$A24,Jul_Period_1_Tbl[[#All],['# POINTS EARNED]])+  SUMIF(Aug_Period_1_Tbl[[#All],[STAFF:]],$A24,Aug_Period_1_Tbl[[#All],['# POINTS EARNED]])+  SUMIF(Sep_Period_1_Tbl[[#All],[STAFF:]],$A24,Sep_Period_1_Tbl[[#All],['# POINTS EARNED]])+  SUMIF(Oct_Period_1_Tbl[[#All],[STAFF:]],$A24,Oct_Period_1_Tbl[[#All],['# POINTS EARNED]])+     SUMIF(Nov_Period_1_Tbl[[#All],[STAFF:]],$A24,Nov_Period_1_Tbl[[#All],['# POINTS EARNED]])+  SUMIF(Dec_Period_1_Tbl[[#All],[STAFF:]],$A24,Dec_Period_1_Tbl[[#All],['# POINTS EARNED]]))+   (SUMIF(Jan_Period_2_Tbl[[#All],[STAFF:]],$A24,Jan_Period_2_Tbl[[#All],['# POINTS EARNED]])+
SUMIF(Feb_Period_2_Tbl[[#All],[STAFF:]],$A24,Feb_Period_2_Tbl[[#All],['# POINTS EARNED]])+SUMIF(Mar_Period_2_Tbl[[#All],[STAFF:]],$A24,Mar_Period_2_Tbl[[#All],['# POINTS EARNED]])+SUMIF(Apr_Period_2_Tbl[[#All],[STAFF:]],$A24,Apr_Period_2_Tbl[[#All],['# POINTS EARNED]])+   SUMIF(May_Period_2_Tbl[[#All],[STAFF:]],$A24,May_Period_2_Tbl[[#All],['# POINTS EARNED]])+   SUMIF(Jun_Period_2_Tbl[[#All],[STAFF:]],$A24,Jun_Period_2_Tbl[[#All],['# POINTS EARNED]])+  SUMIF(Jul_Period_2_Tbl[[#All],[STAFF:]],$A24,Jul_Period_2_Tbl[[#All],['# POINTS EARNED]])+  SUMIF(Aug_Period_2_Tbl[[#All],[STAFF:]],$A24,Aug_Period_2_Tbl[[#All],['# POINTS EARNED]])+  SUMIF(Sep_Period_2_Tbl[[#All],[STAFF:]],$A24,Sep_Period_2_Tbl[[#All],['# POINTS EARNED]])+  SUMIF(Oct_Period_2_Tbl[[#All],[STAFF:]],$A24,Oct_Period_2_Tbl[[#All],['# POINTS EARNED]])+     SUMIF(Nov_Period_2_Tbl[[#All],[STAFF:]],$A24,Nov_Period_2_Tbl[[#All],['# POINTS EARNED]])+  SUMIF(Dec_Period_2_Tbl[[#All],[STAFF:]],$A24,Dec_Period_2_Tbl[[#All],['# POINTS EARNED]]))</f>
        <v>0</v>
      </c>
      <c r="S24" s="152">
        <f>(SUMIF(Jan_Period_1_Tbl[[#All],[STAFF:]],$A24,Jan_Period_1_Tbl[[#All],['# POINTS USED]])+
SUMIF(Feb_Period_1_Tbl[[#All],[STAFF:]],$A24,Feb_Period_1_Tbl[[#All],['# POINTS USED]])+SUMIF(Mar_Period_1_Tbl[[#All],[STAFF:]],$A24,Mar_Period_1_Tbl[[#All],['# POINTS USED]])+SUMIF(Apr_Period_1_Tbl[[#All],[STAFF:]],$A24,Apr_Period_1_Tbl[[#All],['# POINTS USED]])+   SUMIF(May_Period_1_Tbl[[#All],[STAFF:]],$A24,May_Period_1_Tbl[[#All],['# POINTS USED]])+   SUMIF(Jun_Period_1_Tbl[[#All],[STAFF:]],$A24,Jun_Period_1_Tbl[[#All],['# POINTS USED]])+  SUMIF(Jul_Period_1_Tbl[[#All],[STAFF:]],$A24,Jul_Period_1_Tbl[[#All],['# POINTS USED]])+  SUMIF(Aug_Period_1_Tbl[[#All],[STAFF:]],$A24,Aug_Period_1_Tbl[[#All],['# POINTS USED]])+  SUMIF(Sep_Period_1_Tbl[[#All],[STAFF:]],$A24,Sep_Period_1_Tbl[[#All],['# POINTS USED]])+  SUMIF(Oct_Period_1_Tbl[[#All],[STAFF:]],$A24,Oct_Period_1_Tbl[[#All],['# POINTS USED]])+     SUMIF(Nov_Period_1_Tbl[[#All],[STAFF:]],$A24,Nov_Period_1_Tbl[[#All],['# POINTS USED]])+  SUMIF(Dec_Period_1_Tbl[[#All],[STAFF:]],$A24,Dec_Period_1_Tbl[[#All],['# POINTS USED]]))+   (SUMIF(Jan_Period_2_Tbl[[#All],[STAFF:]],$A24,Jan_Period_2_Tbl[[#All],['# POINTS USED]])+
SUMIF(Feb_Period_2_Tbl[[#All],[STAFF:]],$A24,Feb_Period_2_Tbl[[#All],['# POINTS USED]])+SUMIF(Mar_Period_2_Tbl[[#All],[STAFF:]],$A24,Mar_Period_2_Tbl[[#All],['# POINTS USED]])+SUMIF(Apr_Period_2_Tbl[[#All],[STAFF:]],$A24,Apr_Period_2_Tbl[[#All],['# POINTS USED]])+   SUMIF(May_Period_2_Tbl[[#All],[STAFF:]],$A24,May_Period_2_Tbl[[#All],['# POINTS USED]])+   SUMIF(Jun_Period_2_Tbl[[#All],[STAFF:]],$A24,Jun_Period_2_Tbl[[#All],['# POINTS USED]])+  SUMIF(Jul_Period_2_Tbl[[#All],[STAFF:]],$A24,Jul_Period_2_Tbl[[#All],['# POINTS USED]])+  SUMIF(Aug_Period_2_Tbl[[#All],[STAFF:]],$A24,Aug_Period_2_Tbl[[#All],['# POINTS USED]])+  SUMIF(Sep_Period_2_Tbl[[#All],[STAFF:]],$A24,Sep_Period_2_Tbl[[#All],['# POINTS USED]])+  SUMIF(Oct_Period_2_Tbl[[#All],[STAFF:]],$A24,Oct_Period_2_Tbl[[#All],['# POINTS USED]])+     SUMIF(Nov_Period_2_Tbl[[#All],[STAFF:]],$A24,Nov_Period_2_Tbl[[#All],['# POINTS USED]])+  SUMIF(Dec_Period_2_Tbl[[#All],[STAFF:]],$A24,Dec_Period_2_Tbl[[#All],['# POINTS USED]]))</f>
        <v>0</v>
      </c>
      <c r="T24" s="152">
        <f>(SUMIF(Jan_Period_1_Tbl[[#All],[STAFF:]],$A24,Jan_Period_1_Tbl[[#All],['# CLASSES LEAD]])+
SUMIF(Feb_Period_1_Tbl[[#All],[STAFF:]],$A24,Feb_Period_1_Tbl[[#All],['# CLASSES LEAD]])+SUMIF(Mar_Period_1_Tbl[[#All],[STAFF:]],$A24,Mar_Period_1_Tbl[[#All],['# CLASSES LEAD]])+SUMIF(Apr_Period_1_Tbl[[#All],[STAFF:]],$A24,Apr_Period_1_Tbl[[#All],['# CLASSES LEAD]])+   SUMIF(May_Period_1_Tbl[[#All],[STAFF:]],$A24,May_Period_1_Tbl[[#All],['# CLASSES LEAD]])+   SUMIF(Jun_Period_1_Tbl[[#All],[STAFF:]],$A24,Jun_Period_1_Tbl[[#All],['# CLASSES LEAD]])+  SUMIF(Jul_Period_1_Tbl[[#All],[STAFF:]],$A24,Jul_Period_1_Tbl[[#All],['# CLASSES LEAD]])+  SUMIF(Aug_Period_1_Tbl[[#All],[STAFF:]],$A24,Aug_Period_1_Tbl[[#All],['# CLASSES LEAD]])+  SUMIF(Sep_Period_1_Tbl[[#All],[STAFF:]],$A24,Sep_Period_1_Tbl[[#All],['# CLASSES LEAD]])+  SUMIF(Oct_Period_1_Tbl[[#All],[STAFF:]],$A24,Oct_Period_1_Tbl[[#All],['# CLASSES LEAD]])+     SUMIF(Nov_Period_1_Tbl[[#All],[STAFF:]],$A24,Nov_Period_1_Tbl[[#All],['# CLASSES LEAD]])+  SUMIF(Dec_Period_1_Tbl[[#All],[STAFF:]],$A24,Dec_Period_1_Tbl[[#All],['# CLASSES LEAD]]))+   (SUMIF(Jan_Period_2_Tbl[[#All],[STAFF:]],$A24,Jan_Period_2_Tbl[[#All],['# CLASSES LEAD]])+
SUMIF(Feb_Period_2_Tbl[[#All],[STAFF:]],$A24,Feb_Period_2_Tbl[[#All],['# CLASSES LEAD]])+SUMIF(Mar_Period_2_Tbl[[#All],[STAFF:]],$A24,Mar_Period_2_Tbl[[#All],['# CLASSES LEAD]])+SUMIF(Apr_Period_2_Tbl[[#All],[STAFF:]],$A24,Apr_Period_2_Tbl[[#All],['# CLASSES LEAD]])+   SUMIF(May_Period_2_Tbl[[#All],[STAFF:]],$A24,May_Period_2_Tbl[[#All],['# CLASSES LEAD]])+   SUMIF(Jun_Period_2_Tbl[[#All],[STAFF:]],$A24,Jun_Period_2_Tbl[[#All],['# CLASSES LEAD]])+  SUMIF(Jul_Period_2_Tbl[[#All],[STAFF:]],$A24,Jul_Period_2_Tbl[[#All],['# CLASSES LEAD]])+  SUMIF(Aug_Period_2_Tbl[[#All],[STAFF:]],$A24,Aug_Period_2_Tbl[[#All],['# CLASSES LEAD]])+  SUMIF(Sep_Period_2_Tbl[[#All],[STAFF:]],$A24,Sep_Period_2_Tbl[[#All],['# CLASSES LEAD]])+  SUMIF(Oct_Period_2_Tbl[[#All],[STAFF:]],$A24,Oct_Period_2_Tbl[[#All],['# CLASSES LEAD]])+     SUMIF(Nov_Period_2_Tbl[[#All],[STAFF:]],$A24,Nov_Period_2_Tbl[[#All],['# CLASSES LEAD]])+  SUMIF(Dec_Period_2_Tbl[[#All],[STAFF:]],$A24,Dec_Period_2_Tbl[[#All],['# CLASSES LEAD]]))</f>
        <v>0</v>
      </c>
      <c r="U24" s="152">
        <f>(SUMIF(Jan_Period_1_Tbl[[#All],[STAFF:]],$A24,Jan_Period_1_Tbl[[#All],['# CLASSES SHOW]])+
SUMIF(Feb_Period_1_Tbl[[#All],[STAFF:]],$A24,Feb_Period_1_Tbl[[#All],['# CLASSES SHOW]])+SUMIF(Mar_Period_1_Tbl[[#All],[STAFF:]],$A24,Mar_Period_1_Tbl[[#All],['# CLASSES SHOW]])+SUMIF(Apr_Period_1_Tbl[[#All],[STAFF:]],$A24,Apr_Period_1_Tbl[[#All],['# CLASSES SHOW]])+   SUMIF(May_Period_1_Tbl[[#All],[STAFF:]],$A24,May_Period_1_Tbl[[#All],['# CLASSES SHOW]])+   SUMIF(Jun_Period_1_Tbl[[#All],[STAFF:]],$A24,Jun_Period_1_Tbl[[#All],['# CLASSES SHOW]])+  SUMIF(Jul_Period_1_Tbl[[#All],[STAFF:]],$A24,Jul_Period_1_Tbl[[#All],['# CLASSES SHOW]])+  SUMIF(Aug_Period_1_Tbl[[#All],[STAFF:]],$A24,Aug_Period_1_Tbl[[#All],['# CLASSES SHOW]])+  SUMIF(Sep_Period_1_Tbl[[#All],[STAFF:]],$A24,Sep_Period_1_Tbl[[#All],['# CLASSES SHOW]])+  SUMIF(Oct_Period_1_Tbl[[#All],[STAFF:]],$A24,Oct_Period_1_Tbl[[#All],['# CLASSES SHOW]])+     SUMIF(Nov_Period_1_Tbl[[#All],[STAFF:]],$A24,Nov_Period_1_Tbl[[#All],['# CLASSES SHOW]])+  SUMIF(Dec_Period_1_Tbl[[#All],[STAFF:]],$A24,Dec_Period_1_Tbl[[#All],['# CLASSES SHOW]]))+   (SUMIF(Jan_Period_2_Tbl[[#All],[STAFF:]],$A24,Jan_Period_2_Tbl[[#All],['# CLASSES SHOW]])+
SUMIF(Feb_Period_2_Tbl[[#All],[STAFF:]],$A24,Feb_Period_2_Tbl[[#All],['# CLASSES SHOW]])+SUMIF(Mar_Period_2_Tbl[[#All],[STAFF:]],$A24,Mar_Period_2_Tbl[[#All],['# CLASSES SHOW]])+SUMIF(Apr_Period_2_Tbl[[#All],[STAFF:]],$A24,Apr_Period_2_Tbl[[#All],['# CLASSES SHOW]])+   SUMIF(May_Period_2_Tbl[[#All],[STAFF:]],$A24,May_Period_2_Tbl[[#All],['# CLASSES SHOW]])+   SUMIF(Jun_Period_2_Tbl[[#All],[STAFF:]],$A24,Jun_Period_2_Tbl[[#All],['# CLASSES SHOW]])+  SUMIF(Jul_Period_2_Tbl[[#All],[STAFF:]],$A24,Jul_Period_2_Tbl[[#All],['# CLASSES SHOW]])+  SUMIF(Aug_Period_2_Tbl[[#All],[STAFF:]],$A24,Aug_Period_2_Tbl[[#All],['# CLASSES SHOW]])+  SUMIF(Sep_Period_2_Tbl[[#All],[STAFF:]],$A24,Sep_Period_2_Tbl[[#All],['# CLASSES SHOW]])+  SUMIF(Oct_Period_2_Tbl[[#All],[STAFF:]],$A24,Oct_Period_2_Tbl[[#All],['# CLASSES SHOW]])+     SUMIF(Nov_Period_2_Tbl[[#All],[STAFF:]],$A24,Nov_Period_2_Tbl[[#All],['# CLASSES SHOW]])+  SUMIF(Dec_Period_2_Tbl[[#All],[STAFF:]],$A24,Dec_Period_2_Tbl[[#All],['# CLASSES SHOW]]))</f>
        <v>0</v>
      </c>
      <c r="V24" s="156"/>
      <c r="W24" s="156"/>
      <c r="X24" s="154">
        <f t="shared" si="1"/>
        <v>0</v>
      </c>
      <c r="Y24" s="154">
        <f t="shared" si="2"/>
        <v>0</v>
      </c>
      <c r="Z24" s="154">
        <f t="shared" si="3"/>
        <v>0</v>
      </c>
      <c r="AA24" s="154">
        <f t="shared" si="4"/>
        <v>0</v>
      </c>
      <c r="AB24" s="154">
        <f t="shared" si="5"/>
        <v>0</v>
      </c>
      <c r="AC24" s="154">
        <f t="shared" si="6"/>
        <v>0</v>
      </c>
      <c r="AD24" s="154">
        <f t="shared" si="7"/>
        <v>0</v>
      </c>
      <c r="AE24" s="149"/>
      <c r="AF24" s="149"/>
      <c r="AG24" s="149"/>
      <c r="AH24" s="149"/>
      <c r="AJ24" s="75" t="str">
        <f t="shared" si="8"/>
        <v>zBlank</v>
      </c>
      <c r="AK24" s="210"/>
      <c r="AL24" s="168">
        <f>IFERROR(VLOOKUP(B24,List!$A:$B,2,FALSE),-1)</f>
        <v>-1</v>
      </c>
      <c r="AM24" s="168">
        <f>IFERROR(VLOOKUP(C24,List!$A:$B,2,FALSE),-1)</f>
        <v>-1</v>
      </c>
    </row>
    <row r="25" spans="1:39" ht="15" hidden="1" customHeight="1" x14ac:dyDescent="0.25">
      <c r="A25" s="20"/>
      <c r="B25" s="186"/>
      <c r="C25" s="186"/>
      <c r="D25" s="187"/>
      <c r="E25" s="188">
        <f>(SUMIF(Jan_Period_1_Tbl[[#All],[STAFF:]],$A25,Jan_Period_1_Tbl[[#All],['# PTO USED]])+
SUMIF(Feb_Period_1_Tbl[[#All],[STAFF:]],$A25,Feb_Period_1_Tbl[[#All],['# PTO USED]])+SUMIF(Mar_Period_1_Tbl[[#All],[STAFF:]],$A25,Mar_Period_1_Tbl[[#All],['# PTO USED]])+SUMIF(Apr_Period_1_Tbl[[#All],[STAFF:]],$A25,Apr_Period_1_Tbl[[#All],['# PTO USED]])+   SUMIF(May_Period_1_Tbl[[#All],[STAFF:]],$A25,May_Period_1_Tbl[[#All],['# PTO USED]])+   SUMIF(Jun_Period_1_Tbl[[#All],[STAFF:]],$A25,Jun_Period_1_Tbl[[#All],['# PTO USED]])+  SUMIF(Jul_Period_1_Tbl[[#All],[STAFF:]],$A25,Jul_Period_1_Tbl[[#All],['# PTO USED]])+  SUMIF(Aug_Period_1_Tbl[[#All],[STAFF:]],$A25,Aug_Period_1_Tbl[[#All],['# PTO USED]])+  SUMIF(Sep_Period_1_Tbl[[#All],[STAFF:]],$A25,Sep_Period_1_Tbl[[#All],['# PTO USED]])+  SUMIF(Oct_Period_1_Tbl[[#All],[STAFF:]],$A25,Oct_Period_1_Tbl[[#All],['# PTO USED]])+     SUMIF(Nov_Period_1_Tbl[[#All],[STAFF:]],$A25,Nov_Period_1_Tbl[[#All],['# PTO USED]])+  SUMIF(Dec_Period_1_Tbl[[#All],[STAFF:]],$A25,Dec_Period_1_Tbl[[#All],['# PTO USED]]))+   (SUMIF(Jan_Period_2_Tbl[[#All],[STAFF:]],$A25,Jan_Period_2_Tbl[[#All],['# PTO USED]])+
SUMIF(Feb_Period_2_Tbl[[#All],[STAFF:]],$A25,Feb_Period_2_Tbl[[#All],['# PTO USED]])+SUMIF(Mar_Period_2_Tbl[[#All],[STAFF:]],$A25,Mar_Period_2_Tbl[[#All],['# PTO USED]])+SUMIF(Apr_Period_2_Tbl[[#All],[STAFF:]],$A25,Apr_Period_2_Tbl[[#All],['# PTO USED]])+   SUMIF(May_Period_2_Tbl[[#All],[STAFF:]],$A25,May_Period_2_Tbl[[#All],['# PTO USED]])+   SUMIF(Jun_Period_2_Tbl[[#All],[STAFF:]],$A25,Jun_Period_2_Tbl[[#All],['# PTO USED]])+  SUMIF(Jul_Period_2_Tbl[[#All],[STAFF:]],$A25,Jul_Period_2_Tbl[[#All],['# PTO USED]])+  SUMIF(Aug_Period_2_Tbl[[#All],[STAFF:]],$A25,Aug_Period_2_Tbl[[#All],['# PTO USED]])+  SUMIF(Sep_Period_2_Tbl[[#All],[STAFF:]],$A25,Sep_Period_2_Tbl[[#All],['# PTO USED]])+  SUMIF(Oct_Period_2_Tbl[[#All],[STAFF:]],$A25,Oct_Period_2_Tbl[[#All],['# PTO USED]])+     SUMIF(Nov_Period_2_Tbl[[#All],[STAFF:]],$A25,Nov_Period_2_Tbl[[#All],['# PTO USED]])+  SUMIF(Dec_Period_2_Tbl[[#All],[STAFF:]],$A25,Dec_Period_2_Tbl[[#All],['# PTO USED]]))</f>
        <v>0</v>
      </c>
      <c r="F25" s="189">
        <f>(SUMIF(Jan_Period_1_Tbl[[#All],[STAFF:]],$A25,Jan_Period_1_Tbl[[#All],['# HRS WORKED]])+
SUMIF(Feb_Period_1_Tbl[[#All],[STAFF:]],$A25,Feb_Period_1_Tbl[[#All],['# HRS WORKED]])+SUMIF(Mar_Period_1_Tbl[[#All],[STAFF:]],$A25,Mar_Period_1_Tbl[[#All],['# HRS WORKED]])+SUMIF(Apr_Period_1_Tbl[[#All],[STAFF:]],$A25,Apr_Period_1_Tbl[[#All],['# HRS WORKED]])+   SUMIF(May_Period_1_Tbl[[#All],[STAFF:]],$A25,May_Period_1_Tbl[[#All],['# HRS WORKED]])+   SUMIF(Jun_Period_1_Tbl[[#All],[STAFF:]],$A25,Jun_Period_1_Tbl[[#All],['# HRS WORKED]])+  SUMIF(Jul_Period_1_Tbl[[#All],[STAFF:]],$A25,Jul_Period_1_Tbl[[#All],['# HRS WORKED]])+  SUMIF(Aug_Period_1_Tbl[[#All],[STAFF:]],$A25,Aug_Period_1_Tbl[[#All],['# HRS WORKED]])+  SUMIF(Sep_Period_1_Tbl[[#All],[STAFF:]],$A25,Sep_Period_1_Tbl[[#All],['# HRS WORKED]])+  SUMIF(Oct_Period_1_Tbl[[#All],[STAFF:]],$A25,Oct_Period_1_Tbl[[#All],['# HRS WORKED]])+     SUMIF(Nov_Period_1_Tbl[[#All],[STAFF:]],$A25,Nov_Period_1_Tbl[[#All],['# HRS WORKED]])+  SUMIF(Dec_Period_1_Tbl[[#All],[STAFF:]],$A25,Dec_Period_1_Tbl[[#All],['# HRS WORKED]]))+   (SUMIF(Jan_Period_2_Tbl[[#All],[STAFF:]],$A25,Jan_Period_2_Tbl[[#All],['# HRS WORKED]])+
SUMIF(Feb_Period_2_Tbl[[#All],[STAFF:]],$A25,Feb_Period_2_Tbl[[#All],['# HRS WORKED]])+SUMIF(Mar_Period_2_Tbl[[#All],[STAFF:]],$A25,Mar_Period_2_Tbl[[#All],['# HRS WORKED]])+SUMIF(Apr_Period_2_Tbl[[#All],[STAFF:]],$A25,Apr_Period_2_Tbl[[#All],['# HRS WORKED]])+   SUMIF(May_Period_2_Tbl[[#All],[STAFF:]],$A25,May_Period_2_Tbl[[#All],['# HRS WORKED]])+   SUMIF(Jun_Period_2_Tbl[[#All],[STAFF:]],$A25,Jun_Period_2_Tbl[[#All],['# HRS WORKED]])+  SUMIF(Jul_Period_2_Tbl[[#All],[STAFF:]],$A25,Jul_Period_2_Tbl[[#All],['# HRS WORKED]])+  SUMIF(Aug_Period_2_Tbl[[#All],[STAFF:]],$A25,Aug_Period_2_Tbl[[#All],['# HRS WORKED]])+  SUMIF(Sep_Period_2_Tbl[[#All],[STAFF:]],$A25,Sep_Period_2_Tbl[[#All],['# HRS WORKED]])+  SUMIF(Oct_Period_2_Tbl[[#All],[STAFF:]],$A25,Oct_Period_2_Tbl[[#All],['# HRS WORKED]])+     SUMIF(Nov_Period_2_Tbl[[#All],[STAFF:]],$A25,Nov_Period_2_Tbl[[#All],['# HRS WORKED]])+  SUMIF(Dec_Period_2_Tbl[[#All],[STAFF:]],$A25,Dec_Period_2_Tbl[[#All],['# HRS WORKED]]))</f>
        <v>0</v>
      </c>
      <c r="G25" s="190">
        <f>(SUMIF(Jan_Period_1_Tbl[[#All],[STAFF:]],$A25,Jan_Period_1_Tbl[[#All],[$ Hourly WAGES]])+
SUMIF(Feb_Period_1_Tbl[[#All],[STAFF:]],$A25,Feb_Period_1_Tbl[[#All],[$ Hourly WAGES]])+SUMIF(Mar_Period_1_Tbl[[#All],[STAFF:]],$A25,Mar_Period_1_Tbl[[#All],[$ Hourly WAGES]])+SUMIF(Apr_Period_1_Tbl[[#All],[STAFF:]],$A25,Apr_Period_1_Tbl[[#All],[$ Hourly WAGES]])+   SUMIF(May_Period_1_Tbl[[#All],[STAFF:]],$A25,May_Period_1_Tbl[[#All],[$ Hourly WAGES]])+   SUMIF(Jun_Period_1_Tbl[[#All],[STAFF:]],$A25,Jun_Period_1_Tbl[[#All],[$ Hourly WAGES]])+  SUMIF(Jul_Period_1_Tbl[[#All],[STAFF:]],$A25,Jul_Period_1_Tbl[[#All],[$ Hourly WAGES]])+  SUMIF(Aug_Period_1_Tbl[[#All],[STAFF:]],$A25,Aug_Period_1_Tbl[[#All],[$ Hourly WAGES]])+  SUMIF(Sep_Period_1_Tbl[[#All],[STAFF:]],$A25,Sep_Period_1_Tbl[[#All],[$ Hourly WAGES]])+  SUMIF(Oct_Period_1_Tbl[[#All],[STAFF:]],$A25,Oct_Period_1_Tbl[[#All],[$ Hourly WAGES]])+     SUMIF(Nov_Period_1_Tbl[[#All],[STAFF:]],$A25,Nov_Period_1_Tbl[[#All],[$ Hourly WAGES]])+  SUMIF(Dec_Period_1_Tbl[[#All],[STAFF:]],$A25,Dec_Period_1_Tbl[[#All],[$ Hourly WAGES]]))+   (SUMIF(Jan_Period_2_Tbl[[#All],[STAFF:]],$A25,Jan_Period_2_Tbl[[#All],[$ Hourly WAGES]])+
SUMIF(Feb_Period_2_Tbl[[#All],[STAFF:]],$A25,Feb_Period_2_Tbl[[#All],[$ Hourly WAGES]])+SUMIF(Mar_Period_2_Tbl[[#All],[STAFF:]],$A25,Mar_Period_2_Tbl[[#All],[$ Hourly WAGES]])+SUMIF(Apr_Period_2_Tbl[[#All],[STAFF:]],$A25,Apr_Period_2_Tbl[[#All],[$ Hourly WAGES]])+   SUMIF(May_Period_2_Tbl[[#All],[STAFF:]],$A25,May_Period_2_Tbl[[#All],[$ Hourly WAGES]])+   SUMIF(Jun_Period_2_Tbl[[#All],[STAFF:]],$A25,Jun_Period_2_Tbl[[#All],[$ Hourly WAGES]])+  SUMIF(Jul_Period_2_Tbl[[#All],[STAFF:]],$A25,Jul_Period_2_Tbl[[#All],[$ Hourly WAGES]])+  SUMIF(Aug_Period_2_Tbl[[#All],[STAFF:]],$A25,Aug_Period_2_Tbl[[#All],[$ Hourly WAGES]])+  SUMIF(Sep_Period_2_Tbl[[#All],[STAFF:]],$A25,Sep_Period_2_Tbl[[#All],[$ Hourly WAGES]])+  SUMIF(Oct_Period_2_Tbl[[#All],[STAFF:]],$A25,Oct_Period_2_Tbl[[#All],[$ Hourly WAGES]])+     SUMIF(Nov_Period_2_Tbl[[#All],[STAFF:]],$A25,Nov_Period_2_Tbl[[#All],[$ Hourly WAGES]])+  SUMIF(Dec_Period_2_Tbl[[#All],[STAFF:]],$A25,Dec_Period_2_Tbl[[#All],[$ Hourly WAGES]]))</f>
        <v>0</v>
      </c>
      <c r="H25" s="190">
        <f>(SUMIF(Jan_Period_1_Tbl[[#All],[STAFF:]],$A25,Jan_Period_1_Tbl[[#All],[$ SALARY]])+
SUMIF(Feb_Period_1_Tbl[[#All],[STAFF:]],$A25,Feb_Period_1_Tbl[[#All],[$ SALARY]])+SUMIF(Mar_Period_1_Tbl[[#All],[STAFF:]],$A25,Mar_Period_1_Tbl[[#All],[$ SALARY]])+SUMIF(Apr_Period_1_Tbl[[#All],[STAFF:]],$A25,Apr_Period_1_Tbl[[#All],[$ SALARY]])+   SUMIF(May_Period_1_Tbl[[#All],[STAFF:]],$A25,May_Period_1_Tbl[[#All],[$ SALARY]])+   SUMIF(Jun_Period_1_Tbl[[#All],[STAFF:]],$A25,Jun_Period_1_Tbl[[#All],[$ SALARY]])+  SUMIF(Jul_Period_1_Tbl[[#All],[STAFF:]],$A25,Jul_Period_1_Tbl[[#All],[$ SALARY]])+  SUMIF(Aug_Period_1_Tbl[[#All],[STAFF:]],$A25,Aug_Period_1_Tbl[[#All],[$ SALARY]])+  SUMIF(Sep_Period_1_Tbl[[#All],[STAFF:]],$A25,Sep_Period_1_Tbl[[#All],[$ SALARY]])+  SUMIF(Oct_Period_1_Tbl[[#All],[STAFF:]],$A25,Oct_Period_1_Tbl[[#All],[$ SALARY]])+     SUMIF(Nov_Period_1_Tbl[[#All],[STAFF:]],$A25,Nov_Period_1_Tbl[[#All],[$ SALARY]])+  SUMIF(Dec_Period_1_Tbl[[#All],[STAFF:]],$A25,Dec_Period_1_Tbl[[#All],[$ SALARY]]))+   (SUMIF(Jan_Period_2_Tbl[[#All],[STAFF:]],$A25,Jan_Period_2_Tbl[[#All],[$ SALARY]])+
SUMIF(Feb_Period_2_Tbl[[#All],[STAFF:]],$A25,Feb_Period_2_Tbl[[#All],[$ SALARY]])+SUMIF(Mar_Period_2_Tbl[[#All],[STAFF:]],$A25,Mar_Period_2_Tbl[[#All],[$ SALARY]])+SUMIF(Apr_Period_2_Tbl[[#All],[STAFF:]],$A25,Apr_Period_2_Tbl[[#All],[$ SALARY]])+   SUMIF(May_Period_2_Tbl[[#All],[STAFF:]],$A25,May_Period_2_Tbl[[#All],[$ SALARY]])+   SUMIF(Jun_Period_2_Tbl[[#All],[STAFF:]],$A25,Jun_Period_2_Tbl[[#All],[$ SALARY]])+  SUMIF(Jul_Period_2_Tbl[[#All],[STAFF:]],$A25,Jul_Period_2_Tbl[[#All],[$ SALARY]])+  SUMIF(Aug_Period_2_Tbl[[#All],[STAFF:]],$A25,Aug_Period_2_Tbl[[#All],[$ SALARY]])+  SUMIF(Sep_Period_2_Tbl[[#All],[STAFF:]],$A25,Sep_Period_2_Tbl[[#All],[$ SALARY]])+  SUMIF(Oct_Period_2_Tbl[[#All],[STAFF:]],$A25,Oct_Period_2_Tbl[[#All],[$ SALARY]])+     SUMIF(Nov_Period_2_Tbl[[#All],[STAFF:]],$A25,Nov_Period_2_Tbl[[#All],[$ SALARY]])+  SUMIF(Dec_Period_2_Tbl[[#All],[STAFF:]],$A25,Dec_Period_2_Tbl[[#All],[$ SALARY]]))</f>
        <v>0</v>
      </c>
      <c r="I25" s="190">
        <f>(SUMIF(Jan_Period_1_Tbl[[#All],[STAFF:]],$A25,Jan_Period_1_Tbl[[#All],[$ SALARY PT]])+
SUMIF(Feb_Period_1_Tbl[[#All],[STAFF:]],$A25,Feb_Period_1_Tbl[[#All],[$ SALARY PT]])+SUMIF(Mar_Period_1_Tbl[[#All],[STAFF:]],$A25,Mar_Period_1_Tbl[[#All],[$ SALARY PT]])+SUMIF(Apr_Period_1_Tbl[[#All],[STAFF:]],$A25,Apr_Period_1_Tbl[[#All],[$ SALARY PT]])+   SUMIF(May_Period_1_Tbl[[#All],[STAFF:]],$A25,May_Period_1_Tbl[[#All],[$ SALARY PT]])+   SUMIF(Jun_Period_1_Tbl[[#All],[STAFF:]],$A25,Jun_Period_1_Tbl[[#All],[$ SALARY PT]])+  SUMIF(Jul_Period_1_Tbl[[#All],[STAFF:]],$A25,Jul_Period_1_Tbl[[#All],[$ SALARY PT]])+  SUMIF(Aug_Period_1_Tbl[[#All],[STAFF:]],$A25,Aug_Period_1_Tbl[[#All],[$ SALARY PT]])+  SUMIF(Sep_Period_1_Tbl[[#All],[STAFF:]],$A25,Sep_Period_1_Tbl[[#All],[$ SALARY PT]])+  SUMIF(Oct_Period_1_Tbl[[#All],[STAFF:]],$A25,Oct_Period_1_Tbl[[#All],[$ SALARY PT]])+     SUMIF(Nov_Period_1_Tbl[[#All],[STAFF:]],$A25,Nov_Period_1_Tbl[[#All],[$ SALARY PT]])+  SUMIF(Dec_Period_1_Tbl[[#All],[STAFF:]],$A25,Dec_Period_1_Tbl[[#All],[$ SALARY PT]]))+   (SUMIF(Jan_Period_2_Tbl[[#All],[STAFF:]],$A25,Jan_Period_2_Tbl[[#All],[$ SALARY PT]])+
SUMIF(Feb_Period_2_Tbl[[#All],[STAFF:]],$A25,Feb_Period_2_Tbl[[#All],[$ SALARY PT]])+SUMIF(Mar_Period_2_Tbl[[#All],[STAFF:]],$A25,Mar_Period_2_Tbl[[#All],[$ SALARY PT]])+SUMIF(Apr_Period_2_Tbl[[#All],[STAFF:]],$A25,Apr_Period_2_Tbl[[#All],[$ SALARY PT]])+   SUMIF(May_Period_2_Tbl[[#All],[STAFF:]],$A25,May_Period_2_Tbl[[#All],[$ SALARY PT]])+   SUMIF(Jun_Period_2_Tbl[[#All],[STAFF:]],$A25,Jun_Period_2_Tbl[[#All],[$ SALARY PT]])+  SUMIF(Jul_Period_2_Tbl[[#All],[STAFF:]],$A25,Jul_Period_2_Tbl[[#All],[$ SALARY PT]])+  SUMIF(Aug_Period_2_Tbl[[#All],[STAFF:]],$A25,Aug_Period_2_Tbl[[#All],[$ SALARY PT]])+  SUMIF(Sep_Period_2_Tbl[[#All],[STAFF:]],$A25,Sep_Period_2_Tbl[[#All],[$ SALARY PT]])+  SUMIF(Oct_Period_2_Tbl[[#All],[STAFF:]],$A25,Oct_Period_2_Tbl[[#All],[$ SALARY PT]])+     SUMIF(Nov_Period_2_Tbl[[#All],[STAFF:]],$A25,Nov_Period_2_Tbl[[#All],[$ SALARY PT]])+  SUMIF(Dec_Period_2_Tbl[[#All],[STAFF:]],$A25,Dec_Period_2_Tbl[[#All],[$ SALARY PT]]))</f>
        <v>0</v>
      </c>
      <c r="J25" s="190">
        <f>(SUMIF(Jan_Period_1_Tbl[[#All],[STAFF:]],$A25,Jan_Period_1_Tbl[[#All],[$ FREE PT]])+
SUMIF(Feb_Period_1_Tbl[[#All],[STAFF:]],$A25,Feb_Period_1_Tbl[[#All],[$ FREE PT]])+SUMIF(Mar_Period_1_Tbl[[#All],[STAFF:]],$A25,Mar_Period_1_Tbl[[#All],[$ FREE PT]])+SUMIF(Apr_Period_1_Tbl[[#All],[STAFF:]],$A25,Apr_Period_1_Tbl[[#All],[$ FREE PT]])+   SUMIF(May_Period_1_Tbl[[#All],[STAFF:]],$A25,May_Period_1_Tbl[[#All],[$ FREE PT]])+   SUMIF(Jun_Period_1_Tbl[[#All],[STAFF:]],$A25,Jun_Period_1_Tbl[[#All],[$ FREE PT]])+  SUMIF(Jul_Period_1_Tbl[[#All],[STAFF:]],$A25,Jul_Period_1_Tbl[[#All],[$ FREE PT]])+  SUMIF(Aug_Period_1_Tbl[[#All],[STAFF:]],$A25,Aug_Period_1_Tbl[[#All],[$ FREE PT]])+  SUMIF(Sep_Period_1_Tbl[[#All],[STAFF:]],$A25,Sep_Period_1_Tbl[[#All],[$ FREE PT]])+  SUMIF(Oct_Period_1_Tbl[[#All],[STAFF:]],$A25,Oct_Period_1_Tbl[[#All],[$ FREE PT]])+     SUMIF(Nov_Period_1_Tbl[[#All],[STAFF:]],$A25,Nov_Period_1_Tbl[[#All],[$ FREE PT]])+  SUMIF(Dec_Period_1_Tbl[[#All],[STAFF:]],$A25,Dec_Period_1_Tbl[[#All],[$ FREE PT]]))+   (SUMIF(Jan_Period_2_Tbl[[#All],[STAFF:]],$A25,Jan_Period_2_Tbl[[#All],[$ FREE PT]])+
SUMIF(Feb_Period_2_Tbl[[#All],[STAFF:]],$A25,Feb_Period_2_Tbl[[#All],[$ FREE PT]])+SUMIF(Mar_Period_2_Tbl[[#All],[STAFF:]],$A25,Mar_Period_2_Tbl[[#All],[$ FREE PT]])+SUMIF(Apr_Period_2_Tbl[[#All],[STAFF:]],$A25,Apr_Period_2_Tbl[[#All],[$ FREE PT]])+   SUMIF(May_Period_2_Tbl[[#All],[STAFF:]],$A25,May_Period_2_Tbl[[#All],[$ FREE PT]])+   SUMIF(Jun_Period_2_Tbl[[#All],[STAFF:]],$A25,Jun_Period_2_Tbl[[#All],[$ FREE PT]])+  SUMIF(Jul_Period_2_Tbl[[#All],[STAFF:]],$A25,Jul_Period_2_Tbl[[#All],[$ FREE PT]])+  SUMIF(Aug_Period_2_Tbl[[#All],[STAFF:]],$A25,Aug_Period_2_Tbl[[#All],[$ FREE PT]])+  SUMIF(Sep_Period_2_Tbl[[#All],[STAFF:]],$A25,Sep_Period_2_Tbl[[#All],[$ FREE PT]])+  SUMIF(Oct_Period_2_Tbl[[#All],[STAFF:]],$A25,Oct_Period_2_Tbl[[#All],[$ FREE PT]])+     SUMIF(Nov_Period_2_Tbl[[#All],[STAFF:]],$A25,Nov_Period_2_Tbl[[#All],[$ FREE PT]])+  SUMIF(Dec_Period_2_Tbl[[#All],[STAFF:]],$A25,Dec_Period_2_Tbl[[#All],[$ FREE PT]]))</f>
        <v>0</v>
      </c>
      <c r="K25" s="190">
        <f>(SUMIF(Jan_Period_1_Tbl[[#All],[STAFF:]],$A25,Jan_Period_1_Tbl[[#All],[$ PAID PT]])+
SUMIF(Feb_Period_1_Tbl[[#All],[STAFF:]],$A25,Feb_Period_1_Tbl[[#All],[$ PAID PT]])+SUMIF(Mar_Period_1_Tbl[[#All],[STAFF:]],$A25,Mar_Period_1_Tbl[[#All],[$ PAID PT]])+SUMIF(Apr_Period_1_Tbl[[#All],[STAFF:]],$A25,Apr_Period_1_Tbl[[#All],[$ PAID PT]])+   SUMIF(May_Period_1_Tbl[[#All],[STAFF:]],$A25,May_Period_1_Tbl[[#All],[$ PAID PT]])+   SUMIF(Jun_Period_1_Tbl[[#All],[STAFF:]],$A25,Jun_Period_1_Tbl[[#All],[$ PAID PT]])+  SUMIF(Jul_Period_1_Tbl[[#All],[STAFF:]],$A25,Jul_Period_1_Tbl[[#All],[$ PAID PT]])+  SUMIF(Aug_Period_1_Tbl[[#All],[STAFF:]],$A25,Aug_Period_1_Tbl[[#All],[$ PAID PT]])+  SUMIF(Sep_Period_1_Tbl[[#All],[STAFF:]],$A25,Sep_Period_1_Tbl[[#All],[$ PAID PT]])+  SUMIF(Oct_Period_1_Tbl[[#All],[STAFF:]],$A25,Oct_Period_1_Tbl[[#All],[$ PAID PT]])+     SUMIF(Nov_Period_1_Tbl[[#All],[STAFF:]],$A25,Nov_Period_1_Tbl[[#All],[$ PAID PT]])+  SUMIF(Dec_Period_1_Tbl[[#All],[STAFF:]],$A25,Dec_Period_1_Tbl[[#All],[$ PAID PT]]))+   (SUMIF(Jan_Period_2_Tbl[[#All],[STAFF:]],$A25,Jan_Period_2_Tbl[[#All],[$ PAID PT]])+
SUMIF(Feb_Period_2_Tbl[[#All],[STAFF:]],$A25,Feb_Period_2_Tbl[[#All],[$ PAID PT]])+SUMIF(Mar_Period_2_Tbl[[#All],[STAFF:]],$A25,Mar_Period_2_Tbl[[#All],[$ PAID PT]])+SUMIF(Apr_Period_2_Tbl[[#All],[STAFF:]],$A25,Apr_Period_2_Tbl[[#All],[$ PAID PT]])+   SUMIF(May_Period_2_Tbl[[#All],[STAFF:]],$A25,May_Period_2_Tbl[[#All],[$ PAID PT]])+   SUMIF(Jun_Period_2_Tbl[[#All],[STAFF:]],$A25,Jun_Period_2_Tbl[[#All],[$ PAID PT]])+  SUMIF(Jul_Period_2_Tbl[[#All],[STAFF:]],$A25,Jul_Period_2_Tbl[[#All],[$ PAID PT]])+  SUMIF(Aug_Period_2_Tbl[[#All],[STAFF:]],$A25,Aug_Period_2_Tbl[[#All],[$ PAID PT]])+  SUMIF(Sep_Period_2_Tbl[[#All],[STAFF:]],$A25,Sep_Period_2_Tbl[[#All],[$ PAID PT]])+  SUMIF(Oct_Period_2_Tbl[[#All],[STAFF:]],$A25,Oct_Period_2_Tbl[[#All],[$ PAID PT]])+     SUMIF(Nov_Period_2_Tbl[[#All],[STAFF:]],$A25,Nov_Period_2_Tbl[[#All],[$ PAID PT]])+  SUMIF(Dec_Period_2_Tbl[[#All],[STAFF:]],$A25,Dec_Period_2_Tbl[[#All],[$ PAID PT]]))</f>
        <v>0</v>
      </c>
      <c r="L25" s="190">
        <f>(SUMIF(Jan_Period_1_Tbl[[#All],[STAFF:]],$A25,Jan_Period_1_Tbl[[#All],[$ PT COMM]])+
SUMIF(Feb_Period_1_Tbl[[#All],[STAFF:]],$A25,Feb_Period_1_Tbl[[#All],[$ PT COMM]])+SUMIF(Mar_Period_1_Tbl[[#All],[STAFF:]],$A25,Mar_Period_1_Tbl[[#All],[$ PT COMM]])+SUMIF(Apr_Period_1_Tbl[[#All],[STAFF:]],$A25,Apr_Period_1_Tbl[[#All],[$ PT COMM]])+   SUMIF(May_Period_1_Tbl[[#All],[STAFF:]],$A25,May_Period_1_Tbl[[#All],[$ PT COMM]])+   SUMIF(Jun_Period_1_Tbl[[#All],[STAFF:]],$A25,Jun_Period_1_Tbl[[#All],[$ PT COMM]])+  SUMIF(Jul_Period_1_Tbl[[#All],[STAFF:]],$A25,Jul_Period_1_Tbl[[#All],[$ PT COMM]])+  SUMIF(Aug_Period_1_Tbl[[#All],[STAFF:]],$A25,Aug_Period_1_Tbl[[#All],[$ PT COMM]])+  SUMIF(Sep_Period_1_Tbl[[#All],[STAFF:]],$A25,Sep_Period_1_Tbl[[#All],[$ PT COMM]])+  SUMIF(Oct_Period_1_Tbl[[#All],[STAFF:]],$A25,Oct_Period_1_Tbl[[#All],[$ PT COMM]])+     SUMIF(Nov_Period_1_Tbl[[#All],[STAFF:]],$A25,Nov_Period_1_Tbl[[#All],[$ PT COMM]])+  SUMIF(Dec_Period_1_Tbl[[#All],[STAFF:]],$A25,Dec_Period_1_Tbl[[#All],[$ PT COMM]]))+   (SUMIF(Jan_Period_2_Tbl[[#All],[STAFF:]],$A25,Jan_Period_2_Tbl[[#All],[$ PT COMM]])+
SUMIF(Feb_Period_2_Tbl[[#All],[STAFF:]],$A25,Feb_Period_2_Tbl[[#All],[$ PT COMM]])+SUMIF(Mar_Period_2_Tbl[[#All],[STAFF:]],$A25,Mar_Period_2_Tbl[[#All],[$ PT COMM]])+SUMIF(Apr_Period_2_Tbl[[#All],[STAFF:]],$A25,Apr_Period_2_Tbl[[#All],[$ PT COMM]])+   SUMIF(May_Period_2_Tbl[[#All],[STAFF:]],$A25,May_Period_2_Tbl[[#All],[$ PT COMM]])+   SUMIF(Jun_Period_2_Tbl[[#All],[STAFF:]],$A25,Jun_Period_2_Tbl[[#All],[$ PT COMM]])+  SUMIF(Jul_Period_2_Tbl[[#All],[STAFF:]],$A25,Jul_Period_2_Tbl[[#All],[$ PT COMM]])+  SUMIF(Aug_Period_2_Tbl[[#All],[STAFF:]],$A25,Aug_Period_2_Tbl[[#All],[$ PT COMM]])+  SUMIF(Sep_Period_2_Tbl[[#All],[STAFF:]],$A25,Sep_Period_2_Tbl[[#All],[$ PT COMM]])+  SUMIF(Oct_Period_2_Tbl[[#All],[STAFF:]],$A25,Oct_Period_2_Tbl[[#All],[$ PT COMM]])+     SUMIF(Nov_Period_2_Tbl[[#All],[STAFF:]],$A25,Nov_Period_2_Tbl[[#All],[$ PT COMM]])+  SUMIF(Dec_Period_2_Tbl[[#All],[STAFF:]],$A25,Dec_Period_2_Tbl[[#All],[$ PT COMM]]))</f>
        <v>0</v>
      </c>
      <c r="M25" s="190">
        <f>(SUMIF(Jan_Period_1_Tbl[[#All],[STAFF:]],$A25,Jan_Period_1_Tbl[[#All],[$ EFT COMM]])+
SUMIF(Feb_Period_1_Tbl[[#All],[STAFF:]],$A25,Feb_Period_1_Tbl[[#All],[$ EFT COMM]])+SUMIF(Mar_Period_1_Tbl[[#All],[STAFF:]],$A25,Mar_Period_1_Tbl[[#All],[$ EFT COMM]])+SUMIF(Apr_Period_1_Tbl[[#All],[STAFF:]],$A25,Apr_Period_1_Tbl[[#All],[$ EFT COMM]])+   SUMIF(May_Period_1_Tbl[[#All],[STAFF:]],$A25,May_Period_1_Tbl[[#All],[$ EFT COMM]])+   SUMIF(Jun_Period_1_Tbl[[#All],[STAFF:]],$A25,Jun_Period_1_Tbl[[#All],[$ EFT COMM]])+  SUMIF(Jul_Period_1_Tbl[[#All],[STAFF:]],$A25,Jul_Period_1_Tbl[[#All],[$ EFT COMM]])+  SUMIF(Aug_Period_1_Tbl[[#All],[STAFF:]],$A25,Aug_Period_1_Tbl[[#All],[$ EFT COMM]])+  SUMIF(Sep_Period_1_Tbl[[#All],[STAFF:]],$A25,Sep_Period_1_Tbl[[#All],[$ EFT COMM]])+  SUMIF(Oct_Period_1_Tbl[[#All],[STAFF:]],$A25,Oct_Period_1_Tbl[[#All],[$ EFT COMM]])+     SUMIF(Nov_Period_1_Tbl[[#All],[STAFF:]],$A25,Nov_Period_1_Tbl[[#All],[$ EFT COMM]])+  SUMIF(Dec_Period_1_Tbl[[#All],[STAFF:]],$A25,Dec_Period_1_Tbl[[#All],[$ EFT COMM]]))+   (SUMIF(Jan_Period_2_Tbl[[#All],[STAFF:]],$A25,Jan_Period_2_Tbl[[#All],[$ EFT COMM]])+
SUMIF(Feb_Period_2_Tbl[[#All],[STAFF:]],$A25,Feb_Period_2_Tbl[[#All],[$ EFT COMM]])+SUMIF(Mar_Period_2_Tbl[[#All],[STAFF:]],$A25,Mar_Period_2_Tbl[[#All],[$ EFT COMM]])+SUMIF(Apr_Period_2_Tbl[[#All],[STAFF:]],$A25,Apr_Period_2_Tbl[[#All],[$ EFT COMM]])+   SUMIF(May_Period_2_Tbl[[#All],[STAFF:]],$A25,May_Period_2_Tbl[[#All],[$ EFT COMM]])+   SUMIF(Jun_Period_2_Tbl[[#All],[STAFF:]],$A25,Jun_Period_2_Tbl[[#All],[$ EFT COMM]])+  SUMIF(Jul_Period_2_Tbl[[#All],[STAFF:]],$A25,Jul_Period_2_Tbl[[#All],[$ EFT COMM]])+  SUMIF(Aug_Period_2_Tbl[[#All],[STAFF:]],$A25,Aug_Period_2_Tbl[[#All],[$ EFT COMM]])+  SUMIF(Sep_Period_2_Tbl[[#All],[STAFF:]],$A25,Sep_Period_2_Tbl[[#All],[$ EFT COMM]])+  SUMIF(Oct_Period_2_Tbl[[#All],[STAFF:]],$A25,Oct_Period_2_Tbl[[#All],[$ EFT COMM]])+     SUMIF(Nov_Period_2_Tbl[[#All],[STAFF:]],$A25,Nov_Period_2_Tbl[[#All],[$ EFT COMM]])+  SUMIF(Dec_Period_2_Tbl[[#All],[STAFF:]],$A25,Dec_Period_2_Tbl[[#All],[$ EFT COMM]]))</f>
        <v>0</v>
      </c>
      <c r="N25" s="190">
        <f>(SUMIF(Jan_Period_1_Tbl[[#All],[STAFF:]],$A25,Jan_Period_1_Tbl[[#All],[$ CLASS PAY]])+
SUMIF(Feb_Period_1_Tbl[[#All],[STAFF:]],$A25,Feb_Period_1_Tbl[[#All],[$ CLASS PAY]])+SUMIF(Mar_Period_1_Tbl[[#All],[STAFF:]],$A25,Mar_Period_1_Tbl[[#All],[$ CLASS PAY]])+SUMIF(Apr_Period_1_Tbl[[#All],[STAFF:]],$A25,Apr_Period_1_Tbl[[#All],[$ CLASS PAY]])+   SUMIF(May_Period_1_Tbl[[#All],[STAFF:]],$A25,May_Period_1_Tbl[[#All],[$ CLASS PAY]])+   SUMIF(Jun_Period_1_Tbl[[#All],[STAFF:]],$A25,Jun_Period_1_Tbl[[#All],[$ CLASS PAY]])+  SUMIF(Jul_Period_1_Tbl[[#All],[STAFF:]],$A25,Jul_Period_1_Tbl[[#All],[$ CLASS PAY]])+  SUMIF(Aug_Period_1_Tbl[[#All],[STAFF:]],$A25,Aug_Period_1_Tbl[[#All],[$ CLASS PAY]])+  SUMIF(Sep_Period_1_Tbl[[#All],[STAFF:]],$A25,Sep_Period_1_Tbl[[#All],[$ CLASS PAY]])+  SUMIF(Oct_Period_1_Tbl[[#All],[STAFF:]],$A25,Oct_Period_1_Tbl[[#All],[$ CLASS PAY]])+     SUMIF(Nov_Period_1_Tbl[[#All],[STAFF:]],$A25,Nov_Period_1_Tbl[[#All],[$ CLASS PAY]])+  SUMIF(Dec_Period_1_Tbl[[#All],[STAFF:]],$A25,Dec_Period_1_Tbl[[#All],[$ CLASS PAY]]))+   (SUMIF(Jan_Period_2_Tbl[[#All],[STAFF:]],$A25,Jan_Period_2_Tbl[[#All],[$ CLASS PAY]])+
SUMIF(Feb_Period_2_Tbl[[#All],[STAFF:]],$A25,Feb_Period_2_Tbl[[#All],[$ CLASS PAY]])+SUMIF(Mar_Period_2_Tbl[[#All],[STAFF:]],$A25,Mar_Period_2_Tbl[[#All],[$ CLASS PAY]])+SUMIF(Apr_Period_2_Tbl[[#All],[STAFF:]],$A25,Apr_Period_2_Tbl[[#All],[$ CLASS PAY]])+   SUMIF(May_Period_2_Tbl[[#All],[STAFF:]],$A25,May_Period_2_Tbl[[#All],[$ CLASS PAY]])+   SUMIF(Jun_Period_2_Tbl[[#All],[STAFF:]],$A25,Jun_Period_2_Tbl[[#All],[$ CLASS PAY]])+  SUMIF(Jul_Period_2_Tbl[[#All],[STAFF:]],$A25,Jul_Period_2_Tbl[[#All],[$ CLASS PAY]])+  SUMIF(Aug_Period_2_Tbl[[#All],[STAFF:]],$A25,Aug_Period_2_Tbl[[#All],[$ CLASS PAY]])+  SUMIF(Sep_Period_2_Tbl[[#All],[STAFF:]],$A25,Sep_Period_2_Tbl[[#All],[$ CLASS PAY]])+  SUMIF(Oct_Period_2_Tbl[[#All],[STAFF:]],$A25,Oct_Period_2_Tbl[[#All],[$ CLASS PAY]])+     SUMIF(Nov_Period_2_Tbl[[#All],[STAFF:]],$A25,Nov_Period_2_Tbl[[#All],[$ CLASS PAY]])+  SUMIF(Dec_Period_2_Tbl[[#All],[STAFF:]],$A25,Dec_Period_2_Tbl[[#All],[$ CLASS PAY]]))</f>
        <v>0</v>
      </c>
      <c r="O25" s="191">
        <f>(SUMIF(Jan_Period_1_Tbl[[#All],[STAFF:]],$A25,Jan_Period_1_Tbl[[#All],[$ BONUS PAY]])+
SUMIF(Feb_Period_1_Tbl[[#All],[STAFF:]],$A25,Feb_Period_1_Tbl[[#All],[$ BONUS PAY]])+SUMIF(Mar_Period_1_Tbl[[#All],[STAFF:]],$A25,Mar_Period_1_Tbl[[#All],[$ BONUS PAY]])+SUMIF(Apr_Period_1_Tbl[[#All],[STAFF:]],$A25,Apr_Period_1_Tbl[[#All],[$ BONUS PAY]])+   SUMIF(May_Period_1_Tbl[[#All],[STAFF:]],$A25,May_Period_1_Tbl[[#All],[$ BONUS PAY]])+   SUMIF(Jun_Period_1_Tbl[[#All],[STAFF:]],$A25,Jun_Period_1_Tbl[[#All],[$ BONUS PAY]])+  SUMIF(Jul_Period_1_Tbl[[#All],[STAFF:]],$A25,Jul_Period_1_Tbl[[#All],[$ BONUS PAY]])+  SUMIF(Aug_Period_1_Tbl[[#All],[STAFF:]],$A25,Aug_Period_1_Tbl[[#All],[$ BONUS PAY]])+  SUMIF(Sep_Period_1_Tbl[[#All],[STAFF:]],$A25,Sep_Period_1_Tbl[[#All],[$ BONUS PAY]])+  SUMIF(Oct_Period_1_Tbl[[#All],[STAFF:]],$A25,Oct_Period_1_Tbl[[#All],[$ BONUS PAY]])+     SUMIF(Nov_Period_1_Tbl[[#All],[STAFF:]],$A25,Nov_Period_1_Tbl[[#All],[$ BONUS PAY]])+  SUMIF(Dec_Period_1_Tbl[[#All],[STAFF:]],$A25,Dec_Period_1_Tbl[[#All],[$ BONUS PAY]]))+   (SUMIF(Jan_Period_2_Tbl[[#All],[STAFF:]],$A25,Jan_Period_2_Tbl[[#All],[$ BONUS PAY]])+
SUMIF(Feb_Period_2_Tbl[[#All],[STAFF:]],$A25,Feb_Period_2_Tbl[[#All],[$ BONUS PAY]])+SUMIF(Mar_Period_2_Tbl[[#All],[STAFF:]],$A25,Mar_Period_2_Tbl[[#All],[$ BONUS PAY]])+SUMIF(Apr_Period_2_Tbl[[#All],[STAFF:]],$A25,Apr_Period_2_Tbl[[#All],[$ BONUS PAY]])+   SUMIF(May_Period_2_Tbl[[#All],[STAFF:]],$A25,May_Period_2_Tbl[[#All],[$ BONUS PAY]])+   SUMIF(Jun_Period_2_Tbl[[#All],[STAFF:]],$A25,Jun_Period_2_Tbl[[#All],[$ BONUS PAY]])+  SUMIF(Jul_Period_2_Tbl[[#All],[STAFF:]],$A25,Jul_Period_2_Tbl[[#All],[$ BONUS PAY]])+  SUMIF(Aug_Period_2_Tbl[[#All],[STAFF:]],$A25,Aug_Period_2_Tbl[[#All],[$ BONUS PAY]])+  SUMIF(Sep_Period_2_Tbl[[#All],[STAFF:]],$A25,Sep_Period_2_Tbl[[#All],[$ BONUS PAY]])+  SUMIF(Oct_Period_2_Tbl[[#All],[STAFF:]],$A25,Oct_Period_2_Tbl[[#All],[$ BONUS PAY]])+     SUMIF(Nov_Period_2_Tbl[[#All],[STAFF:]],$A25,Nov_Period_2_Tbl[[#All],[$ BONUS PAY]])+  SUMIF(Dec_Period_2_Tbl[[#All],[STAFF:]],$A25,Dec_Period_2_Tbl[[#All],[$ BONUS PAY]]))</f>
        <v>0</v>
      </c>
      <c r="P25" s="179">
        <f t="shared" si="0"/>
        <v>0</v>
      </c>
      <c r="Q25" s="149"/>
      <c r="R25" s="153">
        <f>(SUMIF(Jan_Period_1_Tbl[[#All],[STAFF:]],$A25,Jan_Period_1_Tbl[[#All],['# POINTS EARNED]])+
SUMIF(Feb_Period_1_Tbl[[#All],[STAFF:]],$A25,Feb_Period_1_Tbl[[#All],['# POINTS EARNED]])+SUMIF(Mar_Period_1_Tbl[[#All],[STAFF:]],$A25,Mar_Period_1_Tbl[[#All],['# POINTS EARNED]])+SUMIF(Apr_Period_1_Tbl[[#All],[STAFF:]],$A25,Apr_Period_1_Tbl[[#All],['# POINTS EARNED]])+   SUMIF(May_Period_1_Tbl[[#All],[STAFF:]],$A25,May_Period_1_Tbl[[#All],['# POINTS EARNED]])+   SUMIF(Jun_Period_1_Tbl[[#All],[STAFF:]],$A25,Jun_Period_1_Tbl[[#All],['# POINTS EARNED]])+  SUMIF(Jul_Period_1_Tbl[[#All],[STAFF:]],$A25,Jul_Period_1_Tbl[[#All],['# POINTS EARNED]])+  SUMIF(Aug_Period_1_Tbl[[#All],[STAFF:]],$A25,Aug_Period_1_Tbl[[#All],['# POINTS EARNED]])+  SUMIF(Sep_Period_1_Tbl[[#All],[STAFF:]],$A25,Sep_Period_1_Tbl[[#All],['# POINTS EARNED]])+  SUMIF(Oct_Period_1_Tbl[[#All],[STAFF:]],$A25,Oct_Period_1_Tbl[[#All],['# POINTS EARNED]])+     SUMIF(Nov_Period_1_Tbl[[#All],[STAFF:]],$A25,Nov_Period_1_Tbl[[#All],['# POINTS EARNED]])+  SUMIF(Dec_Period_1_Tbl[[#All],[STAFF:]],$A25,Dec_Period_1_Tbl[[#All],['# POINTS EARNED]]))+   (SUMIF(Jan_Period_2_Tbl[[#All],[STAFF:]],$A25,Jan_Period_2_Tbl[[#All],['# POINTS EARNED]])+
SUMIF(Feb_Period_2_Tbl[[#All],[STAFF:]],$A25,Feb_Period_2_Tbl[[#All],['# POINTS EARNED]])+SUMIF(Mar_Period_2_Tbl[[#All],[STAFF:]],$A25,Mar_Period_2_Tbl[[#All],['# POINTS EARNED]])+SUMIF(Apr_Period_2_Tbl[[#All],[STAFF:]],$A25,Apr_Period_2_Tbl[[#All],['# POINTS EARNED]])+   SUMIF(May_Period_2_Tbl[[#All],[STAFF:]],$A25,May_Period_2_Tbl[[#All],['# POINTS EARNED]])+   SUMIF(Jun_Period_2_Tbl[[#All],[STAFF:]],$A25,Jun_Period_2_Tbl[[#All],['# POINTS EARNED]])+  SUMIF(Jul_Period_2_Tbl[[#All],[STAFF:]],$A25,Jul_Period_2_Tbl[[#All],['# POINTS EARNED]])+  SUMIF(Aug_Period_2_Tbl[[#All],[STAFF:]],$A25,Aug_Period_2_Tbl[[#All],['# POINTS EARNED]])+  SUMIF(Sep_Period_2_Tbl[[#All],[STAFF:]],$A25,Sep_Period_2_Tbl[[#All],['# POINTS EARNED]])+  SUMIF(Oct_Period_2_Tbl[[#All],[STAFF:]],$A25,Oct_Period_2_Tbl[[#All],['# POINTS EARNED]])+     SUMIF(Nov_Period_2_Tbl[[#All],[STAFF:]],$A25,Nov_Period_2_Tbl[[#All],['# POINTS EARNED]])+  SUMIF(Dec_Period_2_Tbl[[#All],[STAFF:]],$A25,Dec_Period_2_Tbl[[#All],['# POINTS EARNED]]))</f>
        <v>0</v>
      </c>
      <c r="S25" s="153">
        <f>(SUMIF(Jan_Period_1_Tbl[[#All],[STAFF:]],$A25,Jan_Period_1_Tbl[[#All],['# POINTS USED]])+
SUMIF(Feb_Period_1_Tbl[[#All],[STAFF:]],$A25,Feb_Period_1_Tbl[[#All],['# POINTS USED]])+SUMIF(Mar_Period_1_Tbl[[#All],[STAFF:]],$A25,Mar_Period_1_Tbl[[#All],['# POINTS USED]])+SUMIF(Apr_Period_1_Tbl[[#All],[STAFF:]],$A25,Apr_Period_1_Tbl[[#All],['# POINTS USED]])+   SUMIF(May_Period_1_Tbl[[#All],[STAFF:]],$A25,May_Period_1_Tbl[[#All],['# POINTS USED]])+   SUMIF(Jun_Period_1_Tbl[[#All],[STAFF:]],$A25,Jun_Period_1_Tbl[[#All],['# POINTS USED]])+  SUMIF(Jul_Period_1_Tbl[[#All],[STAFF:]],$A25,Jul_Period_1_Tbl[[#All],['# POINTS USED]])+  SUMIF(Aug_Period_1_Tbl[[#All],[STAFF:]],$A25,Aug_Period_1_Tbl[[#All],['# POINTS USED]])+  SUMIF(Sep_Period_1_Tbl[[#All],[STAFF:]],$A25,Sep_Period_1_Tbl[[#All],['# POINTS USED]])+  SUMIF(Oct_Period_1_Tbl[[#All],[STAFF:]],$A25,Oct_Period_1_Tbl[[#All],['# POINTS USED]])+     SUMIF(Nov_Period_1_Tbl[[#All],[STAFF:]],$A25,Nov_Period_1_Tbl[[#All],['# POINTS USED]])+  SUMIF(Dec_Period_1_Tbl[[#All],[STAFF:]],$A25,Dec_Period_1_Tbl[[#All],['# POINTS USED]]))+   (SUMIF(Jan_Period_2_Tbl[[#All],[STAFF:]],$A25,Jan_Period_2_Tbl[[#All],['# POINTS USED]])+
SUMIF(Feb_Period_2_Tbl[[#All],[STAFF:]],$A25,Feb_Period_2_Tbl[[#All],['# POINTS USED]])+SUMIF(Mar_Period_2_Tbl[[#All],[STAFF:]],$A25,Mar_Period_2_Tbl[[#All],['# POINTS USED]])+SUMIF(Apr_Period_2_Tbl[[#All],[STAFF:]],$A25,Apr_Period_2_Tbl[[#All],['# POINTS USED]])+   SUMIF(May_Period_2_Tbl[[#All],[STAFF:]],$A25,May_Period_2_Tbl[[#All],['# POINTS USED]])+   SUMIF(Jun_Period_2_Tbl[[#All],[STAFF:]],$A25,Jun_Period_2_Tbl[[#All],['# POINTS USED]])+  SUMIF(Jul_Period_2_Tbl[[#All],[STAFF:]],$A25,Jul_Period_2_Tbl[[#All],['# POINTS USED]])+  SUMIF(Aug_Period_2_Tbl[[#All],[STAFF:]],$A25,Aug_Period_2_Tbl[[#All],['# POINTS USED]])+  SUMIF(Sep_Period_2_Tbl[[#All],[STAFF:]],$A25,Sep_Period_2_Tbl[[#All],['# POINTS USED]])+  SUMIF(Oct_Period_2_Tbl[[#All],[STAFF:]],$A25,Oct_Period_2_Tbl[[#All],['# POINTS USED]])+     SUMIF(Nov_Period_2_Tbl[[#All],[STAFF:]],$A25,Nov_Period_2_Tbl[[#All],['# POINTS USED]])+  SUMIF(Dec_Period_2_Tbl[[#All],[STAFF:]],$A25,Dec_Period_2_Tbl[[#All],['# POINTS USED]]))</f>
        <v>0</v>
      </c>
      <c r="T25" s="153">
        <f>(SUMIF(Jan_Period_1_Tbl[[#All],[STAFF:]],$A25,Jan_Period_1_Tbl[[#All],['# CLASSES LEAD]])+
SUMIF(Feb_Period_1_Tbl[[#All],[STAFF:]],$A25,Feb_Period_1_Tbl[[#All],['# CLASSES LEAD]])+SUMIF(Mar_Period_1_Tbl[[#All],[STAFF:]],$A25,Mar_Period_1_Tbl[[#All],['# CLASSES LEAD]])+SUMIF(Apr_Period_1_Tbl[[#All],[STAFF:]],$A25,Apr_Period_1_Tbl[[#All],['# CLASSES LEAD]])+   SUMIF(May_Period_1_Tbl[[#All],[STAFF:]],$A25,May_Period_1_Tbl[[#All],['# CLASSES LEAD]])+   SUMIF(Jun_Period_1_Tbl[[#All],[STAFF:]],$A25,Jun_Period_1_Tbl[[#All],['# CLASSES LEAD]])+  SUMIF(Jul_Period_1_Tbl[[#All],[STAFF:]],$A25,Jul_Period_1_Tbl[[#All],['# CLASSES LEAD]])+  SUMIF(Aug_Period_1_Tbl[[#All],[STAFF:]],$A25,Aug_Period_1_Tbl[[#All],['# CLASSES LEAD]])+  SUMIF(Sep_Period_1_Tbl[[#All],[STAFF:]],$A25,Sep_Period_1_Tbl[[#All],['# CLASSES LEAD]])+  SUMIF(Oct_Period_1_Tbl[[#All],[STAFF:]],$A25,Oct_Period_1_Tbl[[#All],['# CLASSES LEAD]])+     SUMIF(Nov_Period_1_Tbl[[#All],[STAFF:]],$A25,Nov_Period_1_Tbl[[#All],['# CLASSES LEAD]])+  SUMIF(Dec_Period_1_Tbl[[#All],[STAFF:]],$A25,Dec_Period_1_Tbl[[#All],['# CLASSES LEAD]]))+   (SUMIF(Jan_Period_2_Tbl[[#All],[STAFF:]],$A25,Jan_Period_2_Tbl[[#All],['# CLASSES LEAD]])+
SUMIF(Feb_Period_2_Tbl[[#All],[STAFF:]],$A25,Feb_Period_2_Tbl[[#All],['# CLASSES LEAD]])+SUMIF(Mar_Period_2_Tbl[[#All],[STAFF:]],$A25,Mar_Period_2_Tbl[[#All],['# CLASSES LEAD]])+SUMIF(Apr_Period_2_Tbl[[#All],[STAFF:]],$A25,Apr_Period_2_Tbl[[#All],['# CLASSES LEAD]])+   SUMIF(May_Period_2_Tbl[[#All],[STAFF:]],$A25,May_Period_2_Tbl[[#All],['# CLASSES LEAD]])+   SUMIF(Jun_Period_2_Tbl[[#All],[STAFF:]],$A25,Jun_Period_2_Tbl[[#All],['# CLASSES LEAD]])+  SUMIF(Jul_Period_2_Tbl[[#All],[STAFF:]],$A25,Jul_Period_2_Tbl[[#All],['# CLASSES LEAD]])+  SUMIF(Aug_Period_2_Tbl[[#All],[STAFF:]],$A25,Aug_Period_2_Tbl[[#All],['# CLASSES LEAD]])+  SUMIF(Sep_Period_2_Tbl[[#All],[STAFF:]],$A25,Sep_Period_2_Tbl[[#All],['# CLASSES LEAD]])+  SUMIF(Oct_Period_2_Tbl[[#All],[STAFF:]],$A25,Oct_Period_2_Tbl[[#All],['# CLASSES LEAD]])+     SUMIF(Nov_Period_2_Tbl[[#All],[STAFF:]],$A25,Nov_Period_2_Tbl[[#All],['# CLASSES LEAD]])+  SUMIF(Dec_Period_2_Tbl[[#All],[STAFF:]],$A25,Dec_Period_2_Tbl[[#All],['# CLASSES LEAD]]))</f>
        <v>0</v>
      </c>
      <c r="U25" s="153">
        <f>(SUMIF(Jan_Period_1_Tbl[[#All],[STAFF:]],$A25,Jan_Period_1_Tbl[[#All],['# CLASSES SHOW]])+
SUMIF(Feb_Period_1_Tbl[[#All],[STAFF:]],$A25,Feb_Period_1_Tbl[[#All],['# CLASSES SHOW]])+SUMIF(Mar_Period_1_Tbl[[#All],[STAFF:]],$A25,Mar_Period_1_Tbl[[#All],['# CLASSES SHOW]])+SUMIF(Apr_Period_1_Tbl[[#All],[STAFF:]],$A25,Apr_Period_1_Tbl[[#All],['# CLASSES SHOW]])+   SUMIF(May_Period_1_Tbl[[#All],[STAFF:]],$A25,May_Period_1_Tbl[[#All],['# CLASSES SHOW]])+   SUMIF(Jun_Period_1_Tbl[[#All],[STAFF:]],$A25,Jun_Period_1_Tbl[[#All],['# CLASSES SHOW]])+  SUMIF(Jul_Period_1_Tbl[[#All],[STAFF:]],$A25,Jul_Period_1_Tbl[[#All],['# CLASSES SHOW]])+  SUMIF(Aug_Period_1_Tbl[[#All],[STAFF:]],$A25,Aug_Period_1_Tbl[[#All],['# CLASSES SHOW]])+  SUMIF(Sep_Period_1_Tbl[[#All],[STAFF:]],$A25,Sep_Period_1_Tbl[[#All],['# CLASSES SHOW]])+  SUMIF(Oct_Period_1_Tbl[[#All],[STAFF:]],$A25,Oct_Period_1_Tbl[[#All],['# CLASSES SHOW]])+     SUMIF(Nov_Period_1_Tbl[[#All],[STAFF:]],$A25,Nov_Period_1_Tbl[[#All],['# CLASSES SHOW]])+  SUMIF(Dec_Period_1_Tbl[[#All],[STAFF:]],$A25,Dec_Period_1_Tbl[[#All],['# CLASSES SHOW]]))+   (SUMIF(Jan_Period_2_Tbl[[#All],[STAFF:]],$A25,Jan_Period_2_Tbl[[#All],['# CLASSES SHOW]])+
SUMIF(Feb_Period_2_Tbl[[#All],[STAFF:]],$A25,Feb_Period_2_Tbl[[#All],['# CLASSES SHOW]])+SUMIF(Mar_Period_2_Tbl[[#All],[STAFF:]],$A25,Mar_Period_2_Tbl[[#All],['# CLASSES SHOW]])+SUMIF(Apr_Period_2_Tbl[[#All],[STAFF:]],$A25,Apr_Period_2_Tbl[[#All],['# CLASSES SHOW]])+   SUMIF(May_Period_2_Tbl[[#All],[STAFF:]],$A25,May_Period_2_Tbl[[#All],['# CLASSES SHOW]])+   SUMIF(Jun_Period_2_Tbl[[#All],[STAFF:]],$A25,Jun_Period_2_Tbl[[#All],['# CLASSES SHOW]])+  SUMIF(Jul_Period_2_Tbl[[#All],[STAFF:]],$A25,Jul_Period_2_Tbl[[#All],['# CLASSES SHOW]])+  SUMIF(Aug_Period_2_Tbl[[#All],[STAFF:]],$A25,Aug_Period_2_Tbl[[#All],['# CLASSES SHOW]])+  SUMIF(Sep_Period_2_Tbl[[#All],[STAFF:]],$A25,Sep_Period_2_Tbl[[#All],['# CLASSES SHOW]])+  SUMIF(Oct_Period_2_Tbl[[#All],[STAFF:]],$A25,Oct_Period_2_Tbl[[#All],['# CLASSES SHOW]])+     SUMIF(Nov_Period_2_Tbl[[#All],[STAFF:]],$A25,Nov_Period_2_Tbl[[#All],['# CLASSES SHOW]])+  SUMIF(Dec_Period_2_Tbl[[#All],[STAFF:]],$A25,Dec_Period_2_Tbl[[#All],['# CLASSES SHOW]]))</f>
        <v>0</v>
      </c>
      <c r="V25" s="156"/>
      <c r="W25" s="156"/>
      <c r="X25" s="155">
        <f t="shared" si="1"/>
        <v>0</v>
      </c>
      <c r="Y25" s="155">
        <f t="shared" si="2"/>
        <v>0</v>
      </c>
      <c r="Z25" s="155">
        <f t="shared" si="3"/>
        <v>0</v>
      </c>
      <c r="AA25" s="155">
        <f t="shared" si="4"/>
        <v>0</v>
      </c>
      <c r="AB25" s="155">
        <f t="shared" si="5"/>
        <v>0</v>
      </c>
      <c r="AC25" s="155">
        <f t="shared" si="6"/>
        <v>0</v>
      </c>
      <c r="AD25" s="155">
        <f t="shared" si="7"/>
        <v>0</v>
      </c>
      <c r="AE25" s="149"/>
      <c r="AF25" s="149"/>
      <c r="AG25" s="149"/>
      <c r="AH25" s="149"/>
      <c r="AJ25" s="75" t="str">
        <f t="shared" si="8"/>
        <v>zBlank</v>
      </c>
      <c r="AK25" s="210"/>
      <c r="AL25" s="168">
        <f>IFERROR(VLOOKUP(B25,List!$A:$B,2,FALSE),-1)</f>
        <v>-1</v>
      </c>
      <c r="AM25" s="168">
        <f>IFERROR(VLOOKUP(C25,List!$A:$B,2,FALSE),-1)</f>
        <v>-1</v>
      </c>
    </row>
    <row r="26" spans="1:39" ht="15" hidden="1" customHeight="1" x14ac:dyDescent="0.25">
      <c r="A26" s="20"/>
      <c r="B26" s="186"/>
      <c r="C26" s="186"/>
      <c r="D26" s="187"/>
      <c r="E26" s="188">
        <f>(SUMIF(Jan_Period_1_Tbl[[#All],[STAFF:]],$A26,Jan_Period_1_Tbl[[#All],['# PTO USED]])+
SUMIF(Feb_Period_1_Tbl[[#All],[STAFF:]],$A26,Feb_Period_1_Tbl[[#All],['# PTO USED]])+SUMIF(Mar_Period_1_Tbl[[#All],[STAFF:]],$A26,Mar_Period_1_Tbl[[#All],['# PTO USED]])+SUMIF(Apr_Period_1_Tbl[[#All],[STAFF:]],$A26,Apr_Period_1_Tbl[[#All],['# PTO USED]])+   SUMIF(May_Period_1_Tbl[[#All],[STAFF:]],$A26,May_Period_1_Tbl[[#All],['# PTO USED]])+   SUMIF(Jun_Period_1_Tbl[[#All],[STAFF:]],$A26,Jun_Period_1_Tbl[[#All],['# PTO USED]])+  SUMIF(Jul_Period_1_Tbl[[#All],[STAFF:]],$A26,Jul_Period_1_Tbl[[#All],['# PTO USED]])+  SUMIF(Aug_Period_1_Tbl[[#All],[STAFF:]],$A26,Aug_Period_1_Tbl[[#All],['# PTO USED]])+  SUMIF(Sep_Period_1_Tbl[[#All],[STAFF:]],$A26,Sep_Period_1_Tbl[[#All],['# PTO USED]])+  SUMIF(Oct_Period_1_Tbl[[#All],[STAFF:]],$A26,Oct_Period_1_Tbl[[#All],['# PTO USED]])+     SUMIF(Nov_Period_1_Tbl[[#All],[STAFF:]],$A26,Nov_Period_1_Tbl[[#All],['# PTO USED]])+  SUMIF(Dec_Period_1_Tbl[[#All],[STAFF:]],$A26,Dec_Period_1_Tbl[[#All],['# PTO USED]]))+   (SUMIF(Jan_Period_2_Tbl[[#All],[STAFF:]],$A26,Jan_Period_2_Tbl[[#All],['# PTO USED]])+
SUMIF(Feb_Period_2_Tbl[[#All],[STAFF:]],$A26,Feb_Period_2_Tbl[[#All],['# PTO USED]])+SUMIF(Mar_Period_2_Tbl[[#All],[STAFF:]],$A26,Mar_Period_2_Tbl[[#All],['# PTO USED]])+SUMIF(Apr_Period_2_Tbl[[#All],[STAFF:]],$A26,Apr_Period_2_Tbl[[#All],['# PTO USED]])+   SUMIF(May_Period_2_Tbl[[#All],[STAFF:]],$A26,May_Period_2_Tbl[[#All],['# PTO USED]])+   SUMIF(Jun_Period_2_Tbl[[#All],[STAFF:]],$A26,Jun_Period_2_Tbl[[#All],['# PTO USED]])+  SUMIF(Jul_Period_2_Tbl[[#All],[STAFF:]],$A26,Jul_Period_2_Tbl[[#All],['# PTO USED]])+  SUMIF(Aug_Period_2_Tbl[[#All],[STAFF:]],$A26,Aug_Period_2_Tbl[[#All],['# PTO USED]])+  SUMIF(Sep_Period_2_Tbl[[#All],[STAFF:]],$A26,Sep_Period_2_Tbl[[#All],['# PTO USED]])+  SUMIF(Oct_Period_2_Tbl[[#All],[STAFF:]],$A26,Oct_Period_2_Tbl[[#All],['# PTO USED]])+     SUMIF(Nov_Period_2_Tbl[[#All],[STAFF:]],$A26,Nov_Period_2_Tbl[[#All],['# PTO USED]])+  SUMIF(Dec_Period_2_Tbl[[#All],[STAFF:]],$A26,Dec_Period_2_Tbl[[#All],['# PTO USED]]))</f>
        <v>0</v>
      </c>
      <c r="F26" s="189">
        <f>(SUMIF(Jan_Period_1_Tbl[[#All],[STAFF:]],$A26,Jan_Period_1_Tbl[[#All],['# HRS WORKED]])+
SUMIF(Feb_Period_1_Tbl[[#All],[STAFF:]],$A26,Feb_Period_1_Tbl[[#All],['# HRS WORKED]])+SUMIF(Mar_Period_1_Tbl[[#All],[STAFF:]],$A26,Mar_Period_1_Tbl[[#All],['# HRS WORKED]])+SUMIF(Apr_Period_1_Tbl[[#All],[STAFF:]],$A26,Apr_Period_1_Tbl[[#All],['# HRS WORKED]])+   SUMIF(May_Period_1_Tbl[[#All],[STAFF:]],$A26,May_Period_1_Tbl[[#All],['# HRS WORKED]])+   SUMIF(Jun_Period_1_Tbl[[#All],[STAFF:]],$A26,Jun_Period_1_Tbl[[#All],['# HRS WORKED]])+  SUMIF(Jul_Period_1_Tbl[[#All],[STAFF:]],$A26,Jul_Period_1_Tbl[[#All],['# HRS WORKED]])+  SUMIF(Aug_Period_1_Tbl[[#All],[STAFF:]],$A26,Aug_Period_1_Tbl[[#All],['# HRS WORKED]])+  SUMIF(Sep_Period_1_Tbl[[#All],[STAFF:]],$A26,Sep_Period_1_Tbl[[#All],['# HRS WORKED]])+  SUMIF(Oct_Period_1_Tbl[[#All],[STAFF:]],$A26,Oct_Period_1_Tbl[[#All],['# HRS WORKED]])+     SUMIF(Nov_Period_1_Tbl[[#All],[STAFF:]],$A26,Nov_Period_1_Tbl[[#All],['# HRS WORKED]])+  SUMIF(Dec_Period_1_Tbl[[#All],[STAFF:]],$A26,Dec_Period_1_Tbl[[#All],['# HRS WORKED]]))+   (SUMIF(Jan_Period_2_Tbl[[#All],[STAFF:]],$A26,Jan_Period_2_Tbl[[#All],['# HRS WORKED]])+
SUMIF(Feb_Period_2_Tbl[[#All],[STAFF:]],$A26,Feb_Period_2_Tbl[[#All],['# HRS WORKED]])+SUMIF(Mar_Period_2_Tbl[[#All],[STAFF:]],$A26,Mar_Period_2_Tbl[[#All],['# HRS WORKED]])+SUMIF(Apr_Period_2_Tbl[[#All],[STAFF:]],$A26,Apr_Period_2_Tbl[[#All],['# HRS WORKED]])+   SUMIF(May_Period_2_Tbl[[#All],[STAFF:]],$A26,May_Period_2_Tbl[[#All],['# HRS WORKED]])+   SUMIF(Jun_Period_2_Tbl[[#All],[STAFF:]],$A26,Jun_Period_2_Tbl[[#All],['# HRS WORKED]])+  SUMIF(Jul_Period_2_Tbl[[#All],[STAFF:]],$A26,Jul_Period_2_Tbl[[#All],['# HRS WORKED]])+  SUMIF(Aug_Period_2_Tbl[[#All],[STAFF:]],$A26,Aug_Period_2_Tbl[[#All],['# HRS WORKED]])+  SUMIF(Sep_Period_2_Tbl[[#All],[STAFF:]],$A26,Sep_Period_2_Tbl[[#All],['# HRS WORKED]])+  SUMIF(Oct_Period_2_Tbl[[#All],[STAFF:]],$A26,Oct_Period_2_Tbl[[#All],['# HRS WORKED]])+     SUMIF(Nov_Period_2_Tbl[[#All],[STAFF:]],$A26,Nov_Period_2_Tbl[[#All],['# HRS WORKED]])+  SUMIF(Dec_Period_2_Tbl[[#All],[STAFF:]],$A26,Dec_Period_2_Tbl[[#All],['# HRS WORKED]]))</f>
        <v>0</v>
      </c>
      <c r="G26" s="190">
        <f>(SUMIF(Jan_Period_1_Tbl[[#All],[STAFF:]],$A26,Jan_Period_1_Tbl[[#All],[$ Hourly WAGES]])+
SUMIF(Feb_Period_1_Tbl[[#All],[STAFF:]],$A26,Feb_Period_1_Tbl[[#All],[$ Hourly WAGES]])+SUMIF(Mar_Period_1_Tbl[[#All],[STAFF:]],$A26,Mar_Period_1_Tbl[[#All],[$ Hourly WAGES]])+SUMIF(Apr_Period_1_Tbl[[#All],[STAFF:]],$A26,Apr_Period_1_Tbl[[#All],[$ Hourly WAGES]])+   SUMIF(May_Period_1_Tbl[[#All],[STAFF:]],$A26,May_Period_1_Tbl[[#All],[$ Hourly WAGES]])+   SUMIF(Jun_Period_1_Tbl[[#All],[STAFF:]],$A26,Jun_Period_1_Tbl[[#All],[$ Hourly WAGES]])+  SUMIF(Jul_Period_1_Tbl[[#All],[STAFF:]],$A26,Jul_Period_1_Tbl[[#All],[$ Hourly WAGES]])+  SUMIF(Aug_Period_1_Tbl[[#All],[STAFF:]],$A26,Aug_Period_1_Tbl[[#All],[$ Hourly WAGES]])+  SUMIF(Sep_Period_1_Tbl[[#All],[STAFF:]],$A26,Sep_Period_1_Tbl[[#All],[$ Hourly WAGES]])+  SUMIF(Oct_Period_1_Tbl[[#All],[STAFF:]],$A26,Oct_Period_1_Tbl[[#All],[$ Hourly WAGES]])+     SUMIF(Nov_Period_1_Tbl[[#All],[STAFF:]],$A26,Nov_Period_1_Tbl[[#All],[$ Hourly WAGES]])+  SUMIF(Dec_Period_1_Tbl[[#All],[STAFF:]],$A26,Dec_Period_1_Tbl[[#All],[$ Hourly WAGES]]))+   (SUMIF(Jan_Period_2_Tbl[[#All],[STAFF:]],$A26,Jan_Period_2_Tbl[[#All],[$ Hourly WAGES]])+
SUMIF(Feb_Period_2_Tbl[[#All],[STAFF:]],$A26,Feb_Period_2_Tbl[[#All],[$ Hourly WAGES]])+SUMIF(Mar_Period_2_Tbl[[#All],[STAFF:]],$A26,Mar_Period_2_Tbl[[#All],[$ Hourly WAGES]])+SUMIF(Apr_Period_2_Tbl[[#All],[STAFF:]],$A26,Apr_Period_2_Tbl[[#All],[$ Hourly WAGES]])+   SUMIF(May_Period_2_Tbl[[#All],[STAFF:]],$A26,May_Period_2_Tbl[[#All],[$ Hourly WAGES]])+   SUMIF(Jun_Period_2_Tbl[[#All],[STAFF:]],$A26,Jun_Period_2_Tbl[[#All],[$ Hourly WAGES]])+  SUMIF(Jul_Period_2_Tbl[[#All],[STAFF:]],$A26,Jul_Period_2_Tbl[[#All],[$ Hourly WAGES]])+  SUMIF(Aug_Period_2_Tbl[[#All],[STAFF:]],$A26,Aug_Period_2_Tbl[[#All],[$ Hourly WAGES]])+  SUMIF(Sep_Period_2_Tbl[[#All],[STAFF:]],$A26,Sep_Period_2_Tbl[[#All],[$ Hourly WAGES]])+  SUMIF(Oct_Period_2_Tbl[[#All],[STAFF:]],$A26,Oct_Period_2_Tbl[[#All],[$ Hourly WAGES]])+     SUMIF(Nov_Period_2_Tbl[[#All],[STAFF:]],$A26,Nov_Period_2_Tbl[[#All],[$ Hourly WAGES]])+  SUMIF(Dec_Period_2_Tbl[[#All],[STAFF:]],$A26,Dec_Period_2_Tbl[[#All],[$ Hourly WAGES]]))</f>
        <v>0</v>
      </c>
      <c r="H26" s="190">
        <f>(SUMIF(Jan_Period_1_Tbl[[#All],[STAFF:]],$A26,Jan_Period_1_Tbl[[#All],[$ SALARY]])+
SUMIF(Feb_Period_1_Tbl[[#All],[STAFF:]],$A26,Feb_Period_1_Tbl[[#All],[$ SALARY]])+SUMIF(Mar_Period_1_Tbl[[#All],[STAFF:]],$A26,Mar_Period_1_Tbl[[#All],[$ SALARY]])+SUMIF(Apr_Period_1_Tbl[[#All],[STAFF:]],$A26,Apr_Period_1_Tbl[[#All],[$ SALARY]])+   SUMIF(May_Period_1_Tbl[[#All],[STAFF:]],$A26,May_Period_1_Tbl[[#All],[$ SALARY]])+   SUMIF(Jun_Period_1_Tbl[[#All],[STAFF:]],$A26,Jun_Period_1_Tbl[[#All],[$ SALARY]])+  SUMIF(Jul_Period_1_Tbl[[#All],[STAFF:]],$A26,Jul_Period_1_Tbl[[#All],[$ SALARY]])+  SUMIF(Aug_Period_1_Tbl[[#All],[STAFF:]],$A26,Aug_Period_1_Tbl[[#All],[$ SALARY]])+  SUMIF(Sep_Period_1_Tbl[[#All],[STAFF:]],$A26,Sep_Period_1_Tbl[[#All],[$ SALARY]])+  SUMIF(Oct_Period_1_Tbl[[#All],[STAFF:]],$A26,Oct_Period_1_Tbl[[#All],[$ SALARY]])+     SUMIF(Nov_Period_1_Tbl[[#All],[STAFF:]],$A26,Nov_Period_1_Tbl[[#All],[$ SALARY]])+  SUMIF(Dec_Period_1_Tbl[[#All],[STAFF:]],$A26,Dec_Period_1_Tbl[[#All],[$ SALARY]]))+   (SUMIF(Jan_Period_2_Tbl[[#All],[STAFF:]],$A26,Jan_Period_2_Tbl[[#All],[$ SALARY]])+
SUMIF(Feb_Period_2_Tbl[[#All],[STAFF:]],$A26,Feb_Period_2_Tbl[[#All],[$ SALARY]])+SUMIF(Mar_Period_2_Tbl[[#All],[STAFF:]],$A26,Mar_Period_2_Tbl[[#All],[$ SALARY]])+SUMIF(Apr_Period_2_Tbl[[#All],[STAFF:]],$A26,Apr_Period_2_Tbl[[#All],[$ SALARY]])+   SUMIF(May_Period_2_Tbl[[#All],[STAFF:]],$A26,May_Period_2_Tbl[[#All],[$ SALARY]])+   SUMIF(Jun_Period_2_Tbl[[#All],[STAFF:]],$A26,Jun_Period_2_Tbl[[#All],[$ SALARY]])+  SUMIF(Jul_Period_2_Tbl[[#All],[STAFF:]],$A26,Jul_Period_2_Tbl[[#All],[$ SALARY]])+  SUMIF(Aug_Period_2_Tbl[[#All],[STAFF:]],$A26,Aug_Period_2_Tbl[[#All],[$ SALARY]])+  SUMIF(Sep_Period_2_Tbl[[#All],[STAFF:]],$A26,Sep_Period_2_Tbl[[#All],[$ SALARY]])+  SUMIF(Oct_Period_2_Tbl[[#All],[STAFF:]],$A26,Oct_Period_2_Tbl[[#All],[$ SALARY]])+     SUMIF(Nov_Period_2_Tbl[[#All],[STAFF:]],$A26,Nov_Period_2_Tbl[[#All],[$ SALARY]])+  SUMIF(Dec_Period_2_Tbl[[#All],[STAFF:]],$A26,Dec_Period_2_Tbl[[#All],[$ SALARY]]))</f>
        <v>0</v>
      </c>
      <c r="I26" s="190">
        <f>(SUMIF(Jan_Period_1_Tbl[[#All],[STAFF:]],$A26,Jan_Period_1_Tbl[[#All],[$ SALARY PT]])+
SUMIF(Feb_Period_1_Tbl[[#All],[STAFF:]],$A26,Feb_Period_1_Tbl[[#All],[$ SALARY PT]])+SUMIF(Mar_Period_1_Tbl[[#All],[STAFF:]],$A26,Mar_Period_1_Tbl[[#All],[$ SALARY PT]])+SUMIF(Apr_Period_1_Tbl[[#All],[STAFF:]],$A26,Apr_Period_1_Tbl[[#All],[$ SALARY PT]])+   SUMIF(May_Period_1_Tbl[[#All],[STAFF:]],$A26,May_Period_1_Tbl[[#All],[$ SALARY PT]])+   SUMIF(Jun_Period_1_Tbl[[#All],[STAFF:]],$A26,Jun_Period_1_Tbl[[#All],[$ SALARY PT]])+  SUMIF(Jul_Period_1_Tbl[[#All],[STAFF:]],$A26,Jul_Period_1_Tbl[[#All],[$ SALARY PT]])+  SUMIF(Aug_Period_1_Tbl[[#All],[STAFF:]],$A26,Aug_Period_1_Tbl[[#All],[$ SALARY PT]])+  SUMIF(Sep_Period_1_Tbl[[#All],[STAFF:]],$A26,Sep_Period_1_Tbl[[#All],[$ SALARY PT]])+  SUMIF(Oct_Period_1_Tbl[[#All],[STAFF:]],$A26,Oct_Period_1_Tbl[[#All],[$ SALARY PT]])+     SUMIF(Nov_Period_1_Tbl[[#All],[STAFF:]],$A26,Nov_Period_1_Tbl[[#All],[$ SALARY PT]])+  SUMIF(Dec_Period_1_Tbl[[#All],[STAFF:]],$A26,Dec_Period_1_Tbl[[#All],[$ SALARY PT]]))+   (SUMIF(Jan_Period_2_Tbl[[#All],[STAFF:]],$A26,Jan_Period_2_Tbl[[#All],[$ SALARY PT]])+
SUMIF(Feb_Period_2_Tbl[[#All],[STAFF:]],$A26,Feb_Period_2_Tbl[[#All],[$ SALARY PT]])+SUMIF(Mar_Period_2_Tbl[[#All],[STAFF:]],$A26,Mar_Period_2_Tbl[[#All],[$ SALARY PT]])+SUMIF(Apr_Period_2_Tbl[[#All],[STAFF:]],$A26,Apr_Period_2_Tbl[[#All],[$ SALARY PT]])+   SUMIF(May_Period_2_Tbl[[#All],[STAFF:]],$A26,May_Period_2_Tbl[[#All],[$ SALARY PT]])+   SUMIF(Jun_Period_2_Tbl[[#All],[STAFF:]],$A26,Jun_Period_2_Tbl[[#All],[$ SALARY PT]])+  SUMIF(Jul_Period_2_Tbl[[#All],[STAFF:]],$A26,Jul_Period_2_Tbl[[#All],[$ SALARY PT]])+  SUMIF(Aug_Period_2_Tbl[[#All],[STAFF:]],$A26,Aug_Period_2_Tbl[[#All],[$ SALARY PT]])+  SUMIF(Sep_Period_2_Tbl[[#All],[STAFF:]],$A26,Sep_Period_2_Tbl[[#All],[$ SALARY PT]])+  SUMIF(Oct_Period_2_Tbl[[#All],[STAFF:]],$A26,Oct_Period_2_Tbl[[#All],[$ SALARY PT]])+     SUMIF(Nov_Period_2_Tbl[[#All],[STAFF:]],$A26,Nov_Period_2_Tbl[[#All],[$ SALARY PT]])+  SUMIF(Dec_Period_2_Tbl[[#All],[STAFF:]],$A26,Dec_Period_2_Tbl[[#All],[$ SALARY PT]]))</f>
        <v>0</v>
      </c>
      <c r="J26" s="190">
        <f>(SUMIF(Jan_Period_1_Tbl[[#All],[STAFF:]],$A26,Jan_Period_1_Tbl[[#All],[$ FREE PT]])+
SUMIF(Feb_Period_1_Tbl[[#All],[STAFF:]],$A26,Feb_Period_1_Tbl[[#All],[$ FREE PT]])+SUMIF(Mar_Period_1_Tbl[[#All],[STAFF:]],$A26,Mar_Period_1_Tbl[[#All],[$ FREE PT]])+SUMIF(Apr_Period_1_Tbl[[#All],[STAFF:]],$A26,Apr_Period_1_Tbl[[#All],[$ FREE PT]])+   SUMIF(May_Period_1_Tbl[[#All],[STAFF:]],$A26,May_Period_1_Tbl[[#All],[$ FREE PT]])+   SUMIF(Jun_Period_1_Tbl[[#All],[STAFF:]],$A26,Jun_Period_1_Tbl[[#All],[$ FREE PT]])+  SUMIF(Jul_Period_1_Tbl[[#All],[STAFF:]],$A26,Jul_Period_1_Tbl[[#All],[$ FREE PT]])+  SUMIF(Aug_Period_1_Tbl[[#All],[STAFF:]],$A26,Aug_Period_1_Tbl[[#All],[$ FREE PT]])+  SUMIF(Sep_Period_1_Tbl[[#All],[STAFF:]],$A26,Sep_Period_1_Tbl[[#All],[$ FREE PT]])+  SUMIF(Oct_Period_1_Tbl[[#All],[STAFF:]],$A26,Oct_Period_1_Tbl[[#All],[$ FREE PT]])+     SUMIF(Nov_Period_1_Tbl[[#All],[STAFF:]],$A26,Nov_Period_1_Tbl[[#All],[$ FREE PT]])+  SUMIF(Dec_Period_1_Tbl[[#All],[STAFF:]],$A26,Dec_Period_1_Tbl[[#All],[$ FREE PT]]))+   (SUMIF(Jan_Period_2_Tbl[[#All],[STAFF:]],$A26,Jan_Period_2_Tbl[[#All],[$ FREE PT]])+
SUMIF(Feb_Period_2_Tbl[[#All],[STAFF:]],$A26,Feb_Period_2_Tbl[[#All],[$ FREE PT]])+SUMIF(Mar_Period_2_Tbl[[#All],[STAFF:]],$A26,Mar_Period_2_Tbl[[#All],[$ FREE PT]])+SUMIF(Apr_Period_2_Tbl[[#All],[STAFF:]],$A26,Apr_Period_2_Tbl[[#All],[$ FREE PT]])+   SUMIF(May_Period_2_Tbl[[#All],[STAFF:]],$A26,May_Period_2_Tbl[[#All],[$ FREE PT]])+   SUMIF(Jun_Period_2_Tbl[[#All],[STAFF:]],$A26,Jun_Period_2_Tbl[[#All],[$ FREE PT]])+  SUMIF(Jul_Period_2_Tbl[[#All],[STAFF:]],$A26,Jul_Period_2_Tbl[[#All],[$ FREE PT]])+  SUMIF(Aug_Period_2_Tbl[[#All],[STAFF:]],$A26,Aug_Period_2_Tbl[[#All],[$ FREE PT]])+  SUMIF(Sep_Period_2_Tbl[[#All],[STAFF:]],$A26,Sep_Period_2_Tbl[[#All],[$ FREE PT]])+  SUMIF(Oct_Period_2_Tbl[[#All],[STAFF:]],$A26,Oct_Period_2_Tbl[[#All],[$ FREE PT]])+     SUMIF(Nov_Period_2_Tbl[[#All],[STAFF:]],$A26,Nov_Period_2_Tbl[[#All],[$ FREE PT]])+  SUMIF(Dec_Period_2_Tbl[[#All],[STAFF:]],$A26,Dec_Period_2_Tbl[[#All],[$ FREE PT]]))</f>
        <v>0</v>
      </c>
      <c r="K26" s="190">
        <f>(SUMIF(Jan_Period_1_Tbl[[#All],[STAFF:]],$A26,Jan_Period_1_Tbl[[#All],[$ PAID PT]])+
SUMIF(Feb_Period_1_Tbl[[#All],[STAFF:]],$A26,Feb_Period_1_Tbl[[#All],[$ PAID PT]])+SUMIF(Mar_Period_1_Tbl[[#All],[STAFF:]],$A26,Mar_Period_1_Tbl[[#All],[$ PAID PT]])+SUMIF(Apr_Period_1_Tbl[[#All],[STAFF:]],$A26,Apr_Period_1_Tbl[[#All],[$ PAID PT]])+   SUMIF(May_Period_1_Tbl[[#All],[STAFF:]],$A26,May_Period_1_Tbl[[#All],[$ PAID PT]])+   SUMIF(Jun_Period_1_Tbl[[#All],[STAFF:]],$A26,Jun_Period_1_Tbl[[#All],[$ PAID PT]])+  SUMIF(Jul_Period_1_Tbl[[#All],[STAFF:]],$A26,Jul_Period_1_Tbl[[#All],[$ PAID PT]])+  SUMIF(Aug_Period_1_Tbl[[#All],[STAFF:]],$A26,Aug_Period_1_Tbl[[#All],[$ PAID PT]])+  SUMIF(Sep_Period_1_Tbl[[#All],[STAFF:]],$A26,Sep_Period_1_Tbl[[#All],[$ PAID PT]])+  SUMIF(Oct_Period_1_Tbl[[#All],[STAFF:]],$A26,Oct_Period_1_Tbl[[#All],[$ PAID PT]])+     SUMIF(Nov_Period_1_Tbl[[#All],[STAFF:]],$A26,Nov_Period_1_Tbl[[#All],[$ PAID PT]])+  SUMIF(Dec_Period_1_Tbl[[#All],[STAFF:]],$A26,Dec_Period_1_Tbl[[#All],[$ PAID PT]]))+   (SUMIF(Jan_Period_2_Tbl[[#All],[STAFF:]],$A26,Jan_Period_2_Tbl[[#All],[$ PAID PT]])+
SUMIF(Feb_Period_2_Tbl[[#All],[STAFF:]],$A26,Feb_Period_2_Tbl[[#All],[$ PAID PT]])+SUMIF(Mar_Period_2_Tbl[[#All],[STAFF:]],$A26,Mar_Period_2_Tbl[[#All],[$ PAID PT]])+SUMIF(Apr_Period_2_Tbl[[#All],[STAFF:]],$A26,Apr_Period_2_Tbl[[#All],[$ PAID PT]])+   SUMIF(May_Period_2_Tbl[[#All],[STAFF:]],$A26,May_Period_2_Tbl[[#All],[$ PAID PT]])+   SUMIF(Jun_Period_2_Tbl[[#All],[STAFF:]],$A26,Jun_Period_2_Tbl[[#All],[$ PAID PT]])+  SUMIF(Jul_Period_2_Tbl[[#All],[STAFF:]],$A26,Jul_Period_2_Tbl[[#All],[$ PAID PT]])+  SUMIF(Aug_Period_2_Tbl[[#All],[STAFF:]],$A26,Aug_Period_2_Tbl[[#All],[$ PAID PT]])+  SUMIF(Sep_Period_2_Tbl[[#All],[STAFF:]],$A26,Sep_Period_2_Tbl[[#All],[$ PAID PT]])+  SUMIF(Oct_Period_2_Tbl[[#All],[STAFF:]],$A26,Oct_Period_2_Tbl[[#All],[$ PAID PT]])+     SUMIF(Nov_Period_2_Tbl[[#All],[STAFF:]],$A26,Nov_Period_2_Tbl[[#All],[$ PAID PT]])+  SUMIF(Dec_Period_2_Tbl[[#All],[STAFF:]],$A26,Dec_Period_2_Tbl[[#All],[$ PAID PT]]))</f>
        <v>0</v>
      </c>
      <c r="L26" s="190">
        <f>(SUMIF(Jan_Period_1_Tbl[[#All],[STAFF:]],$A26,Jan_Period_1_Tbl[[#All],[$ PT COMM]])+
SUMIF(Feb_Period_1_Tbl[[#All],[STAFF:]],$A26,Feb_Period_1_Tbl[[#All],[$ PT COMM]])+SUMIF(Mar_Period_1_Tbl[[#All],[STAFF:]],$A26,Mar_Period_1_Tbl[[#All],[$ PT COMM]])+SUMIF(Apr_Period_1_Tbl[[#All],[STAFF:]],$A26,Apr_Period_1_Tbl[[#All],[$ PT COMM]])+   SUMIF(May_Period_1_Tbl[[#All],[STAFF:]],$A26,May_Period_1_Tbl[[#All],[$ PT COMM]])+   SUMIF(Jun_Period_1_Tbl[[#All],[STAFF:]],$A26,Jun_Period_1_Tbl[[#All],[$ PT COMM]])+  SUMIF(Jul_Period_1_Tbl[[#All],[STAFF:]],$A26,Jul_Period_1_Tbl[[#All],[$ PT COMM]])+  SUMIF(Aug_Period_1_Tbl[[#All],[STAFF:]],$A26,Aug_Period_1_Tbl[[#All],[$ PT COMM]])+  SUMIF(Sep_Period_1_Tbl[[#All],[STAFF:]],$A26,Sep_Period_1_Tbl[[#All],[$ PT COMM]])+  SUMIF(Oct_Period_1_Tbl[[#All],[STAFF:]],$A26,Oct_Period_1_Tbl[[#All],[$ PT COMM]])+     SUMIF(Nov_Period_1_Tbl[[#All],[STAFF:]],$A26,Nov_Period_1_Tbl[[#All],[$ PT COMM]])+  SUMIF(Dec_Period_1_Tbl[[#All],[STAFF:]],$A26,Dec_Period_1_Tbl[[#All],[$ PT COMM]]))+   (SUMIF(Jan_Period_2_Tbl[[#All],[STAFF:]],$A26,Jan_Period_2_Tbl[[#All],[$ PT COMM]])+
SUMIF(Feb_Period_2_Tbl[[#All],[STAFF:]],$A26,Feb_Period_2_Tbl[[#All],[$ PT COMM]])+SUMIF(Mar_Period_2_Tbl[[#All],[STAFF:]],$A26,Mar_Period_2_Tbl[[#All],[$ PT COMM]])+SUMIF(Apr_Period_2_Tbl[[#All],[STAFF:]],$A26,Apr_Period_2_Tbl[[#All],[$ PT COMM]])+   SUMIF(May_Period_2_Tbl[[#All],[STAFF:]],$A26,May_Period_2_Tbl[[#All],[$ PT COMM]])+   SUMIF(Jun_Period_2_Tbl[[#All],[STAFF:]],$A26,Jun_Period_2_Tbl[[#All],[$ PT COMM]])+  SUMIF(Jul_Period_2_Tbl[[#All],[STAFF:]],$A26,Jul_Period_2_Tbl[[#All],[$ PT COMM]])+  SUMIF(Aug_Period_2_Tbl[[#All],[STAFF:]],$A26,Aug_Period_2_Tbl[[#All],[$ PT COMM]])+  SUMIF(Sep_Period_2_Tbl[[#All],[STAFF:]],$A26,Sep_Period_2_Tbl[[#All],[$ PT COMM]])+  SUMIF(Oct_Period_2_Tbl[[#All],[STAFF:]],$A26,Oct_Period_2_Tbl[[#All],[$ PT COMM]])+     SUMIF(Nov_Period_2_Tbl[[#All],[STAFF:]],$A26,Nov_Period_2_Tbl[[#All],[$ PT COMM]])+  SUMIF(Dec_Period_2_Tbl[[#All],[STAFF:]],$A26,Dec_Period_2_Tbl[[#All],[$ PT COMM]]))</f>
        <v>0</v>
      </c>
      <c r="M26" s="190">
        <f>(SUMIF(Jan_Period_1_Tbl[[#All],[STAFF:]],$A26,Jan_Period_1_Tbl[[#All],[$ EFT COMM]])+
SUMIF(Feb_Period_1_Tbl[[#All],[STAFF:]],$A26,Feb_Period_1_Tbl[[#All],[$ EFT COMM]])+SUMIF(Mar_Period_1_Tbl[[#All],[STAFF:]],$A26,Mar_Period_1_Tbl[[#All],[$ EFT COMM]])+SUMIF(Apr_Period_1_Tbl[[#All],[STAFF:]],$A26,Apr_Period_1_Tbl[[#All],[$ EFT COMM]])+   SUMIF(May_Period_1_Tbl[[#All],[STAFF:]],$A26,May_Period_1_Tbl[[#All],[$ EFT COMM]])+   SUMIF(Jun_Period_1_Tbl[[#All],[STAFF:]],$A26,Jun_Period_1_Tbl[[#All],[$ EFT COMM]])+  SUMIF(Jul_Period_1_Tbl[[#All],[STAFF:]],$A26,Jul_Period_1_Tbl[[#All],[$ EFT COMM]])+  SUMIF(Aug_Period_1_Tbl[[#All],[STAFF:]],$A26,Aug_Period_1_Tbl[[#All],[$ EFT COMM]])+  SUMIF(Sep_Period_1_Tbl[[#All],[STAFF:]],$A26,Sep_Period_1_Tbl[[#All],[$ EFT COMM]])+  SUMIF(Oct_Period_1_Tbl[[#All],[STAFF:]],$A26,Oct_Period_1_Tbl[[#All],[$ EFT COMM]])+     SUMIF(Nov_Period_1_Tbl[[#All],[STAFF:]],$A26,Nov_Period_1_Tbl[[#All],[$ EFT COMM]])+  SUMIF(Dec_Period_1_Tbl[[#All],[STAFF:]],$A26,Dec_Period_1_Tbl[[#All],[$ EFT COMM]]))+   (SUMIF(Jan_Period_2_Tbl[[#All],[STAFF:]],$A26,Jan_Period_2_Tbl[[#All],[$ EFT COMM]])+
SUMIF(Feb_Period_2_Tbl[[#All],[STAFF:]],$A26,Feb_Period_2_Tbl[[#All],[$ EFT COMM]])+SUMIF(Mar_Period_2_Tbl[[#All],[STAFF:]],$A26,Mar_Period_2_Tbl[[#All],[$ EFT COMM]])+SUMIF(Apr_Period_2_Tbl[[#All],[STAFF:]],$A26,Apr_Period_2_Tbl[[#All],[$ EFT COMM]])+   SUMIF(May_Period_2_Tbl[[#All],[STAFF:]],$A26,May_Period_2_Tbl[[#All],[$ EFT COMM]])+   SUMIF(Jun_Period_2_Tbl[[#All],[STAFF:]],$A26,Jun_Period_2_Tbl[[#All],[$ EFT COMM]])+  SUMIF(Jul_Period_2_Tbl[[#All],[STAFF:]],$A26,Jul_Period_2_Tbl[[#All],[$ EFT COMM]])+  SUMIF(Aug_Period_2_Tbl[[#All],[STAFF:]],$A26,Aug_Period_2_Tbl[[#All],[$ EFT COMM]])+  SUMIF(Sep_Period_2_Tbl[[#All],[STAFF:]],$A26,Sep_Period_2_Tbl[[#All],[$ EFT COMM]])+  SUMIF(Oct_Period_2_Tbl[[#All],[STAFF:]],$A26,Oct_Period_2_Tbl[[#All],[$ EFT COMM]])+     SUMIF(Nov_Period_2_Tbl[[#All],[STAFF:]],$A26,Nov_Period_2_Tbl[[#All],[$ EFT COMM]])+  SUMIF(Dec_Period_2_Tbl[[#All],[STAFF:]],$A26,Dec_Period_2_Tbl[[#All],[$ EFT COMM]]))</f>
        <v>0</v>
      </c>
      <c r="N26" s="190">
        <f>(SUMIF(Jan_Period_1_Tbl[[#All],[STAFF:]],$A26,Jan_Period_1_Tbl[[#All],[$ CLASS PAY]])+
SUMIF(Feb_Period_1_Tbl[[#All],[STAFF:]],$A26,Feb_Period_1_Tbl[[#All],[$ CLASS PAY]])+SUMIF(Mar_Period_1_Tbl[[#All],[STAFF:]],$A26,Mar_Period_1_Tbl[[#All],[$ CLASS PAY]])+SUMIF(Apr_Period_1_Tbl[[#All],[STAFF:]],$A26,Apr_Period_1_Tbl[[#All],[$ CLASS PAY]])+   SUMIF(May_Period_1_Tbl[[#All],[STAFF:]],$A26,May_Period_1_Tbl[[#All],[$ CLASS PAY]])+   SUMIF(Jun_Period_1_Tbl[[#All],[STAFF:]],$A26,Jun_Period_1_Tbl[[#All],[$ CLASS PAY]])+  SUMIF(Jul_Period_1_Tbl[[#All],[STAFF:]],$A26,Jul_Period_1_Tbl[[#All],[$ CLASS PAY]])+  SUMIF(Aug_Period_1_Tbl[[#All],[STAFF:]],$A26,Aug_Period_1_Tbl[[#All],[$ CLASS PAY]])+  SUMIF(Sep_Period_1_Tbl[[#All],[STAFF:]],$A26,Sep_Period_1_Tbl[[#All],[$ CLASS PAY]])+  SUMIF(Oct_Period_1_Tbl[[#All],[STAFF:]],$A26,Oct_Period_1_Tbl[[#All],[$ CLASS PAY]])+     SUMIF(Nov_Period_1_Tbl[[#All],[STAFF:]],$A26,Nov_Period_1_Tbl[[#All],[$ CLASS PAY]])+  SUMIF(Dec_Period_1_Tbl[[#All],[STAFF:]],$A26,Dec_Period_1_Tbl[[#All],[$ CLASS PAY]]))+   (SUMIF(Jan_Period_2_Tbl[[#All],[STAFF:]],$A26,Jan_Period_2_Tbl[[#All],[$ CLASS PAY]])+
SUMIF(Feb_Period_2_Tbl[[#All],[STAFF:]],$A26,Feb_Period_2_Tbl[[#All],[$ CLASS PAY]])+SUMIF(Mar_Period_2_Tbl[[#All],[STAFF:]],$A26,Mar_Period_2_Tbl[[#All],[$ CLASS PAY]])+SUMIF(Apr_Period_2_Tbl[[#All],[STAFF:]],$A26,Apr_Period_2_Tbl[[#All],[$ CLASS PAY]])+   SUMIF(May_Period_2_Tbl[[#All],[STAFF:]],$A26,May_Period_2_Tbl[[#All],[$ CLASS PAY]])+   SUMIF(Jun_Period_2_Tbl[[#All],[STAFF:]],$A26,Jun_Period_2_Tbl[[#All],[$ CLASS PAY]])+  SUMIF(Jul_Period_2_Tbl[[#All],[STAFF:]],$A26,Jul_Period_2_Tbl[[#All],[$ CLASS PAY]])+  SUMIF(Aug_Period_2_Tbl[[#All],[STAFF:]],$A26,Aug_Period_2_Tbl[[#All],[$ CLASS PAY]])+  SUMIF(Sep_Period_2_Tbl[[#All],[STAFF:]],$A26,Sep_Period_2_Tbl[[#All],[$ CLASS PAY]])+  SUMIF(Oct_Period_2_Tbl[[#All],[STAFF:]],$A26,Oct_Period_2_Tbl[[#All],[$ CLASS PAY]])+     SUMIF(Nov_Period_2_Tbl[[#All],[STAFF:]],$A26,Nov_Period_2_Tbl[[#All],[$ CLASS PAY]])+  SUMIF(Dec_Period_2_Tbl[[#All],[STAFF:]],$A26,Dec_Period_2_Tbl[[#All],[$ CLASS PAY]]))</f>
        <v>0</v>
      </c>
      <c r="O26" s="191">
        <f>(SUMIF(Jan_Period_1_Tbl[[#All],[STAFF:]],$A26,Jan_Period_1_Tbl[[#All],[$ BONUS PAY]])+
SUMIF(Feb_Period_1_Tbl[[#All],[STAFF:]],$A26,Feb_Period_1_Tbl[[#All],[$ BONUS PAY]])+SUMIF(Mar_Period_1_Tbl[[#All],[STAFF:]],$A26,Mar_Period_1_Tbl[[#All],[$ BONUS PAY]])+SUMIF(Apr_Period_1_Tbl[[#All],[STAFF:]],$A26,Apr_Period_1_Tbl[[#All],[$ BONUS PAY]])+   SUMIF(May_Period_1_Tbl[[#All],[STAFF:]],$A26,May_Period_1_Tbl[[#All],[$ BONUS PAY]])+   SUMIF(Jun_Period_1_Tbl[[#All],[STAFF:]],$A26,Jun_Period_1_Tbl[[#All],[$ BONUS PAY]])+  SUMIF(Jul_Period_1_Tbl[[#All],[STAFF:]],$A26,Jul_Period_1_Tbl[[#All],[$ BONUS PAY]])+  SUMIF(Aug_Period_1_Tbl[[#All],[STAFF:]],$A26,Aug_Period_1_Tbl[[#All],[$ BONUS PAY]])+  SUMIF(Sep_Period_1_Tbl[[#All],[STAFF:]],$A26,Sep_Period_1_Tbl[[#All],[$ BONUS PAY]])+  SUMIF(Oct_Period_1_Tbl[[#All],[STAFF:]],$A26,Oct_Period_1_Tbl[[#All],[$ BONUS PAY]])+     SUMIF(Nov_Period_1_Tbl[[#All],[STAFF:]],$A26,Nov_Period_1_Tbl[[#All],[$ BONUS PAY]])+  SUMIF(Dec_Period_1_Tbl[[#All],[STAFF:]],$A26,Dec_Period_1_Tbl[[#All],[$ BONUS PAY]]))+   (SUMIF(Jan_Period_2_Tbl[[#All],[STAFF:]],$A26,Jan_Period_2_Tbl[[#All],[$ BONUS PAY]])+
SUMIF(Feb_Period_2_Tbl[[#All],[STAFF:]],$A26,Feb_Period_2_Tbl[[#All],[$ BONUS PAY]])+SUMIF(Mar_Period_2_Tbl[[#All],[STAFF:]],$A26,Mar_Period_2_Tbl[[#All],[$ BONUS PAY]])+SUMIF(Apr_Period_2_Tbl[[#All],[STAFF:]],$A26,Apr_Period_2_Tbl[[#All],[$ BONUS PAY]])+   SUMIF(May_Period_2_Tbl[[#All],[STAFF:]],$A26,May_Period_2_Tbl[[#All],[$ BONUS PAY]])+   SUMIF(Jun_Period_2_Tbl[[#All],[STAFF:]],$A26,Jun_Period_2_Tbl[[#All],[$ BONUS PAY]])+  SUMIF(Jul_Period_2_Tbl[[#All],[STAFF:]],$A26,Jul_Period_2_Tbl[[#All],[$ BONUS PAY]])+  SUMIF(Aug_Period_2_Tbl[[#All],[STAFF:]],$A26,Aug_Period_2_Tbl[[#All],[$ BONUS PAY]])+  SUMIF(Sep_Period_2_Tbl[[#All],[STAFF:]],$A26,Sep_Period_2_Tbl[[#All],[$ BONUS PAY]])+  SUMIF(Oct_Period_2_Tbl[[#All],[STAFF:]],$A26,Oct_Period_2_Tbl[[#All],[$ BONUS PAY]])+     SUMIF(Nov_Period_2_Tbl[[#All],[STAFF:]],$A26,Nov_Period_2_Tbl[[#All],[$ BONUS PAY]])+  SUMIF(Dec_Period_2_Tbl[[#All],[STAFF:]],$A26,Dec_Period_2_Tbl[[#All],[$ BONUS PAY]]))</f>
        <v>0</v>
      </c>
      <c r="P26" s="179">
        <f t="shared" si="0"/>
        <v>0</v>
      </c>
      <c r="Q26" s="149"/>
      <c r="R26" s="152">
        <f>(SUMIF(Jan_Period_1_Tbl[[#All],[STAFF:]],$A26,Jan_Period_1_Tbl[[#All],['# POINTS EARNED]])+
SUMIF(Feb_Period_1_Tbl[[#All],[STAFF:]],$A26,Feb_Period_1_Tbl[[#All],['# POINTS EARNED]])+SUMIF(Mar_Period_1_Tbl[[#All],[STAFF:]],$A26,Mar_Period_1_Tbl[[#All],['# POINTS EARNED]])+SUMIF(Apr_Period_1_Tbl[[#All],[STAFF:]],$A26,Apr_Period_1_Tbl[[#All],['# POINTS EARNED]])+   SUMIF(May_Period_1_Tbl[[#All],[STAFF:]],$A26,May_Period_1_Tbl[[#All],['# POINTS EARNED]])+   SUMIF(Jun_Period_1_Tbl[[#All],[STAFF:]],$A26,Jun_Period_1_Tbl[[#All],['# POINTS EARNED]])+  SUMIF(Jul_Period_1_Tbl[[#All],[STAFF:]],$A26,Jul_Period_1_Tbl[[#All],['# POINTS EARNED]])+  SUMIF(Aug_Period_1_Tbl[[#All],[STAFF:]],$A26,Aug_Period_1_Tbl[[#All],['# POINTS EARNED]])+  SUMIF(Sep_Period_1_Tbl[[#All],[STAFF:]],$A26,Sep_Period_1_Tbl[[#All],['# POINTS EARNED]])+  SUMIF(Oct_Period_1_Tbl[[#All],[STAFF:]],$A26,Oct_Period_1_Tbl[[#All],['# POINTS EARNED]])+     SUMIF(Nov_Period_1_Tbl[[#All],[STAFF:]],$A26,Nov_Period_1_Tbl[[#All],['# POINTS EARNED]])+  SUMIF(Dec_Period_1_Tbl[[#All],[STAFF:]],$A26,Dec_Period_1_Tbl[[#All],['# POINTS EARNED]]))+   (SUMIF(Jan_Period_2_Tbl[[#All],[STAFF:]],$A26,Jan_Period_2_Tbl[[#All],['# POINTS EARNED]])+
SUMIF(Feb_Period_2_Tbl[[#All],[STAFF:]],$A26,Feb_Period_2_Tbl[[#All],['# POINTS EARNED]])+SUMIF(Mar_Period_2_Tbl[[#All],[STAFF:]],$A26,Mar_Period_2_Tbl[[#All],['# POINTS EARNED]])+SUMIF(Apr_Period_2_Tbl[[#All],[STAFF:]],$A26,Apr_Period_2_Tbl[[#All],['# POINTS EARNED]])+   SUMIF(May_Period_2_Tbl[[#All],[STAFF:]],$A26,May_Period_2_Tbl[[#All],['# POINTS EARNED]])+   SUMIF(Jun_Period_2_Tbl[[#All],[STAFF:]],$A26,Jun_Period_2_Tbl[[#All],['# POINTS EARNED]])+  SUMIF(Jul_Period_2_Tbl[[#All],[STAFF:]],$A26,Jul_Period_2_Tbl[[#All],['# POINTS EARNED]])+  SUMIF(Aug_Period_2_Tbl[[#All],[STAFF:]],$A26,Aug_Period_2_Tbl[[#All],['# POINTS EARNED]])+  SUMIF(Sep_Period_2_Tbl[[#All],[STAFF:]],$A26,Sep_Period_2_Tbl[[#All],['# POINTS EARNED]])+  SUMIF(Oct_Period_2_Tbl[[#All],[STAFF:]],$A26,Oct_Period_2_Tbl[[#All],['# POINTS EARNED]])+     SUMIF(Nov_Period_2_Tbl[[#All],[STAFF:]],$A26,Nov_Period_2_Tbl[[#All],['# POINTS EARNED]])+  SUMIF(Dec_Period_2_Tbl[[#All],[STAFF:]],$A26,Dec_Period_2_Tbl[[#All],['# POINTS EARNED]]))</f>
        <v>0</v>
      </c>
      <c r="S26" s="152">
        <f>(SUMIF(Jan_Period_1_Tbl[[#All],[STAFF:]],$A26,Jan_Period_1_Tbl[[#All],['# POINTS USED]])+
SUMIF(Feb_Period_1_Tbl[[#All],[STAFF:]],$A26,Feb_Period_1_Tbl[[#All],['# POINTS USED]])+SUMIF(Mar_Period_1_Tbl[[#All],[STAFF:]],$A26,Mar_Period_1_Tbl[[#All],['# POINTS USED]])+SUMIF(Apr_Period_1_Tbl[[#All],[STAFF:]],$A26,Apr_Period_1_Tbl[[#All],['# POINTS USED]])+   SUMIF(May_Period_1_Tbl[[#All],[STAFF:]],$A26,May_Period_1_Tbl[[#All],['# POINTS USED]])+   SUMIF(Jun_Period_1_Tbl[[#All],[STAFF:]],$A26,Jun_Period_1_Tbl[[#All],['# POINTS USED]])+  SUMIF(Jul_Period_1_Tbl[[#All],[STAFF:]],$A26,Jul_Period_1_Tbl[[#All],['# POINTS USED]])+  SUMIF(Aug_Period_1_Tbl[[#All],[STAFF:]],$A26,Aug_Period_1_Tbl[[#All],['# POINTS USED]])+  SUMIF(Sep_Period_1_Tbl[[#All],[STAFF:]],$A26,Sep_Period_1_Tbl[[#All],['# POINTS USED]])+  SUMIF(Oct_Period_1_Tbl[[#All],[STAFF:]],$A26,Oct_Period_1_Tbl[[#All],['# POINTS USED]])+     SUMIF(Nov_Period_1_Tbl[[#All],[STAFF:]],$A26,Nov_Period_1_Tbl[[#All],['# POINTS USED]])+  SUMIF(Dec_Period_1_Tbl[[#All],[STAFF:]],$A26,Dec_Period_1_Tbl[[#All],['# POINTS USED]]))+   (SUMIF(Jan_Period_2_Tbl[[#All],[STAFF:]],$A26,Jan_Period_2_Tbl[[#All],['# POINTS USED]])+
SUMIF(Feb_Period_2_Tbl[[#All],[STAFF:]],$A26,Feb_Period_2_Tbl[[#All],['# POINTS USED]])+SUMIF(Mar_Period_2_Tbl[[#All],[STAFF:]],$A26,Mar_Period_2_Tbl[[#All],['# POINTS USED]])+SUMIF(Apr_Period_2_Tbl[[#All],[STAFF:]],$A26,Apr_Period_2_Tbl[[#All],['# POINTS USED]])+   SUMIF(May_Period_2_Tbl[[#All],[STAFF:]],$A26,May_Period_2_Tbl[[#All],['# POINTS USED]])+   SUMIF(Jun_Period_2_Tbl[[#All],[STAFF:]],$A26,Jun_Period_2_Tbl[[#All],['# POINTS USED]])+  SUMIF(Jul_Period_2_Tbl[[#All],[STAFF:]],$A26,Jul_Period_2_Tbl[[#All],['# POINTS USED]])+  SUMIF(Aug_Period_2_Tbl[[#All],[STAFF:]],$A26,Aug_Period_2_Tbl[[#All],['# POINTS USED]])+  SUMIF(Sep_Period_2_Tbl[[#All],[STAFF:]],$A26,Sep_Period_2_Tbl[[#All],['# POINTS USED]])+  SUMIF(Oct_Period_2_Tbl[[#All],[STAFF:]],$A26,Oct_Period_2_Tbl[[#All],['# POINTS USED]])+     SUMIF(Nov_Period_2_Tbl[[#All],[STAFF:]],$A26,Nov_Period_2_Tbl[[#All],['# POINTS USED]])+  SUMIF(Dec_Period_2_Tbl[[#All],[STAFF:]],$A26,Dec_Period_2_Tbl[[#All],['# POINTS USED]]))</f>
        <v>0</v>
      </c>
      <c r="T26" s="152">
        <f>(SUMIF(Jan_Period_1_Tbl[[#All],[STAFF:]],$A26,Jan_Period_1_Tbl[[#All],['# CLASSES LEAD]])+
SUMIF(Feb_Period_1_Tbl[[#All],[STAFF:]],$A26,Feb_Period_1_Tbl[[#All],['# CLASSES LEAD]])+SUMIF(Mar_Period_1_Tbl[[#All],[STAFF:]],$A26,Mar_Period_1_Tbl[[#All],['# CLASSES LEAD]])+SUMIF(Apr_Period_1_Tbl[[#All],[STAFF:]],$A26,Apr_Period_1_Tbl[[#All],['# CLASSES LEAD]])+   SUMIF(May_Period_1_Tbl[[#All],[STAFF:]],$A26,May_Period_1_Tbl[[#All],['# CLASSES LEAD]])+   SUMIF(Jun_Period_1_Tbl[[#All],[STAFF:]],$A26,Jun_Period_1_Tbl[[#All],['# CLASSES LEAD]])+  SUMIF(Jul_Period_1_Tbl[[#All],[STAFF:]],$A26,Jul_Period_1_Tbl[[#All],['# CLASSES LEAD]])+  SUMIF(Aug_Period_1_Tbl[[#All],[STAFF:]],$A26,Aug_Period_1_Tbl[[#All],['# CLASSES LEAD]])+  SUMIF(Sep_Period_1_Tbl[[#All],[STAFF:]],$A26,Sep_Period_1_Tbl[[#All],['# CLASSES LEAD]])+  SUMIF(Oct_Period_1_Tbl[[#All],[STAFF:]],$A26,Oct_Period_1_Tbl[[#All],['# CLASSES LEAD]])+     SUMIF(Nov_Period_1_Tbl[[#All],[STAFF:]],$A26,Nov_Period_1_Tbl[[#All],['# CLASSES LEAD]])+  SUMIF(Dec_Period_1_Tbl[[#All],[STAFF:]],$A26,Dec_Period_1_Tbl[[#All],['# CLASSES LEAD]]))+   (SUMIF(Jan_Period_2_Tbl[[#All],[STAFF:]],$A26,Jan_Period_2_Tbl[[#All],['# CLASSES LEAD]])+
SUMIF(Feb_Period_2_Tbl[[#All],[STAFF:]],$A26,Feb_Period_2_Tbl[[#All],['# CLASSES LEAD]])+SUMIF(Mar_Period_2_Tbl[[#All],[STAFF:]],$A26,Mar_Period_2_Tbl[[#All],['# CLASSES LEAD]])+SUMIF(Apr_Period_2_Tbl[[#All],[STAFF:]],$A26,Apr_Period_2_Tbl[[#All],['# CLASSES LEAD]])+   SUMIF(May_Period_2_Tbl[[#All],[STAFF:]],$A26,May_Period_2_Tbl[[#All],['# CLASSES LEAD]])+   SUMIF(Jun_Period_2_Tbl[[#All],[STAFF:]],$A26,Jun_Period_2_Tbl[[#All],['# CLASSES LEAD]])+  SUMIF(Jul_Period_2_Tbl[[#All],[STAFF:]],$A26,Jul_Period_2_Tbl[[#All],['# CLASSES LEAD]])+  SUMIF(Aug_Period_2_Tbl[[#All],[STAFF:]],$A26,Aug_Period_2_Tbl[[#All],['# CLASSES LEAD]])+  SUMIF(Sep_Period_2_Tbl[[#All],[STAFF:]],$A26,Sep_Period_2_Tbl[[#All],['# CLASSES LEAD]])+  SUMIF(Oct_Period_2_Tbl[[#All],[STAFF:]],$A26,Oct_Period_2_Tbl[[#All],['# CLASSES LEAD]])+     SUMIF(Nov_Period_2_Tbl[[#All],[STAFF:]],$A26,Nov_Period_2_Tbl[[#All],['# CLASSES LEAD]])+  SUMIF(Dec_Period_2_Tbl[[#All],[STAFF:]],$A26,Dec_Period_2_Tbl[[#All],['# CLASSES LEAD]]))</f>
        <v>0</v>
      </c>
      <c r="U26" s="152">
        <f>(SUMIF(Jan_Period_1_Tbl[[#All],[STAFF:]],$A26,Jan_Period_1_Tbl[[#All],['# CLASSES SHOW]])+
SUMIF(Feb_Period_1_Tbl[[#All],[STAFF:]],$A26,Feb_Period_1_Tbl[[#All],['# CLASSES SHOW]])+SUMIF(Mar_Period_1_Tbl[[#All],[STAFF:]],$A26,Mar_Period_1_Tbl[[#All],['# CLASSES SHOW]])+SUMIF(Apr_Period_1_Tbl[[#All],[STAFF:]],$A26,Apr_Period_1_Tbl[[#All],['# CLASSES SHOW]])+   SUMIF(May_Period_1_Tbl[[#All],[STAFF:]],$A26,May_Period_1_Tbl[[#All],['# CLASSES SHOW]])+   SUMIF(Jun_Period_1_Tbl[[#All],[STAFF:]],$A26,Jun_Period_1_Tbl[[#All],['# CLASSES SHOW]])+  SUMIF(Jul_Period_1_Tbl[[#All],[STAFF:]],$A26,Jul_Period_1_Tbl[[#All],['# CLASSES SHOW]])+  SUMIF(Aug_Period_1_Tbl[[#All],[STAFF:]],$A26,Aug_Period_1_Tbl[[#All],['# CLASSES SHOW]])+  SUMIF(Sep_Period_1_Tbl[[#All],[STAFF:]],$A26,Sep_Period_1_Tbl[[#All],['# CLASSES SHOW]])+  SUMIF(Oct_Period_1_Tbl[[#All],[STAFF:]],$A26,Oct_Period_1_Tbl[[#All],['# CLASSES SHOW]])+     SUMIF(Nov_Period_1_Tbl[[#All],[STAFF:]],$A26,Nov_Period_1_Tbl[[#All],['# CLASSES SHOW]])+  SUMIF(Dec_Period_1_Tbl[[#All],[STAFF:]],$A26,Dec_Period_1_Tbl[[#All],['# CLASSES SHOW]]))+   (SUMIF(Jan_Period_2_Tbl[[#All],[STAFF:]],$A26,Jan_Period_2_Tbl[[#All],['# CLASSES SHOW]])+
SUMIF(Feb_Period_2_Tbl[[#All],[STAFF:]],$A26,Feb_Period_2_Tbl[[#All],['# CLASSES SHOW]])+SUMIF(Mar_Period_2_Tbl[[#All],[STAFF:]],$A26,Mar_Period_2_Tbl[[#All],['# CLASSES SHOW]])+SUMIF(Apr_Period_2_Tbl[[#All],[STAFF:]],$A26,Apr_Period_2_Tbl[[#All],['# CLASSES SHOW]])+   SUMIF(May_Period_2_Tbl[[#All],[STAFF:]],$A26,May_Period_2_Tbl[[#All],['# CLASSES SHOW]])+   SUMIF(Jun_Period_2_Tbl[[#All],[STAFF:]],$A26,Jun_Period_2_Tbl[[#All],['# CLASSES SHOW]])+  SUMIF(Jul_Period_2_Tbl[[#All],[STAFF:]],$A26,Jul_Period_2_Tbl[[#All],['# CLASSES SHOW]])+  SUMIF(Aug_Period_2_Tbl[[#All],[STAFF:]],$A26,Aug_Period_2_Tbl[[#All],['# CLASSES SHOW]])+  SUMIF(Sep_Period_2_Tbl[[#All],[STAFF:]],$A26,Sep_Period_2_Tbl[[#All],['# CLASSES SHOW]])+  SUMIF(Oct_Period_2_Tbl[[#All],[STAFF:]],$A26,Oct_Period_2_Tbl[[#All],['# CLASSES SHOW]])+     SUMIF(Nov_Period_2_Tbl[[#All],[STAFF:]],$A26,Nov_Period_2_Tbl[[#All],['# CLASSES SHOW]])+  SUMIF(Dec_Period_2_Tbl[[#All],[STAFF:]],$A26,Dec_Period_2_Tbl[[#All],['# CLASSES SHOW]]))</f>
        <v>0</v>
      </c>
      <c r="V26" s="156"/>
      <c r="W26" s="156"/>
      <c r="X26" s="154">
        <f t="shared" si="1"/>
        <v>0</v>
      </c>
      <c r="Y26" s="154">
        <f t="shared" si="2"/>
        <v>0</v>
      </c>
      <c r="Z26" s="154">
        <f t="shared" si="3"/>
        <v>0</v>
      </c>
      <c r="AA26" s="154">
        <f t="shared" si="4"/>
        <v>0</v>
      </c>
      <c r="AB26" s="154">
        <f t="shared" si="5"/>
        <v>0</v>
      </c>
      <c r="AC26" s="154">
        <f t="shared" si="6"/>
        <v>0</v>
      </c>
      <c r="AD26" s="154">
        <f t="shared" si="7"/>
        <v>0</v>
      </c>
      <c r="AE26" s="149"/>
      <c r="AF26" s="149"/>
      <c r="AG26" s="149"/>
      <c r="AH26" s="149"/>
      <c r="AJ26" s="75" t="str">
        <f t="shared" si="8"/>
        <v>zBlank</v>
      </c>
      <c r="AK26" s="210"/>
      <c r="AL26" s="168">
        <f>IFERROR(VLOOKUP(B26,List!$A:$B,2,FALSE),-1)</f>
        <v>-1</v>
      </c>
      <c r="AM26" s="168">
        <f>IFERROR(VLOOKUP(C26,List!$A:$B,2,FALSE),-1)</f>
        <v>-1</v>
      </c>
    </row>
    <row r="27" spans="1:39" ht="15" hidden="1" customHeight="1" x14ac:dyDescent="0.25">
      <c r="A27" s="20"/>
      <c r="B27" s="186"/>
      <c r="C27" s="186"/>
      <c r="D27" s="187"/>
      <c r="E27" s="188">
        <f>(SUMIF(Jan_Period_1_Tbl[[#All],[STAFF:]],$A27,Jan_Period_1_Tbl[[#All],['# PTO USED]])+
SUMIF(Feb_Period_1_Tbl[[#All],[STAFF:]],$A27,Feb_Period_1_Tbl[[#All],['# PTO USED]])+SUMIF(Mar_Period_1_Tbl[[#All],[STAFF:]],$A27,Mar_Period_1_Tbl[[#All],['# PTO USED]])+SUMIF(Apr_Period_1_Tbl[[#All],[STAFF:]],$A27,Apr_Period_1_Tbl[[#All],['# PTO USED]])+   SUMIF(May_Period_1_Tbl[[#All],[STAFF:]],$A27,May_Period_1_Tbl[[#All],['# PTO USED]])+   SUMIF(Jun_Period_1_Tbl[[#All],[STAFF:]],$A27,Jun_Period_1_Tbl[[#All],['# PTO USED]])+  SUMIF(Jul_Period_1_Tbl[[#All],[STAFF:]],$A27,Jul_Period_1_Tbl[[#All],['# PTO USED]])+  SUMIF(Aug_Period_1_Tbl[[#All],[STAFF:]],$A27,Aug_Period_1_Tbl[[#All],['# PTO USED]])+  SUMIF(Sep_Period_1_Tbl[[#All],[STAFF:]],$A27,Sep_Period_1_Tbl[[#All],['# PTO USED]])+  SUMIF(Oct_Period_1_Tbl[[#All],[STAFF:]],$A27,Oct_Period_1_Tbl[[#All],['# PTO USED]])+     SUMIF(Nov_Period_1_Tbl[[#All],[STAFF:]],$A27,Nov_Period_1_Tbl[[#All],['# PTO USED]])+  SUMIF(Dec_Period_1_Tbl[[#All],[STAFF:]],$A27,Dec_Period_1_Tbl[[#All],['# PTO USED]]))+   (SUMIF(Jan_Period_2_Tbl[[#All],[STAFF:]],$A27,Jan_Period_2_Tbl[[#All],['# PTO USED]])+
SUMIF(Feb_Period_2_Tbl[[#All],[STAFF:]],$A27,Feb_Period_2_Tbl[[#All],['# PTO USED]])+SUMIF(Mar_Period_2_Tbl[[#All],[STAFF:]],$A27,Mar_Period_2_Tbl[[#All],['# PTO USED]])+SUMIF(Apr_Period_2_Tbl[[#All],[STAFF:]],$A27,Apr_Period_2_Tbl[[#All],['# PTO USED]])+   SUMIF(May_Period_2_Tbl[[#All],[STAFF:]],$A27,May_Period_2_Tbl[[#All],['# PTO USED]])+   SUMIF(Jun_Period_2_Tbl[[#All],[STAFF:]],$A27,Jun_Period_2_Tbl[[#All],['# PTO USED]])+  SUMIF(Jul_Period_2_Tbl[[#All],[STAFF:]],$A27,Jul_Period_2_Tbl[[#All],['# PTO USED]])+  SUMIF(Aug_Period_2_Tbl[[#All],[STAFF:]],$A27,Aug_Period_2_Tbl[[#All],['# PTO USED]])+  SUMIF(Sep_Period_2_Tbl[[#All],[STAFF:]],$A27,Sep_Period_2_Tbl[[#All],['# PTO USED]])+  SUMIF(Oct_Period_2_Tbl[[#All],[STAFF:]],$A27,Oct_Period_2_Tbl[[#All],['# PTO USED]])+     SUMIF(Nov_Period_2_Tbl[[#All],[STAFF:]],$A27,Nov_Period_2_Tbl[[#All],['# PTO USED]])+  SUMIF(Dec_Period_2_Tbl[[#All],[STAFF:]],$A27,Dec_Period_2_Tbl[[#All],['# PTO USED]]))</f>
        <v>0</v>
      </c>
      <c r="F27" s="189">
        <f>(SUMIF(Jan_Period_1_Tbl[[#All],[STAFF:]],$A27,Jan_Period_1_Tbl[[#All],['# HRS WORKED]])+
SUMIF(Feb_Period_1_Tbl[[#All],[STAFF:]],$A27,Feb_Period_1_Tbl[[#All],['# HRS WORKED]])+SUMIF(Mar_Period_1_Tbl[[#All],[STAFF:]],$A27,Mar_Period_1_Tbl[[#All],['# HRS WORKED]])+SUMIF(Apr_Period_1_Tbl[[#All],[STAFF:]],$A27,Apr_Period_1_Tbl[[#All],['# HRS WORKED]])+   SUMIF(May_Period_1_Tbl[[#All],[STAFF:]],$A27,May_Period_1_Tbl[[#All],['# HRS WORKED]])+   SUMIF(Jun_Period_1_Tbl[[#All],[STAFF:]],$A27,Jun_Period_1_Tbl[[#All],['# HRS WORKED]])+  SUMIF(Jul_Period_1_Tbl[[#All],[STAFF:]],$A27,Jul_Period_1_Tbl[[#All],['# HRS WORKED]])+  SUMIF(Aug_Period_1_Tbl[[#All],[STAFF:]],$A27,Aug_Period_1_Tbl[[#All],['# HRS WORKED]])+  SUMIF(Sep_Period_1_Tbl[[#All],[STAFF:]],$A27,Sep_Period_1_Tbl[[#All],['# HRS WORKED]])+  SUMIF(Oct_Period_1_Tbl[[#All],[STAFF:]],$A27,Oct_Period_1_Tbl[[#All],['# HRS WORKED]])+     SUMIF(Nov_Period_1_Tbl[[#All],[STAFF:]],$A27,Nov_Period_1_Tbl[[#All],['# HRS WORKED]])+  SUMIF(Dec_Period_1_Tbl[[#All],[STAFF:]],$A27,Dec_Period_1_Tbl[[#All],['# HRS WORKED]]))+   (SUMIF(Jan_Period_2_Tbl[[#All],[STAFF:]],$A27,Jan_Period_2_Tbl[[#All],['# HRS WORKED]])+
SUMIF(Feb_Period_2_Tbl[[#All],[STAFF:]],$A27,Feb_Period_2_Tbl[[#All],['# HRS WORKED]])+SUMIF(Mar_Period_2_Tbl[[#All],[STAFF:]],$A27,Mar_Period_2_Tbl[[#All],['# HRS WORKED]])+SUMIF(Apr_Period_2_Tbl[[#All],[STAFF:]],$A27,Apr_Period_2_Tbl[[#All],['# HRS WORKED]])+   SUMIF(May_Period_2_Tbl[[#All],[STAFF:]],$A27,May_Period_2_Tbl[[#All],['# HRS WORKED]])+   SUMIF(Jun_Period_2_Tbl[[#All],[STAFF:]],$A27,Jun_Period_2_Tbl[[#All],['# HRS WORKED]])+  SUMIF(Jul_Period_2_Tbl[[#All],[STAFF:]],$A27,Jul_Period_2_Tbl[[#All],['# HRS WORKED]])+  SUMIF(Aug_Period_2_Tbl[[#All],[STAFF:]],$A27,Aug_Period_2_Tbl[[#All],['# HRS WORKED]])+  SUMIF(Sep_Period_2_Tbl[[#All],[STAFF:]],$A27,Sep_Period_2_Tbl[[#All],['# HRS WORKED]])+  SUMIF(Oct_Period_2_Tbl[[#All],[STAFF:]],$A27,Oct_Period_2_Tbl[[#All],['# HRS WORKED]])+     SUMIF(Nov_Period_2_Tbl[[#All],[STAFF:]],$A27,Nov_Period_2_Tbl[[#All],['# HRS WORKED]])+  SUMIF(Dec_Period_2_Tbl[[#All],[STAFF:]],$A27,Dec_Period_2_Tbl[[#All],['# HRS WORKED]]))</f>
        <v>0</v>
      </c>
      <c r="G27" s="190">
        <f>(SUMIF(Jan_Period_1_Tbl[[#All],[STAFF:]],$A27,Jan_Period_1_Tbl[[#All],[$ Hourly WAGES]])+
SUMIF(Feb_Period_1_Tbl[[#All],[STAFF:]],$A27,Feb_Period_1_Tbl[[#All],[$ Hourly WAGES]])+SUMIF(Mar_Period_1_Tbl[[#All],[STAFF:]],$A27,Mar_Period_1_Tbl[[#All],[$ Hourly WAGES]])+SUMIF(Apr_Period_1_Tbl[[#All],[STAFF:]],$A27,Apr_Period_1_Tbl[[#All],[$ Hourly WAGES]])+   SUMIF(May_Period_1_Tbl[[#All],[STAFF:]],$A27,May_Period_1_Tbl[[#All],[$ Hourly WAGES]])+   SUMIF(Jun_Period_1_Tbl[[#All],[STAFF:]],$A27,Jun_Period_1_Tbl[[#All],[$ Hourly WAGES]])+  SUMIF(Jul_Period_1_Tbl[[#All],[STAFF:]],$A27,Jul_Period_1_Tbl[[#All],[$ Hourly WAGES]])+  SUMIF(Aug_Period_1_Tbl[[#All],[STAFF:]],$A27,Aug_Period_1_Tbl[[#All],[$ Hourly WAGES]])+  SUMIF(Sep_Period_1_Tbl[[#All],[STAFF:]],$A27,Sep_Period_1_Tbl[[#All],[$ Hourly WAGES]])+  SUMIF(Oct_Period_1_Tbl[[#All],[STAFF:]],$A27,Oct_Period_1_Tbl[[#All],[$ Hourly WAGES]])+     SUMIF(Nov_Period_1_Tbl[[#All],[STAFF:]],$A27,Nov_Period_1_Tbl[[#All],[$ Hourly WAGES]])+  SUMIF(Dec_Period_1_Tbl[[#All],[STAFF:]],$A27,Dec_Period_1_Tbl[[#All],[$ Hourly WAGES]]))+   (SUMIF(Jan_Period_2_Tbl[[#All],[STAFF:]],$A27,Jan_Period_2_Tbl[[#All],[$ Hourly WAGES]])+
SUMIF(Feb_Period_2_Tbl[[#All],[STAFF:]],$A27,Feb_Period_2_Tbl[[#All],[$ Hourly WAGES]])+SUMIF(Mar_Period_2_Tbl[[#All],[STAFF:]],$A27,Mar_Period_2_Tbl[[#All],[$ Hourly WAGES]])+SUMIF(Apr_Period_2_Tbl[[#All],[STAFF:]],$A27,Apr_Period_2_Tbl[[#All],[$ Hourly WAGES]])+   SUMIF(May_Period_2_Tbl[[#All],[STAFF:]],$A27,May_Period_2_Tbl[[#All],[$ Hourly WAGES]])+   SUMIF(Jun_Period_2_Tbl[[#All],[STAFF:]],$A27,Jun_Period_2_Tbl[[#All],[$ Hourly WAGES]])+  SUMIF(Jul_Period_2_Tbl[[#All],[STAFF:]],$A27,Jul_Period_2_Tbl[[#All],[$ Hourly WAGES]])+  SUMIF(Aug_Period_2_Tbl[[#All],[STAFF:]],$A27,Aug_Period_2_Tbl[[#All],[$ Hourly WAGES]])+  SUMIF(Sep_Period_2_Tbl[[#All],[STAFF:]],$A27,Sep_Period_2_Tbl[[#All],[$ Hourly WAGES]])+  SUMIF(Oct_Period_2_Tbl[[#All],[STAFF:]],$A27,Oct_Period_2_Tbl[[#All],[$ Hourly WAGES]])+     SUMIF(Nov_Period_2_Tbl[[#All],[STAFF:]],$A27,Nov_Period_2_Tbl[[#All],[$ Hourly WAGES]])+  SUMIF(Dec_Period_2_Tbl[[#All],[STAFF:]],$A27,Dec_Period_2_Tbl[[#All],[$ Hourly WAGES]]))</f>
        <v>0</v>
      </c>
      <c r="H27" s="190">
        <f>(SUMIF(Jan_Period_1_Tbl[[#All],[STAFF:]],$A27,Jan_Period_1_Tbl[[#All],[$ SALARY]])+
SUMIF(Feb_Period_1_Tbl[[#All],[STAFF:]],$A27,Feb_Period_1_Tbl[[#All],[$ SALARY]])+SUMIF(Mar_Period_1_Tbl[[#All],[STAFF:]],$A27,Mar_Period_1_Tbl[[#All],[$ SALARY]])+SUMIF(Apr_Period_1_Tbl[[#All],[STAFF:]],$A27,Apr_Period_1_Tbl[[#All],[$ SALARY]])+   SUMIF(May_Period_1_Tbl[[#All],[STAFF:]],$A27,May_Period_1_Tbl[[#All],[$ SALARY]])+   SUMIF(Jun_Period_1_Tbl[[#All],[STAFF:]],$A27,Jun_Period_1_Tbl[[#All],[$ SALARY]])+  SUMIF(Jul_Period_1_Tbl[[#All],[STAFF:]],$A27,Jul_Period_1_Tbl[[#All],[$ SALARY]])+  SUMIF(Aug_Period_1_Tbl[[#All],[STAFF:]],$A27,Aug_Period_1_Tbl[[#All],[$ SALARY]])+  SUMIF(Sep_Period_1_Tbl[[#All],[STAFF:]],$A27,Sep_Period_1_Tbl[[#All],[$ SALARY]])+  SUMIF(Oct_Period_1_Tbl[[#All],[STAFF:]],$A27,Oct_Period_1_Tbl[[#All],[$ SALARY]])+     SUMIF(Nov_Period_1_Tbl[[#All],[STAFF:]],$A27,Nov_Period_1_Tbl[[#All],[$ SALARY]])+  SUMIF(Dec_Period_1_Tbl[[#All],[STAFF:]],$A27,Dec_Period_1_Tbl[[#All],[$ SALARY]]))+   (SUMIF(Jan_Period_2_Tbl[[#All],[STAFF:]],$A27,Jan_Period_2_Tbl[[#All],[$ SALARY]])+
SUMIF(Feb_Period_2_Tbl[[#All],[STAFF:]],$A27,Feb_Period_2_Tbl[[#All],[$ SALARY]])+SUMIF(Mar_Period_2_Tbl[[#All],[STAFF:]],$A27,Mar_Period_2_Tbl[[#All],[$ SALARY]])+SUMIF(Apr_Period_2_Tbl[[#All],[STAFF:]],$A27,Apr_Period_2_Tbl[[#All],[$ SALARY]])+   SUMIF(May_Period_2_Tbl[[#All],[STAFF:]],$A27,May_Period_2_Tbl[[#All],[$ SALARY]])+   SUMIF(Jun_Period_2_Tbl[[#All],[STAFF:]],$A27,Jun_Period_2_Tbl[[#All],[$ SALARY]])+  SUMIF(Jul_Period_2_Tbl[[#All],[STAFF:]],$A27,Jul_Period_2_Tbl[[#All],[$ SALARY]])+  SUMIF(Aug_Period_2_Tbl[[#All],[STAFF:]],$A27,Aug_Period_2_Tbl[[#All],[$ SALARY]])+  SUMIF(Sep_Period_2_Tbl[[#All],[STAFF:]],$A27,Sep_Period_2_Tbl[[#All],[$ SALARY]])+  SUMIF(Oct_Period_2_Tbl[[#All],[STAFF:]],$A27,Oct_Period_2_Tbl[[#All],[$ SALARY]])+     SUMIF(Nov_Period_2_Tbl[[#All],[STAFF:]],$A27,Nov_Period_2_Tbl[[#All],[$ SALARY]])+  SUMIF(Dec_Period_2_Tbl[[#All],[STAFF:]],$A27,Dec_Period_2_Tbl[[#All],[$ SALARY]]))</f>
        <v>0</v>
      </c>
      <c r="I27" s="190">
        <f>(SUMIF(Jan_Period_1_Tbl[[#All],[STAFF:]],$A27,Jan_Period_1_Tbl[[#All],[$ SALARY PT]])+
SUMIF(Feb_Period_1_Tbl[[#All],[STAFF:]],$A27,Feb_Period_1_Tbl[[#All],[$ SALARY PT]])+SUMIF(Mar_Period_1_Tbl[[#All],[STAFF:]],$A27,Mar_Period_1_Tbl[[#All],[$ SALARY PT]])+SUMIF(Apr_Period_1_Tbl[[#All],[STAFF:]],$A27,Apr_Period_1_Tbl[[#All],[$ SALARY PT]])+   SUMIF(May_Period_1_Tbl[[#All],[STAFF:]],$A27,May_Period_1_Tbl[[#All],[$ SALARY PT]])+   SUMIF(Jun_Period_1_Tbl[[#All],[STAFF:]],$A27,Jun_Period_1_Tbl[[#All],[$ SALARY PT]])+  SUMIF(Jul_Period_1_Tbl[[#All],[STAFF:]],$A27,Jul_Period_1_Tbl[[#All],[$ SALARY PT]])+  SUMIF(Aug_Period_1_Tbl[[#All],[STAFF:]],$A27,Aug_Period_1_Tbl[[#All],[$ SALARY PT]])+  SUMIF(Sep_Period_1_Tbl[[#All],[STAFF:]],$A27,Sep_Period_1_Tbl[[#All],[$ SALARY PT]])+  SUMIF(Oct_Period_1_Tbl[[#All],[STAFF:]],$A27,Oct_Period_1_Tbl[[#All],[$ SALARY PT]])+     SUMIF(Nov_Period_1_Tbl[[#All],[STAFF:]],$A27,Nov_Period_1_Tbl[[#All],[$ SALARY PT]])+  SUMIF(Dec_Period_1_Tbl[[#All],[STAFF:]],$A27,Dec_Period_1_Tbl[[#All],[$ SALARY PT]]))+   (SUMIF(Jan_Period_2_Tbl[[#All],[STAFF:]],$A27,Jan_Period_2_Tbl[[#All],[$ SALARY PT]])+
SUMIF(Feb_Period_2_Tbl[[#All],[STAFF:]],$A27,Feb_Period_2_Tbl[[#All],[$ SALARY PT]])+SUMIF(Mar_Period_2_Tbl[[#All],[STAFF:]],$A27,Mar_Period_2_Tbl[[#All],[$ SALARY PT]])+SUMIF(Apr_Period_2_Tbl[[#All],[STAFF:]],$A27,Apr_Period_2_Tbl[[#All],[$ SALARY PT]])+   SUMIF(May_Period_2_Tbl[[#All],[STAFF:]],$A27,May_Period_2_Tbl[[#All],[$ SALARY PT]])+   SUMIF(Jun_Period_2_Tbl[[#All],[STAFF:]],$A27,Jun_Period_2_Tbl[[#All],[$ SALARY PT]])+  SUMIF(Jul_Period_2_Tbl[[#All],[STAFF:]],$A27,Jul_Period_2_Tbl[[#All],[$ SALARY PT]])+  SUMIF(Aug_Period_2_Tbl[[#All],[STAFF:]],$A27,Aug_Period_2_Tbl[[#All],[$ SALARY PT]])+  SUMIF(Sep_Period_2_Tbl[[#All],[STAFF:]],$A27,Sep_Period_2_Tbl[[#All],[$ SALARY PT]])+  SUMIF(Oct_Period_2_Tbl[[#All],[STAFF:]],$A27,Oct_Period_2_Tbl[[#All],[$ SALARY PT]])+     SUMIF(Nov_Period_2_Tbl[[#All],[STAFF:]],$A27,Nov_Period_2_Tbl[[#All],[$ SALARY PT]])+  SUMIF(Dec_Period_2_Tbl[[#All],[STAFF:]],$A27,Dec_Period_2_Tbl[[#All],[$ SALARY PT]]))</f>
        <v>0</v>
      </c>
      <c r="J27" s="190">
        <f>(SUMIF(Jan_Period_1_Tbl[[#All],[STAFF:]],$A27,Jan_Period_1_Tbl[[#All],[$ FREE PT]])+
SUMIF(Feb_Period_1_Tbl[[#All],[STAFF:]],$A27,Feb_Period_1_Tbl[[#All],[$ FREE PT]])+SUMIF(Mar_Period_1_Tbl[[#All],[STAFF:]],$A27,Mar_Period_1_Tbl[[#All],[$ FREE PT]])+SUMIF(Apr_Period_1_Tbl[[#All],[STAFF:]],$A27,Apr_Period_1_Tbl[[#All],[$ FREE PT]])+   SUMIF(May_Period_1_Tbl[[#All],[STAFF:]],$A27,May_Period_1_Tbl[[#All],[$ FREE PT]])+   SUMIF(Jun_Period_1_Tbl[[#All],[STAFF:]],$A27,Jun_Period_1_Tbl[[#All],[$ FREE PT]])+  SUMIF(Jul_Period_1_Tbl[[#All],[STAFF:]],$A27,Jul_Period_1_Tbl[[#All],[$ FREE PT]])+  SUMIF(Aug_Period_1_Tbl[[#All],[STAFF:]],$A27,Aug_Period_1_Tbl[[#All],[$ FREE PT]])+  SUMIF(Sep_Period_1_Tbl[[#All],[STAFF:]],$A27,Sep_Period_1_Tbl[[#All],[$ FREE PT]])+  SUMIF(Oct_Period_1_Tbl[[#All],[STAFF:]],$A27,Oct_Period_1_Tbl[[#All],[$ FREE PT]])+     SUMIF(Nov_Period_1_Tbl[[#All],[STAFF:]],$A27,Nov_Period_1_Tbl[[#All],[$ FREE PT]])+  SUMIF(Dec_Period_1_Tbl[[#All],[STAFF:]],$A27,Dec_Period_1_Tbl[[#All],[$ FREE PT]]))+   (SUMIF(Jan_Period_2_Tbl[[#All],[STAFF:]],$A27,Jan_Period_2_Tbl[[#All],[$ FREE PT]])+
SUMIF(Feb_Period_2_Tbl[[#All],[STAFF:]],$A27,Feb_Period_2_Tbl[[#All],[$ FREE PT]])+SUMIF(Mar_Period_2_Tbl[[#All],[STAFF:]],$A27,Mar_Period_2_Tbl[[#All],[$ FREE PT]])+SUMIF(Apr_Period_2_Tbl[[#All],[STAFF:]],$A27,Apr_Period_2_Tbl[[#All],[$ FREE PT]])+   SUMIF(May_Period_2_Tbl[[#All],[STAFF:]],$A27,May_Period_2_Tbl[[#All],[$ FREE PT]])+   SUMIF(Jun_Period_2_Tbl[[#All],[STAFF:]],$A27,Jun_Period_2_Tbl[[#All],[$ FREE PT]])+  SUMIF(Jul_Period_2_Tbl[[#All],[STAFF:]],$A27,Jul_Period_2_Tbl[[#All],[$ FREE PT]])+  SUMIF(Aug_Period_2_Tbl[[#All],[STAFF:]],$A27,Aug_Period_2_Tbl[[#All],[$ FREE PT]])+  SUMIF(Sep_Period_2_Tbl[[#All],[STAFF:]],$A27,Sep_Period_2_Tbl[[#All],[$ FREE PT]])+  SUMIF(Oct_Period_2_Tbl[[#All],[STAFF:]],$A27,Oct_Period_2_Tbl[[#All],[$ FREE PT]])+     SUMIF(Nov_Period_2_Tbl[[#All],[STAFF:]],$A27,Nov_Period_2_Tbl[[#All],[$ FREE PT]])+  SUMIF(Dec_Period_2_Tbl[[#All],[STAFF:]],$A27,Dec_Period_2_Tbl[[#All],[$ FREE PT]]))</f>
        <v>0</v>
      </c>
      <c r="K27" s="190">
        <f>(SUMIF(Jan_Period_1_Tbl[[#All],[STAFF:]],$A27,Jan_Period_1_Tbl[[#All],[$ PAID PT]])+
SUMIF(Feb_Period_1_Tbl[[#All],[STAFF:]],$A27,Feb_Period_1_Tbl[[#All],[$ PAID PT]])+SUMIF(Mar_Period_1_Tbl[[#All],[STAFF:]],$A27,Mar_Period_1_Tbl[[#All],[$ PAID PT]])+SUMIF(Apr_Period_1_Tbl[[#All],[STAFF:]],$A27,Apr_Period_1_Tbl[[#All],[$ PAID PT]])+   SUMIF(May_Period_1_Tbl[[#All],[STAFF:]],$A27,May_Period_1_Tbl[[#All],[$ PAID PT]])+   SUMIF(Jun_Period_1_Tbl[[#All],[STAFF:]],$A27,Jun_Period_1_Tbl[[#All],[$ PAID PT]])+  SUMIF(Jul_Period_1_Tbl[[#All],[STAFF:]],$A27,Jul_Period_1_Tbl[[#All],[$ PAID PT]])+  SUMIF(Aug_Period_1_Tbl[[#All],[STAFF:]],$A27,Aug_Period_1_Tbl[[#All],[$ PAID PT]])+  SUMIF(Sep_Period_1_Tbl[[#All],[STAFF:]],$A27,Sep_Period_1_Tbl[[#All],[$ PAID PT]])+  SUMIF(Oct_Period_1_Tbl[[#All],[STAFF:]],$A27,Oct_Period_1_Tbl[[#All],[$ PAID PT]])+     SUMIF(Nov_Period_1_Tbl[[#All],[STAFF:]],$A27,Nov_Period_1_Tbl[[#All],[$ PAID PT]])+  SUMIF(Dec_Period_1_Tbl[[#All],[STAFF:]],$A27,Dec_Period_1_Tbl[[#All],[$ PAID PT]]))+   (SUMIF(Jan_Period_2_Tbl[[#All],[STAFF:]],$A27,Jan_Period_2_Tbl[[#All],[$ PAID PT]])+
SUMIF(Feb_Period_2_Tbl[[#All],[STAFF:]],$A27,Feb_Period_2_Tbl[[#All],[$ PAID PT]])+SUMIF(Mar_Period_2_Tbl[[#All],[STAFF:]],$A27,Mar_Period_2_Tbl[[#All],[$ PAID PT]])+SUMIF(Apr_Period_2_Tbl[[#All],[STAFF:]],$A27,Apr_Period_2_Tbl[[#All],[$ PAID PT]])+   SUMIF(May_Period_2_Tbl[[#All],[STAFF:]],$A27,May_Period_2_Tbl[[#All],[$ PAID PT]])+   SUMIF(Jun_Period_2_Tbl[[#All],[STAFF:]],$A27,Jun_Period_2_Tbl[[#All],[$ PAID PT]])+  SUMIF(Jul_Period_2_Tbl[[#All],[STAFF:]],$A27,Jul_Period_2_Tbl[[#All],[$ PAID PT]])+  SUMIF(Aug_Period_2_Tbl[[#All],[STAFF:]],$A27,Aug_Period_2_Tbl[[#All],[$ PAID PT]])+  SUMIF(Sep_Period_2_Tbl[[#All],[STAFF:]],$A27,Sep_Period_2_Tbl[[#All],[$ PAID PT]])+  SUMIF(Oct_Period_2_Tbl[[#All],[STAFF:]],$A27,Oct_Period_2_Tbl[[#All],[$ PAID PT]])+     SUMIF(Nov_Period_2_Tbl[[#All],[STAFF:]],$A27,Nov_Period_2_Tbl[[#All],[$ PAID PT]])+  SUMIF(Dec_Period_2_Tbl[[#All],[STAFF:]],$A27,Dec_Period_2_Tbl[[#All],[$ PAID PT]]))</f>
        <v>0</v>
      </c>
      <c r="L27" s="190">
        <f>(SUMIF(Jan_Period_1_Tbl[[#All],[STAFF:]],$A27,Jan_Period_1_Tbl[[#All],[$ PT COMM]])+
SUMIF(Feb_Period_1_Tbl[[#All],[STAFF:]],$A27,Feb_Period_1_Tbl[[#All],[$ PT COMM]])+SUMIF(Mar_Period_1_Tbl[[#All],[STAFF:]],$A27,Mar_Period_1_Tbl[[#All],[$ PT COMM]])+SUMIF(Apr_Period_1_Tbl[[#All],[STAFF:]],$A27,Apr_Period_1_Tbl[[#All],[$ PT COMM]])+   SUMIF(May_Period_1_Tbl[[#All],[STAFF:]],$A27,May_Period_1_Tbl[[#All],[$ PT COMM]])+   SUMIF(Jun_Period_1_Tbl[[#All],[STAFF:]],$A27,Jun_Period_1_Tbl[[#All],[$ PT COMM]])+  SUMIF(Jul_Period_1_Tbl[[#All],[STAFF:]],$A27,Jul_Period_1_Tbl[[#All],[$ PT COMM]])+  SUMIF(Aug_Period_1_Tbl[[#All],[STAFF:]],$A27,Aug_Period_1_Tbl[[#All],[$ PT COMM]])+  SUMIF(Sep_Period_1_Tbl[[#All],[STAFF:]],$A27,Sep_Period_1_Tbl[[#All],[$ PT COMM]])+  SUMIF(Oct_Period_1_Tbl[[#All],[STAFF:]],$A27,Oct_Period_1_Tbl[[#All],[$ PT COMM]])+     SUMIF(Nov_Period_1_Tbl[[#All],[STAFF:]],$A27,Nov_Period_1_Tbl[[#All],[$ PT COMM]])+  SUMIF(Dec_Period_1_Tbl[[#All],[STAFF:]],$A27,Dec_Period_1_Tbl[[#All],[$ PT COMM]]))+   (SUMIF(Jan_Period_2_Tbl[[#All],[STAFF:]],$A27,Jan_Period_2_Tbl[[#All],[$ PT COMM]])+
SUMIF(Feb_Period_2_Tbl[[#All],[STAFF:]],$A27,Feb_Period_2_Tbl[[#All],[$ PT COMM]])+SUMIF(Mar_Period_2_Tbl[[#All],[STAFF:]],$A27,Mar_Period_2_Tbl[[#All],[$ PT COMM]])+SUMIF(Apr_Period_2_Tbl[[#All],[STAFF:]],$A27,Apr_Period_2_Tbl[[#All],[$ PT COMM]])+   SUMIF(May_Period_2_Tbl[[#All],[STAFF:]],$A27,May_Period_2_Tbl[[#All],[$ PT COMM]])+   SUMIF(Jun_Period_2_Tbl[[#All],[STAFF:]],$A27,Jun_Period_2_Tbl[[#All],[$ PT COMM]])+  SUMIF(Jul_Period_2_Tbl[[#All],[STAFF:]],$A27,Jul_Period_2_Tbl[[#All],[$ PT COMM]])+  SUMIF(Aug_Period_2_Tbl[[#All],[STAFF:]],$A27,Aug_Period_2_Tbl[[#All],[$ PT COMM]])+  SUMIF(Sep_Period_2_Tbl[[#All],[STAFF:]],$A27,Sep_Period_2_Tbl[[#All],[$ PT COMM]])+  SUMIF(Oct_Period_2_Tbl[[#All],[STAFF:]],$A27,Oct_Period_2_Tbl[[#All],[$ PT COMM]])+     SUMIF(Nov_Period_2_Tbl[[#All],[STAFF:]],$A27,Nov_Period_2_Tbl[[#All],[$ PT COMM]])+  SUMIF(Dec_Period_2_Tbl[[#All],[STAFF:]],$A27,Dec_Period_2_Tbl[[#All],[$ PT COMM]]))</f>
        <v>0</v>
      </c>
      <c r="M27" s="190">
        <f>(SUMIF(Jan_Period_1_Tbl[[#All],[STAFF:]],$A27,Jan_Period_1_Tbl[[#All],[$ EFT COMM]])+
SUMIF(Feb_Period_1_Tbl[[#All],[STAFF:]],$A27,Feb_Period_1_Tbl[[#All],[$ EFT COMM]])+SUMIF(Mar_Period_1_Tbl[[#All],[STAFF:]],$A27,Mar_Period_1_Tbl[[#All],[$ EFT COMM]])+SUMIF(Apr_Period_1_Tbl[[#All],[STAFF:]],$A27,Apr_Period_1_Tbl[[#All],[$ EFT COMM]])+   SUMIF(May_Period_1_Tbl[[#All],[STAFF:]],$A27,May_Period_1_Tbl[[#All],[$ EFT COMM]])+   SUMIF(Jun_Period_1_Tbl[[#All],[STAFF:]],$A27,Jun_Period_1_Tbl[[#All],[$ EFT COMM]])+  SUMIF(Jul_Period_1_Tbl[[#All],[STAFF:]],$A27,Jul_Period_1_Tbl[[#All],[$ EFT COMM]])+  SUMIF(Aug_Period_1_Tbl[[#All],[STAFF:]],$A27,Aug_Period_1_Tbl[[#All],[$ EFT COMM]])+  SUMIF(Sep_Period_1_Tbl[[#All],[STAFF:]],$A27,Sep_Period_1_Tbl[[#All],[$ EFT COMM]])+  SUMIF(Oct_Period_1_Tbl[[#All],[STAFF:]],$A27,Oct_Period_1_Tbl[[#All],[$ EFT COMM]])+     SUMIF(Nov_Period_1_Tbl[[#All],[STAFF:]],$A27,Nov_Period_1_Tbl[[#All],[$ EFT COMM]])+  SUMIF(Dec_Period_1_Tbl[[#All],[STAFF:]],$A27,Dec_Period_1_Tbl[[#All],[$ EFT COMM]]))+   (SUMIF(Jan_Period_2_Tbl[[#All],[STAFF:]],$A27,Jan_Period_2_Tbl[[#All],[$ EFT COMM]])+
SUMIF(Feb_Period_2_Tbl[[#All],[STAFF:]],$A27,Feb_Period_2_Tbl[[#All],[$ EFT COMM]])+SUMIF(Mar_Period_2_Tbl[[#All],[STAFF:]],$A27,Mar_Period_2_Tbl[[#All],[$ EFT COMM]])+SUMIF(Apr_Period_2_Tbl[[#All],[STAFF:]],$A27,Apr_Period_2_Tbl[[#All],[$ EFT COMM]])+   SUMIF(May_Period_2_Tbl[[#All],[STAFF:]],$A27,May_Period_2_Tbl[[#All],[$ EFT COMM]])+   SUMIF(Jun_Period_2_Tbl[[#All],[STAFF:]],$A27,Jun_Period_2_Tbl[[#All],[$ EFT COMM]])+  SUMIF(Jul_Period_2_Tbl[[#All],[STAFF:]],$A27,Jul_Period_2_Tbl[[#All],[$ EFT COMM]])+  SUMIF(Aug_Period_2_Tbl[[#All],[STAFF:]],$A27,Aug_Period_2_Tbl[[#All],[$ EFT COMM]])+  SUMIF(Sep_Period_2_Tbl[[#All],[STAFF:]],$A27,Sep_Period_2_Tbl[[#All],[$ EFT COMM]])+  SUMIF(Oct_Period_2_Tbl[[#All],[STAFF:]],$A27,Oct_Period_2_Tbl[[#All],[$ EFT COMM]])+     SUMIF(Nov_Period_2_Tbl[[#All],[STAFF:]],$A27,Nov_Period_2_Tbl[[#All],[$ EFT COMM]])+  SUMIF(Dec_Period_2_Tbl[[#All],[STAFF:]],$A27,Dec_Period_2_Tbl[[#All],[$ EFT COMM]]))</f>
        <v>0</v>
      </c>
      <c r="N27" s="190">
        <f>(SUMIF(Jan_Period_1_Tbl[[#All],[STAFF:]],$A27,Jan_Period_1_Tbl[[#All],[$ CLASS PAY]])+
SUMIF(Feb_Period_1_Tbl[[#All],[STAFF:]],$A27,Feb_Period_1_Tbl[[#All],[$ CLASS PAY]])+SUMIF(Mar_Period_1_Tbl[[#All],[STAFF:]],$A27,Mar_Period_1_Tbl[[#All],[$ CLASS PAY]])+SUMIF(Apr_Period_1_Tbl[[#All],[STAFF:]],$A27,Apr_Period_1_Tbl[[#All],[$ CLASS PAY]])+   SUMIF(May_Period_1_Tbl[[#All],[STAFF:]],$A27,May_Period_1_Tbl[[#All],[$ CLASS PAY]])+   SUMIF(Jun_Period_1_Tbl[[#All],[STAFF:]],$A27,Jun_Period_1_Tbl[[#All],[$ CLASS PAY]])+  SUMIF(Jul_Period_1_Tbl[[#All],[STAFF:]],$A27,Jul_Period_1_Tbl[[#All],[$ CLASS PAY]])+  SUMIF(Aug_Period_1_Tbl[[#All],[STAFF:]],$A27,Aug_Period_1_Tbl[[#All],[$ CLASS PAY]])+  SUMIF(Sep_Period_1_Tbl[[#All],[STAFF:]],$A27,Sep_Period_1_Tbl[[#All],[$ CLASS PAY]])+  SUMIF(Oct_Period_1_Tbl[[#All],[STAFF:]],$A27,Oct_Period_1_Tbl[[#All],[$ CLASS PAY]])+     SUMIF(Nov_Period_1_Tbl[[#All],[STAFF:]],$A27,Nov_Period_1_Tbl[[#All],[$ CLASS PAY]])+  SUMIF(Dec_Period_1_Tbl[[#All],[STAFF:]],$A27,Dec_Period_1_Tbl[[#All],[$ CLASS PAY]]))+   (SUMIF(Jan_Period_2_Tbl[[#All],[STAFF:]],$A27,Jan_Period_2_Tbl[[#All],[$ CLASS PAY]])+
SUMIF(Feb_Period_2_Tbl[[#All],[STAFF:]],$A27,Feb_Period_2_Tbl[[#All],[$ CLASS PAY]])+SUMIF(Mar_Period_2_Tbl[[#All],[STAFF:]],$A27,Mar_Period_2_Tbl[[#All],[$ CLASS PAY]])+SUMIF(Apr_Period_2_Tbl[[#All],[STAFF:]],$A27,Apr_Period_2_Tbl[[#All],[$ CLASS PAY]])+   SUMIF(May_Period_2_Tbl[[#All],[STAFF:]],$A27,May_Period_2_Tbl[[#All],[$ CLASS PAY]])+   SUMIF(Jun_Period_2_Tbl[[#All],[STAFF:]],$A27,Jun_Period_2_Tbl[[#All],[$ CLASS PAY]])+  SUMIF(Jul_Period_2_Tbl[[#All],[STAFF:]],$A27,Jul_Period_2_Tbl[[#All],[$ CLASS PAY]])+  SUMIF(Aug_Period_2_Tbl[[#All],[STAFF:]],$A27,Aug_Period_2_Tbl[[#All],[$ CLASS PAY]])+  SUMIF(Sep_Period_2_Tbl[[#All],[STAFF:]],$A27,Sep_Period_2_Tbl[[#All],[$ CLASS PAY]])+  SUMIF(Oct_Period_2_Tbl[[#All],[STAFF:]],$A27,Oct_Period_2_Tbl[[#All],[$ CLASS PAY]])+     SUMIF(Nov_Period_2_Tbl[[#All],[STAFF:]],$A27,Nov_Period_2_Tbl[[#All],[$ CLASS PAY]])+  SUMIF(Dec_Period_2_Tbl[[#All],[STAFF:]],$A27,Dec_Period_2_Tbl[[#All],[$ CLASS PAY]]))</f>
        <v>0</v>
      </c>
      <c r="O27" s="191">
        <f>(SUMIF(Jan_Period_1_Tbl[[#All],[STAFF:]],$A27,Jan_Period_1_Tbl[[#All],[$ BONUS PAY]])+
SUMIF(Feb_Period_1_Tbl[[#All],[STAFF:]],$A27,Feb_Period_1_Tbl[[#All],[$ BONUS PAY]])+SUMIF(Mar_Period_1_Tbl[[#All],[STAFF:]],$A27,Mar_Period_1_Tbl[[#All],[$ BONUS PAY]])+SUMIF(Apr_Period_1_Tbl[[#All],[STAFF:]],$A27,Apr_Period_1_Tbl[[#All],[$ BONUS PAY]])+   SUMIF(May_Period_1_Tbl[[#All],[STAFF:]],$A27,May_Period_1_Tbl[[#All],[$ BONUS PAY]])+   SUMIF(Jun_Period_1_Tbl[[#All],[STAFF:]],$A27,Jun_Period_1_Tbl[[#All],[$ BONUS PAY]])+  SUMIF(Jul_Period_1_Tbl[[#All],[STAFF:]],$A27,Jul_Period_1_Tbl[[#All],[$ BONUS PAY]])+  SUMIF(Aug_Period_1_Tbl[[#All],[STAFF:]],$A27,Aug_Period_1_Tbl[[#All],[$ BONUS PAY]])+  SUMIF(Sep_Period_1_Tbl[[#All],[STAFF:]],$A27,Sep_Period_1_Tbl[[#All],[$ BONUS PAY]])+  SUMIF(Oct_Period_1_Tbl[[#All],[STAFF:]],$A27,Oct_Period_1_Tbl[[#All],[$ BONUS PAY]])+     SUMIF(Nov_Period_1_Tbl[[#All],[STAFF:]],$A27,Nov_Period_1_Tbl[[#All],[$ BONUS PAY]])+  SUMIF(Dec_Period_1_Tbl[[#All],[STAFF:]],$A27,Dec_Period_1_Tbl[[#All],[$ BONUS PAY]]))+   (SUMIF(Jan_Period_2_Tbl[[#All],[STAFF:]],$A27,Jan_Period_2_Tbl[[#All],[$ BONUS PAY]])+
SUMIF(Feb_Period_2_Tbl[[#All],[STAFF:]],$A27,Feb_Period_2_Tbl[[#All],[$ BONUS PAY]])+SUMIF(Mar_Period_2_Tbl[[#All],[STAFF:]],$A27,Mar_Period_2_Tbl[[#All],[$ BONUS PAY]])+SUMIF(Apr_Period_2_Tbl[[#All],[STAFF:]],$A27,Apr_Period_2_Tbl[[#All],[$ BONUS PAY]])+   SUMIF(May_Period_2_Tbl[[#All],[STAFF:]],$A27,May_Period_2_Tbl[[#All],[$ BONUS PAY]])+   SUMIF(Jun_Period_2_Tbl[[#All],[STAFF:]],$A27,Jun_Period_2_Tbl[[#All],[$ BONUS PAY]])+  SUMIF(Jul_Period_2_Tbl[[#All],[STAFF:]],$A27,Jul_Period_2_Tbl[[#All],[$ BONUS PAY]])+  SUMIF(Aug_Period_2_Tbl[[#All],[STAFF:]],$A27,Aug_Period_2_Tbl[[#All],[$ BONUS PAY]])+  SUMIF(Sep_Period_2_Tbl[[#All],[STAFF:]],$A27,Sep_Period_2_Tbl[[#All],[$ BONUS PAY]])+  SUMIF(Oct_Period_2_Tbl[[#All],[STAFF:]],$A27,Oct_Period_2_Tbl[[#All],[$ BONUS PAY]])+     SUMIF(Nov_Period_2_Tbl[[#All],[STAFF:]],$A27,Nov_Period_2_Tbl[[#All],[$ BONUS PAY]])+  SUMIF(Dec_Period_2_Tbl[[#All],[STAFF:]],$A27,Dec_Period_2_Tbl[[#All],[$ BONUS PAY]]))</f>
        <v>0</v>
      </c>
      <c r="P27" s="179">
        <f t="shared" si="0"/>
        <v>0</v>
      </c>
      <c r="Q27" s="149"/>
      <c r="R27" s="153">
        <f>(SUMIF(Jan_Period_1_Tbl[[#All],[STAFF:]],$A27,Jan_Period_1_Tbl[[#All],['# POINTS EARNED]])+
SUMIF(Feb_Period_1_Tbl[[#All],[STAFF:]],$A27,Feb_Period_1_Tbl[[#All],['# POINTS EARNED]])+SUMIF(Mar_Period_1_Tbl[[#All],[STAFF:]],$A27,Mar_Period_1_Tbl[[#All],['# POINTS EARNED]])+SUMIF(Apr_Period_1_Tbl[[#All],[STAFF:]],$A27,Apr_Period_1_Tbl[[#All],['# POINTS EARNED]])+   SUMIF(May_Period_1_Tbl[[#All],[STAFF:]],$A27,May_Period_1_Tbl[[#All],['# POINTS EARNED]])+   SUMIF(Jun_Period_1_Tbl[[#All],[STAFF:]],$A27,Jun_Period_1_Tbl[[#All],['# POINTS EARNED]])+  SUMIF(Jul_Period_1_Tbl[[#All],[STAFF:]],$A27,Jul_Period_1_Tbl[[#All],['# POINTS EARNED]])+  SUMIF(Aug_Period_1_Tbl[[#All],[STAFF:]],$A27,Aug_Period_1_Tbl[[#All],['# POINTS EARNED]])+  SUMIF(Sep_Period_1_Tbl[[#All],[STAFF:]],$A27,Sep_Period_1_Tbl[[#All],['# POINTS EARNED]])+  SUMIF(Oct_Period_1_Tbl[[#All],[STAFF:]],$A27,Oct_Period_1_Tbl[[#All],['# POINTS EARNED]])+     SUMIF(Nov_Period_1_Tbl[[#All],[STAFF:]],$A27,Nov_Period_1_Tbl[[#All],['# POINTS EARNED]])+  SUMIF(Dec_Period_1_Tbl[[#All],[STAFF:]],$A27,Dec_Period_1_Tbl[[#All],['# POINTS EARNED]]))+   (SUMIF(Jan_Period_2_Tbl[[#All],[STAFF:]],$A27,Jan_Period_2_Tbl[[#All],['# POINTS EARNED]])+
SUMIF(Feb_Period_2_Tbl[[#All],[STAFF:]],$A27,Feb_Period_2_Tbl[[#All],['# POINTS EARNED]])+SUMIF(Mar_Period_2_Tbl[[#All],[STAFF:]],$A27,Mar_Period_2_Tbl[[#All],['# POINTS EARNED]])+SUMIF(Apr_Period_2_Tbl[[#All],[STAFF:]],$A27,Apr_Period_2_Tbl[[#All],['# POINTS EARNED]])+   SUMIF(May_Period_2_Tbl[[#All],[STAFF:]],$A27,May_Period_2_Tbl[[#All],['# POINTS EARNED]])+   SUMIF(Jun_Period_2_Tbl[[#All],[STAFF:]],$A27,Jun_Period_2_Tbl[[#All],['# POINTS EARNED]])+  SUMIF(Jul_Period_2_Tbl[[#All],[STAFF:]],$A27,Jul_Period_2_Tbl[[#All],['# POINTS EARNED]])+  SUMIF(Aug_Period_2_Tbl[[#All],[STAFF:]],$A27,Aug_Period_2_Tbl[[#All],['# POINTS EARNED]])+  SUMIF(Sep_Period_2_Tbl[[#All],[STAFF:]],$A27,Sep_Period_2_Tbl[[#All],['# POINTS EARNED]])+  SUMIF(Oct_Period_2_Tbl[[#All],[STAFF:]],$A27,Oct_Period_2_Tbl[[#All],['# POINTS EARNED]])+     SUMIF(Nov_Period_2_Tbl[[#All],[STAFF:]],$A27,Nov_Period_2_Tbl[[#All],['# POINTS EARNED]])+  SUMIF(Dec_Period_2_Tbl[[#All],[STAFF:]],$A27,Dec_Period_2_Tbl[[#All],['# POINTS EARNED]]))</f>
        <v>0</v>
      </c>
      <c r="S27" s="153">
        <f>(SUMIF(Jan_Period_1_Tbl[[#All],[STAFF:]],$A27,Jan_Period_1_Tbl[[#All],['# POINTS USED]])+
SUMIF(Feb_Period_1_Tbl[[#All],[STAFF:]],$A27,Feb_Period_1_Tbl[[#All],['# POINTS USED]])+SUMIF(Mar_Period_1_Tbl[[#All],[STAFF:]],$A27,Mar_Period_1_Tbl[[#All],['# POINTS USED]])+SUMIF(Apr_Period_1_Tbl[[#All],[STAFF:]],$A27,Apr_Period_1_Tbl[[#All],['# POINTS USED]])+   SUMIF(May_Period_1_Tbl[[#All],[STAFF:]],$A27,May_Period_1_Tbl[[#All],['# POINTS USED]])+   SUMIF(Jun_Period_1_Tbl[[#All],[STAFF:]],$A27,Jun_Period_1_Tbl[[#All],['# POINTS USED]])+  SUMIF(Jul_Period_1_Tbl[[#All],[STAFF:]],$A27,Jul_Period_1_Tbl[[#All],['# POINTS USED]])+  SUMIF(Aug_Period_1_Tbl[[#All],[STAFF:]],$A27,Aug_Period_1_Tbl[[#All],['# POINTS USED]])+  SUMIF(Sep_Period_1_Tbl[[#All],[STAFF:]],$A27,Sep_Period_1_Tbl[[#All],['# POINTS USED]])+  SUMIF(Oct_Period_1_Tbl[[#All],[STAFF:]],$A27,Oct_Period_1_Tbl[[#All],['# POINTS USED]])+     SUMIF(Nov_Period_1_Tbl[[#All],[STAFF:]],$A27,Nov_Period_1_Tbl[[#All],['# POINTS USED]])+  SUMIF(Dec_Period_1_Tbl[[#All],[STAFF:]],$A27,Dec_Period_1_Tbl[[#All],['# POINTS USED]]))+   (SUMIF(Jan_Period_2_Tbl[[#All],[STAFF:]],$A27,Jan_Period_2_Tbl[[#All],['# POINTS USED]])+
SUMIF(Feb_Period_2_Tbl[[#All],[STAFF:]],$A27,Feb_Period_2_Tbl[[#All],['# POINTS USED]])+SUMIF(Mar_Period_2_Tbl[[#All],[STAFF:]],$A27,Mar_Period_2_Tbl[[#All],['# POINTS USED]])+SUMIF(Apr_Period_2_Tbl[[#All],[STAFF:]],$A27,Apr_Period_2_Tbl[[#All],['# POINTS USED]])+   SUMIF(May_Period_2_Tbl[[#All],[STAFF:]],$A27,May_Period_2_Tbl[[#All],['# POINTS USED]])+   SUMIF(Jun_Period_2_Tbl[[#All],[STAFF:]],$A27,Jun_Period_2_Tbl[[#All],['# POINTS USED]])+  SUMIF(Jul_Period_2_Tbl[[#All],[STAFF:]],$A27,Jul_Period_2_Tbl[[#All],['# POINTS USED]])+  SUMIF(Aug_Period_2_Tbl[[#All],[STAFF:]],$A27,Aug_Period_2_Tbl[[#All],['# POINTS USED]])+  SUMIF(Sep_Period_2_Tbl[[#All],[STAFF:]],$A27,Sep_Period_2_Tbl[[#All],['# POINTS USED]])+  SUMIF(Oct_Period_2_Tbl[[#All],[STAFF:]],$A27,Oct_Period_2_Tbl[[#All],['# POINTS USED]])+     SUMIF(Nov_Period_2_Tbl[[#All],[STAFF:]],$A27,Nov_Period_2_Tbl[[#All],['# POINTS USED]])+  SUMIF(Dec_Period_2_Tbl[[#All],[STAFF:]],$A27,Dec_Period_2_Tbl[[#All],['# POINTS USED]]))</f>
        <v>0</v>
      </c>
      <c r="T27" s="153">
        <f>(SUMIF(Jan_Period_1_Tbl[[#All],[STAFF:]],$A27,Jan_Period_1_Tbl[[#All],['# CLASSES LEAD]])+
SUMIF(Feb_Period_1_Tbl[[#All],[STAFF:]],$A27,Feb_Period_1_Tbl[[#All],['# CLASSES LEAD]])+SUMIF(Mar_Period_1_Tbl[[#All],[STAFF:]],$A27,Mar_Period_1_Tbl[[#All],['# CLASSES LEAD]])+SUMIF(Apr_Period_1_Tbl[[#All],[STAFF:]],$A27,Apr_Period_1_Tbl[[#All],['# CLASSES LEAD]])+   SUMIF(May_Period_1_Tbl[[#All],[STAFF:]],$A27,May_Period_1_Tbl[[#All],['# CLASSES LEAD]])+   SUMIF(Jun_Period_1_Tbl[[#All],[STAFF:]],$A27,Jun_Period_1_Tbl[[#All],['# CLASSES LEAD]])+  SUMIF(Jul_Period_1_Tbl[[#All],[STAFF:]],$A27,Jul_Period_1_Tbl[[#All],['# CLASSES LEAD]])+  SUMIF(Aug_Period_1_Tbl[[#All],[STAFF:]],$A27,Aug_Period_1_Tbl[[#All],['# CLASSES LEAD]])+  SUMIF(Sep_Period_1_Tbl[[#All],[STAFF:]],$A27,Sep_Period_1_Tbl[[#All],['# CLASSES LEAD]])+  SUMIF(Oct_Period_1_Tbl[[#All],[STAFF:]],$A27,Oct_Period_1_Tbl[[#All],['# CLASSES LEAD]])+     SUMIF(Nov_Period_1_Tbl[[#All],[STAFF:]],$A27,Nov_Period_1_Tbl[[#All],['# CLASSES LEAD]])+  SUMIF(Dec_Period_1_Tbl[[#All],[STAFF:]],$A27,Dec_Period_1_Tbl[[#All],['# CLASSES LEAD]]))+   (SUMIF(Jan_Period_2_Tbl[[#All],[STAFF:]],$A27,Jan_Period_2_Tbl[[#All],['# CLASSES LEAD]])+
SUMIF(Feb_Period_2_Tbl[[#All],[STAFF:]],$A27,Feb_Period_2_Tbl[[#All],['# CLASSES LEAD]])+SUMIF(Mar_Period_2_Tbl[[#All],[STAFF:]],$A27,Mar_Period_2_Tbl[[#All],['# CLASSES LEAD]])+SUMIF(Apr_Period_2_Tbl[[#All],[STAFF:]],$A27,Apr_Period_2_Tbl[[#All],['# CLASSES LEAD]])+   SUMIF(May_Period_2_Tbl[[#All],[STAFF:]],$A27,May_Period_2_Tbl[[#All],['# CLASSES LEAD]])+   SUMIF(Jun_Period_2_Tbl[[#All],[STAFF:]],$A27,Jun_Period_2_Tbl[[#All],['# CLASSES LEAD]])+  SUMIF(Jul_Period_2_Tbl[[#All],[STAFF:]],$A27,Jul_Period_2_Tbl[[#All],['# CLASSES LEAD]])+  SUMIF(Aug_Period_2_Tbl[[#All],[STAFF:]],$A27,Aug_Period_2_Tbl[[#All],['# CLASSES LEAD]])+  SUMIF(Sep_Period_2_Tbl[[#All],[STAFF:]],$A27,Sep_Period_2_Tbl[[#All],['# CLASSES LEAD]])+  SUMIF(Oct_Period_2_Tbl[[#All],[STAFF:]],$A27,Oct_Period_2_Tbl[[#All],['# CLASSES LEAD]])+     SUMIF(Nov_Period_2_Tbl[[#All],[STAFF:]],$A27,Nov_Period_2_Tbl[[#All],['# CLASSES LEAD]])+  SUMIF(Dec_Period_2_Tbl[[#All],[STAFF:]],$A27,Dec_Period_2_Tbl[[#All],['# CLASSES LEAD]]))</f>
        <v>0</v>
      </c>
      <c r="U27" s="153">
        <f>(SUMIF(Jan_Period_1_Tbl[[#All],[STAFF:]],$A27,Jan_Period_1_Tbl[[#All],['# CLASSES SHOW]])+
SUMIF(Feb_Period_1_Tbl[[#All],[STAFF:]],$A27,Feb_Period_1_Tbl[[#All],['# CLASSES SHOW]])+SUMIF(Mar_Period_1_Tbl[[#All],[STAFF:]],$A27,Mar_Period_1_Tbl[[#All],['# CLASSES SHOW]])+SUMIF(Apr_Period_1_Tbl[[#All],[STAFF:]],$A27,Apr_Period_1_Tbl[[#All],['# CLASSES SHOW]])+   SUMIF(May_Period_1_Tbl[[#All],[STAFF:]],$A27,May_Period_1_Tbl[[#All],['# CLASSES SHOW]])+   SUMIF(Jun_Period_1_Tbl[[#All],[STAFF:]],$A27,Jun_Period_1_Tbl[[#All],['# CLASSES SHOW]])+  SUMIF(Jul_Period_1_Tbl[[#All],[STAFF:]],$A27,Jul_Period_1_Tbl[[#All],['# CLASSES SHOW]])+  SUMIF(Aug_Period_1_Tbl[[#All],[STAFF:]],$A27,Aug_Period_1_Tbl[[#All],['# CLASSES SHOW]])+  SUMIF(Sep_Period_1_Tbl[[#All],[STAFF:]],$A27,Sep_Period_1_Tbl[[#All],['# CLASSES SHOW]])+  SUMIF(Oct_Period_1_Tbl[[#All],[STAFF:]],$A27,Oct_Period_1_Tbl[[#All],['# CLASSES SHOW]])+     SUMIF(Nov_Period_1_Tbl[[#All],[STAFF:]],$A27,Nov_Period_1_Tbl[[#All],['# CLASSES SHOW]])+  SUMIF(Dec_Period_1_Tbl[[#All],[STAFF:]],$A27,Dec_Period_1_Tbl[[#All],['# CLASSES SHOW]]))+   (SUMIF(Jan_Period_2_Tbl[[#All],[STAFF:]],$A27,Jan_Period_2_Tbl[[#All],['# CLASSES SHOW]])+
SUMIF(Feb_Period_2_Tbl[[#All],[STAFF:]],$A27,Feb_Period_2_Tbl[[#All],['# CLASSES SHOW]])+SUMIF(Mar_Period_2_Tbl[[#All],[STAFF:]],$A27,Mar_Period_2_Tbl[[#All],['# CLASSES SHOW]])+SUMIF(Apr_Period_2_Tbl[[#All],[STAFF:]],$A27,Apr_Period_2_Tbl[[#All],['# CLASSES SHOW]])+   SUMIF(May_Period_2_Tbl[[#All],[STAFF:]],$A27,May_Period_2_Tbl[[#All],['# CLASSES SHOW]])+   SUMIF(Jun_Period_2_Tbl[[#All],[STAFF:]],$A27,Jun_Period_2_Tbl[[#All],['# CLASSES SHOW]])+  SUMIF(Jul_Period_2_Tbl[[#All],[STAFF:]],$A27,Jul_Period_2_Tbl[[#All],['# CLASSES SHOW]])+  SUMIF(Aug_Period_2_Tbl[[#All],[STAFF:]],$A27,Aug_Period_2_Tbl[[#All],['# CLASSES SHOW]])+  SUMIF(Sep_Period_2_Tbl[[#All],[STAFF:]],$A27,Sep_Period_2_Tbl[[#All],['# CLASSES SHOW]])+  SUMIF(Oct_Period_2_Tbl[[#All],[STAFF:]],$A27,Oct_Period_2_Tbl[[#All],['# CLASSES SHOW]])+     SUMIF(Nov_Period_2_Tbl[[#All],[STAFF:]],$A27,Nov_Period_2_Tbl[[#All],['# CLASSES SHOW]])+  SUMIF(Dec_Period_2_Tbl[[#All],[STAFF:]],$A27,Dec_Period_2_Tbl[[#All],['# CLASSES SHOW]]))</f>
        <v>0</v>
      </c>
      <c r="V27" s="156"/>
      <c r="W27" s="156"/>
      <c r="X27" s="155">
        <f t="shared" si="1"/>
        <v>0</v>
      </c>
      <c r="Y27" s="155">
        <f t="shared" si="2"/>
        <v>0</v>
      </c>
      <c r="Z27" s="155">
        <f t="shared" si="3"/>
        <v>0</v>
      </c>
      <c r="AA27" s="155">
        <f t="shared" si="4"/>
        <v>0</v>
      </c>
      <c r="AB27" s="155">
        <f t="shared" si="5"/>
        <v>0</v>
      </c>
      <c r="AC27" s="155">
        <f t="shared" si="6"/>
        <v>0</v>
      </c>
      <c r="AD27" s="155">
        <f t="shared" si="7"/>
        <v>0</v>
      </c>
      <c r="AE27" s="149"/>
      <c r="AF27" s="149"/>
      <c r="AG27" s="149"/>
      <c r="AH27" s="149"/>
      <c r="AJ27" s="75" t="str">
        <f t="shared" si="8"/>
        <v>zBlank</v>
      </c>
      <c r="AK27" s="210"/>
      <c r="AL27" s="168">
        <f>IFERROR(VLOOKUP(B27,List!$A:$B,2,FALSE),-1)</f>
        <v>-1</v>
      </c>
      <c r="AM27" s="168">
        <f>IFERROR(VLOOKUP(C27,List!$A:$B,2,FALSE),-1)</f>
        <v>-1</v>
      </c>
    </row>
    <row r="28" spans="1:39" ht="15" hidden="1" customHeight="1" x14ac:dyDescent="0.25">
      <c r="A28" s="20"/>
      <c r="B28" s="186"/>
      <c r="C28" s="186"/>
      <c r="D28" s="187"/>
      <c r="E28" s="188">
        <f>(SUMIF(Jan_Period_1_Tbl[[#All],[STAFF:]],$A28,Jan_Period_1_Tbl[[#All],['# PTO USED]])+
SUMIF(Feb_Period_1_Tbl[[#All],[STAFF:]],$A28,Feb_Period_1_Tbl[[#All],['# PTO USED]])+SUMIF(Mar_Period_1_Tbl[[#All],[STAFF:]],$A28,Mar_Period_1_Tbl[[#All],['# PTO USED]])+SUMIF(Apr_Period_1_Tbl[[#All],[STAFF:]],$A28,Apr_Period_1_Tbl[[#All],['# PTO USED]])+   SUMIF(May_Period_1_Tbl[[#All],[STAFF:]],$A28,May_Period_1_Tbl[[#All],['# PTO USED]])+   SUMIF(Jun_Period_1_Tbl[[#All],[STAFF:]],$A28,Jun_Period_1_Tbl[[#All],['# PTO USED]])+  SUMIF(Jul_Period_1_Tbl[[#All],[STAFF:]],$A28,Jul_Period_1_Tbl[[#All],['# PTO USED]])+  SUMIF(Aug_Period_1_Tbl[[#All],[STAFF:]],$A28,Aug_Period_1_Tbl[[#All],['# PTO USED]])+  SUMIF(Sep_Period_1_Tbl[[#All],[STAFF:]],$A28,Sep_Period_1_Tbl[[#All],['# PTO USED]])+  SUMIF(Oct_Period_1_Tbl[[#All],[STAFF:]],$A28,Oct_Period_1_Tbl[[#All],['# PTO USED]])+     SUMIF(Nov_Period_1_Tbl[[#All],[STAFF:]],$A28,Nov_Period_1_Tbl[[#All],['# PTO USED]])+  SUMIF(Dec_Period_1_Tbl[[#All],[STAFF:]],$A28,Dec_Period_1_Tbl[[#All],['# PTO USED]]))+   (SUMIF(Jan_Period_2_Tbl[[#All],[STAFF:]],$A28,Jan_Period_2_Tbl[[#All],['# PTO USED]])+
SUMIF(Feb_Period_2_Tbl[[#All],[STAFF:]],$A28,Feb_Period_2_Tbl[[#All],['# PTO USED]])+SUMIF(Mar_Period_2_Tbl[[#All],[STAFF:]],$A28,Mar_Period_2_Tbl[[#All],['# PTO USED]])+SUMIF(Apr_Period_2_Tbl[[#All],[STAFF:]],$A28,Apr_Period_2_Tbl[[#All],['# PTO USED]])+   SUMIF(May_Period_2_Tbl[[#All],[STAFF:]],$A28,May_Period_2_Tbl[[#All],['# PTO USED]])+   SUMIF(Jun_Period_2_Tbl[[#All],[STAFF:]],$A28,Jun_Period_2_Tbl[[#All],['# PTO USED]])+  SUMIF(Jul_Period_2_Tbl[[#All],[STAFF:]],$A28,Jul_Period_2_Tbl[[#All],['# PTO USED]])+  SUMIF(Aug_Period_2_Tbl[[#All],[STAFF:]],$A28,Aug_Period_2_Tbl[[#All],['# PTO USED]])+  SUMIF(Sep_Period_2_Tbl[[#All],[STAFF:]],$A28,Sep_Period_2_Tbl[[#All],['# PTO USED]])+  SUMIF(Oct_Period_2_Tbl[[#All],[STAFF:]],$A28,Oct_Period_2_Tbl[[#All],['# PTO USED]])+     SUMIF(Nov_Period_2_Tbl[[#All],[STAFF:]],$A28,Nov_Period_2_Tbl[[#All],['# PTO USED]])+  SUMIF(Dec_Period_2_Tbl[[#All],[STAFF:]],$A28,Dec_Period_2_Tbl[[#All],['# PTO USED]]))</f>
        <v>0</v>
      </c>
      <c r="F28" s="189">
        <f>(SUMIF(Jan_Period_1_Tbl[[#All],[STAFF:]],$A28,Jan_Period_1_Tbl[[#All],['# HRS WORKED]])+
SUMIF(Feb_Period_1_Tbl[[#All],[STAFF:]],$A28,Feb_Period_1_Tbl[[#All],['# HRS WORKED]])+SUMIF(Mar_Period_1_Tbl[[#All],[STAFF:]],$A28,Mar_Period_1_Tbl[[#All],['# HRS WORKED]])+SUMIF(Apr_Period_1_Tbl[[#All],[STAFF:]],$A28,Apr_Period_1_Tbl[[#All],['# HRS WORKED]])+   SUMIF(May_Period_1_Tbl[[#All],[STAFF:]],$A28,May_Period_1_Tbl[[#All],['# HRS WORKED]])+   SUMIF(Jun_Period_1_Tbl[[#All],[STAFF:]],$A28,Jun_Period_1_Tbl[[#All],['# HRS WORKED]])+  SUMIF(Jul_Period_1_Tbl[[#All],[STAFF:]],$A28,Jul_Period_1_Tbl[[#All],['# HRS WORKED]])+  SUMIF(Aug_Period_1_Tbl[[#All],[STAFF:]],$A28,Aug_Period_1_Tbl[[#All],['# HRS WORKED]])+  SUMIF(Sep_Period_1_Tbl[[#All],[STAFF:]],$A28,Sep_Period_1_Tbl[[#All],['# HRS WORKED]])+  SUMIF(Oct_Period_1_Tbl[[#All],[STAFF:]],$A28,Oct_Period_1_Tbl[[#All],['# HRS WORKED]])+     SUMIF(Nov_Period_1_Tbl[[#All],[STAFF:]],$A28,Nov_Period_1_Tbl[[#All],['# HRS WORKED]])+  SUMIF(Dec_Period_1_Tbl[[#All],[STAFF:]],$A28,Dec_Period_1_Tbl[[#All],['# HRS WORKED]]))+   (SUMIF(Jan_Period_2_Tbl[[#All],[STAFF:]],$A28,Jan_Period_2_Tbl[[#All],['# HRS WORKED]])+
SUMIF(Feb_Period_2_Tbl[[#All],[STAFF:]],$A28,Feb_Period_2_Tbl[[#All],['# HRS WORKED]])+SUMIF(Mar_Period_2_Tbl[[#All],[STAFF:]],$A28,Mar_Period_2_Tbl[[#All],['# HRS WORKED]])+SUMIF(Apr_Period_2_Tbl[[#All],[STAFF:]],$A28,Apr_Period_2_Tbl[[#All],['# HRS WORKED]])+   SUMIF(May_Period_2_Tbl[[#All],[STAFF:]],$A28,May_Period_2_Tbl[[#All],['# HRS WORKED]])+   SUMIF(Jun_Period_2_Tbl[[#All],[STAFF:]],$A28,Jun_Period_2_Tbl[[#All],['# HRS WORKED]])+  SUMIF(Jul_Period_2_Tbl[[#All],[STAFF:]],$A28,Jul_Period_2_Tbl[[#All],['# HRS WORKED]])+  SUMIF(Aug_Period_2_Tbl[[#All],[STAFF:]],$A28,Aug_Period_2_Tbl[[#All],['# HRS WORKED]])+  SUMIF(Sep_Period_2_Tbl[[#All],[STAFF:]],$A28,Sep_Period_2_Tbl[[#All],['# HRS WORKED]])+  SUMIF(Oct_Period_2_Tbl[[#All],[STAFF:]],$A28,Oct_Period_2_Tbl[[#All],['# HRS WORKED]])+     SUMIF(Nov_Period_2_Tbl[[#All],[STAFF:]],$A28,Nov_Period_2_Tbl[[#All],['# HRS WORKED]])+  SUMIF(Dec_Period_2_Tbl[[#All],[STAFF:]],$A28,Dec_Period_2_Tbl[[#All],['# HRS WORKED]]))</f>
        <v>0</v>
      </c>
      <c r="G28" s="190">
        <f>(SUMIF(Jan_Period_1_Tbl[[#All],[STAFF:]],$A28,Jan_Period_1_Tbl[[#All],[$ Hourly WAGES]])+
SUMIF(Feb_Period_1_Tbl[[#All],[STAFF:]],$A28,Feb_Period_1_Tbl[[#All],[$ Hourly WAGES]])+SUMIF(Mar_Period_1_Tbl[[#All],[STAFF:]],$A28,Mar_Period_1_Tbl[[#All],[$ Hourly WAGES]])+SUMIF(Apr_Period_1_Tbl[[#All],[STAFF:]],$A28,Apr_Period_1_Tbl[[#All],[$ Hourly WAGES]])+   SUMIF(May_Period_1_Tbl[[#All],[STAFF:]],$A28,May_Period_1_Tbl[[#All],[$ Hourly WAGES]])+   SUMIF(Jun_Period_1_Tbl[[#All],[STAFF:]],$A28,Jun_Period_1_Tbl[[#All],[$ Hourly WAGES]])+  SUMIF(Jul_Period_1_Tbl[[#All],[STAFF:]],$A28,Jul_Period_1_Tbl[[#All],[$ Hourly WAGES]])+  SUMIF(Aug_Period_1_Tbl[[#All],[STAFF:]],$A28,Aug_Period_1_Tbl[[#All],[$ Hourly WAGES]])+  SUMIF(Sep_Period_1_Tbl[[#All],[STAFF:]],$A28,Sep_Period_1_Tbl[[#All],[$ Hourly WAGES]])+  SUMIF(Oct_Period_1_Tbl[[#All],[STAFF:]],$A28,Oct_Period_1_Tbl[[#All],[$ Hourly WAGES]])+     SUMIF(Nov_Period_1_Tbl[[#All],[STAFF:]],$A28,Nov_Period_1_Tbl[[#All],[$ Hourly WAGES]])+  SUMIF(Dec_Period_1_Tbl[[#All],[STAFF:]],$A28,Dec_Period_1_Tbl[[#All],[$ Hourly WAGES]]))+   (SUMIF(Jan_Period_2_Tbl[[#All],[STAFF:]],$A28,Jan_Period_2_Tbl[[#All],[$ Hourly WAGES]])+
SUMIF(Feb_Period_2_Tbl[[#All],[STAFF:]],$A28,Feb_Period_2_Tbl[[#All],[$ Hourly WAGES]])+SUMIF(Mar_Period_2_Tbl[[#All],[STAFF:]],$A28,Mar_Period_2_Tbl[[#All],[$ Hourly WAGES]])+SUMIF(Apr_Period_2_Tbl[[#All],[STAFF:]],$A28,Apr_Period_2_Tbl[[#All],[$ Hourly WAGES]])+   SUMIF(May_Period_2_Tbl[[#All],[STAFF:]],$A28,May_Period_2_Tbl[[#All],[$ Hourly WAGES]])+   SUMIF(Jun_Period_2_Tbl[[#All],[STAFF:]],$A28,Jun_Period_2_Tbl[[#All],[$ Hourly WAGES]])+  SUMIF(Jul_Period_2_Tbl[[#All],[STAFF:]],$A28,Jul_Period_2_Tbl[[#All],[$ Hourly WAGES]])+  SUMIF(Aug_Period_2_Tbl[[#All],[STAFF:]],$A28,Aug_Period_2_Tbl[[#All],[$ Hourly WAGES]])+  SUMIF(Sep_Period_2_Tbl[[#All],[STAFF:]],$A28,Sep_Period_2_Tbl[[#All],[$ Hourly WAGES]])+  SUMIF(Oct_Period_2_Tbl[[#All],[STAFF:]],$A28,Oct_Period_2_Tbl[[#All],[$ Hourly WAGES]])+     SUMIF(Nov_Period_2_Tbl[[#All],[STAFF:]],$A28,Nov_Period_2_Tbl[[#All],[$ Hourly WAGES]])+  SUMIF(Dec_Period_2_Tbl[[#All],[STAFF:]],$A28,Dec_Period_2_Tbl[[#All],[$ Hourly WAGES]]))</f>
        <v>0</v>
      </c>
      <c r="H28" s="190">
        <f>(SUMIF(Jan_Period_1_Tbl[[#All],[STAFF:]],$A28,Jan_Period_1_Tbl[[#All],[$ SALARY]])+
SUMIF(Feb_Period_1_Tbl[[#All],[STAFF:]],$A28,Feb_Period_1_Tbl[[#All],[$ SALARY]])+SUMIF(Mar_Period_1_Tbl[[#All],[STAFF:]],$A28,Mar_Period_1_Tbl[[#All],[$ SALARY]])+SUMIF(Apr_Period_1_Tbl[[#All],[STAFF:]],$A28,Apr_Period_1_Tbl[[#All],[$ SALARY]])+   SUMIF(May_Period_1_Tbl[[#All],[STAFF:]],$A28,May_Period_1_Tbl[[#All],[$ SALARY]])+   SUMIF(Jun_Period_1_Tbl[[#All],[STAFF:]],$A28,Jun_Period_1_Tbl[[#All],[$ SALARY]])+  SUMIF(Jul_Period_1_Tbl[[#All],[STAFF:]],$A28,Jul_Period_1_Tbl[[#All],[$ SALARY]])+  SUMIF(Aug_Period_1_Tbl[[#All],[STAFF:]],$A28,Aug_Period_1_Tbl[[#All],[$ SALARY]])+  SUMIF(Sep_Period_1_Tbl[[#All],[STAFF:]],$A28,Sep_Period_1_Tbl[[#All],[$ SALARY]])+  SUMIF(Oct_Period_1_Tbl[[#All],[STAFF:]],$A28,Oct_Period_1_Tbl[[#All],[$ SALARY]])+     SUMIF(Nov_Period_1_Tbl[[#All],[STAFF:]],$A28,Nov_Period_1_Tbl[[#All],[$ SALARY]])+  SUMIF(Dec_Period_1_Tbl[[#All],[STAFF:]],$A28,Dec_Period_1_Tbl[[#All],[$ SALARY]]))+   (SUMIF(Jan_Period_2_Tbl[[#All],[STAFF:]],$A28,Jan_Period_2_Tbl[[#All],[$ SALARY]])+
SUMIF(Feb_Period_2_Tbl[[#All],[STAFF:]],$A28,Feb_Period_2_Tbl[[#All],[$ SALARY]])+SUMIF(Mar_Period_2_Tbl[[#All],[STAFF:]],$A28,Mar_Period_2_Tbl[[#All],[$ SALARY]])+SUMIF(Apr_Period_2_Tbl[[#All],[STAFF:]],$A28,Apr_Period_2_Tbl[[#All],[$ SALARY]])+   SUMIF(May_Period_2_Tbl[[#All],[STAFF:]],$A28,May_Period_2_Tbl[[#All],[$ SALARY]])+   SUMIF(Jun_Period_2_Tbl[[#All],[STAFF:]],$A28,Jun_Period_2_Tbl[[#All],[$ SALARY]])+  SUMIF(Jul_Period_2_Tbl[[#All],[STAFF:]],$A28,Jul_Period_2_Tbl[[#All],[$ SALARY]])+  SUMIF(Aug_Period_2_Tbl[[#All],[STAFF:]],$A28,Aug_Period_2_Tbl[[#All],[$ SALARY]])+  SUMIF(Sep_Period_2_Tbl[[#All],[STAFF:]],$A28,Sep_Period_2_Tbl[[#All],[$ SALARY]])+  SUMIF(Oct_Period_2_Tbl[[#All],[STAFF:]],$A28,Oct_Period_2_Tbl[[#All],[$ SALARY]])+     SUMIF(Nov_Period_2_Tbl[[#All],[STAFF:]],$A28,Nov_Period_2_Tbl[[#All],[$ SALARY]])+  SUMIF(Dec_Period_2_Tbl[[#All],[STAFF:]],$A28,Dec_Period_2_Tbl[[#All],[$ SALARY]]))</f>
        <v>0</v>
      </c>
      <c r="I28" s="190">
        <f>(SUMIF(Jan_Period_1_Tbl[[#All],[STAFF:]],$A28,Jan_Period_1_Tbl[[#All],[$ SALARY PT]])+
SUMIF(Feb_Period_1_Tbl[[#All],[STAFF:]],$A28,Feb_Period_1_Tbl[[#All],[$ SALARY PT]])+SUMIF(Mar_Period_1_Tbl[[#All],[STAFF:]],$A28,Mar_Period_1_Tbl[[#All],[$ SALARY PT]])+SUMIF(Apr_Period_1_Tbl[[#All],[STAFF:]],$A28,Apr_Period_1_Tbl[[#All],[$ SALARY PT]])+   SUMIF(May_Period_1_Tbl[[#All],[STAFF:]],$A28,May_Period_1_Tbl[[#All],[$ SALARY PT]])+   SUMIF(Jun_Period_1_Tbl[[#All],[STAFF:]],$A28,Jun_Period_1_Tbl[[#All],[$ SALARY PT]])+  SUMIF(Jul_Period_1_Tbl[[#All],[STAFF:]],$A28,Jul_Period_1_Tbl[[#All],[$ SALARY PT]])+  SUMIF(Aug_Period_1_Tbl[[#All],[STAFF:]],$A28,Aug_Period_1_Tbl[[#All],[$ SALARY PT]])+  SUMIF(Sep_Period_1_Tbl[[#All],[STAFF:]],$A28,Sep_Period_1_Tbl[[#All],[$ SALARY PT]])+  SUMIF(Oct_Period_1_Tbl[[#All],[STAFF:]],$A28,Oct_Period_1_Tbl[[#All],[$ SALARY PT]])+     SUMIF(Nov_Period_1_Tbl[[#All],[STAFF:]],$A28,Nov_Period_1_Tbl[[#All],[$ SALARY PT]])+  SUMIF(Dec_Period_1_Tbl[[#All],[STAFF:]],$A28,Dec_Period_1_Tbl[[#All],[$ SALARY PT]]))+   (SUMIF(Jan_Period_2_Tbl[[#All],[STAFF:]],$A28,Jan_Period_2_Tbl[[#All],[$ SALARY PT]])+
SUMIF(Feb_Period_2_Tbl[[#All],[STAFF:]],$A28,Feb_Period_2_Tbl[[#All],[$ SALARY PT]])+SUMIF(Mar_Period_2_Tbl[[#All],[STAFF:]],$A28,Mar_Period_2_Tbl[[#All],[$ SALARY PT]])+SUMIF(Apr_Period_2_Tbl[[#All],[STAFF:]],$A28,Apr_Period_2_Tbl[[#All],[$ SALARY PT]])+   SUMIF(May_Period_2_Tbl[[#All],[STAFF:]],$A28,May_Period_2_Tbl[[#All],[$ SALARY PT]])+   SUMIF(Jun_Period_2_Tbl[[#All],[STAFF:]],$A28,Jun_Period_2_Tbl[[#All],[$ SALARY PT]])+  SUMIF(Jul_Period_2_Tbl[[#All],[STAFF:]],$A28,Jul_Period_2_Tbl[[#All],[$ SALARY PT]])+  SUMIF(Aug_Period_2_Tbl[[#All],[STAFF:]],$A28,Aug_Period_2_Tbl[[#All],[$ SALARY PT]])+  SUMIF(Sep_Period_2_Tbl[[#All],[STAFF:]],$A28,Sep_Period_2_Tbl[[#All],[$ SALARY PT]])+  SUMIF(Oct_Period_2_Tbl[[#All],[STAFF:]],$A28,Oct_Period_2_Tbl[[#All],[$ SALARY PT]])+     SUMIF(Nov_Period_2_Tbl[[#All],[STAFF:]],$A28,Nov_Period_2_Tbl[[#All],[$ SALARY PT]])+  SUMIF(Dec_Period_2_Tbl[[#All],[STAFF:]],$A28,Dec_Period_2_Tbl[[#All],[$ SALARY PT]]))</f>
        <v>0</v>
      </c>
      <c r="J28" s="190">
        <f>(SUMIF(Jan_Period_1_Tbl[[#All],[STAFF:]],$A28,Jan_Period_1_Tbl[[#All],[$ FREE PT]])+
SUMIF(Feb_Period_1_Tbl[[#All],[STAFF:]],$A28,Feb_Period_1_Tbl[[#All],[$ FREE PT]])+SUMIF(Mar_Period_1_Tbl[[#All],[STAFF:]],$A28,Mar_Period_1_Tbl[[#All],[$ FREE PT]])+SUMIF(Apr_Period_1_Tbl[[#All],[STAFF:]],$A28,Apr_Period_1_Tbl[[#All],[$ FREE PT]])+   SUMIF(May_Period_1_Tbl[[#All],[STAFF:]],$A28,May_Period_1_Tbl[[#All],[$ FREE PT]])+   SUMIF(Jun_Period_1_Tbl[[#All],[STAFF:]],$A28,Jun_Period_1_Tbl[[#All],[$ FREE PT]])+  SUMIF(Jul_Period_1_Tbl[[#All],[STAFF:]],$A28,Jul_Period_1_Tbl[[#All],[$ FREE PT]])+  SUMIF(Aug_Period_1_Tbl[[#All],[STAFF:]],$A28,Aug_Period_1_Tbl[[#All],[$ FREE PT]])+  SUMIF(Sep_Period_1_Tbl[[#All],[STAFF:]],$A28,Sep_Period_1_Tbl[[#All],[$ FREE PT]])+  SUMIF(Oct_Period_1_Tbl[[#All],[STAFF:]],$A28,Oct_Period_1_Tbl[[#All],[$ FREE PT]])+     SUMIF(Nov_Period_1_Tbl[[#All],[STAFF:]],$A28,Nov_Period_1_Tbl[[#All],[$ FREE PT]])+  SUMIF(Dec_Period_1_Tbl[[#All],[STAFF:]],$A28,Dec_Period_1_Tbl[[#All],[$ FREE PT]]))+   (SUMIF(Jan_Period_2_Tbl[[#All],[STAFF:]],$A28,Jan_Period_2_Tbl[[#All],[$ FREE PT]])+
SUMIF(Feb_Period_2_Tbl[[#All],[STAFF:]],$A28,Feb_Period_2_Tbl[[#All],[$ FREE PT]])+SUMIF(Mar_Period_2_Tbl[[#All],[STAFF:]],$A28,Mar_Period_2_Tbl[[#All],[$ FREE PT]])+SUMIF(Apr_Period_2_Tbl[[#All],[STAFF:]],$A28,Apr_Period_2_Tbl[[#All],[$ FREE PT]])+   SUMIF(May_Period_2_Tbl[[#All],[STAFF:]],$A28,May_Period_2_Tbl[[#All],[$ FREE PT]])+   SUMIF(Jun_Period_2_Tbl[[#All],[STAFF:]],$A28,Jun_Period_2_Tbl[[#All],[$ FREE PT]])+  SUMIF(Jul_Period_2_Tbl[[#All],[STAFF:]],$A28,Jul_Period_2_Tbl[[#All],[$ FREE PT]])+  SUMIF(Aug_Period_2_Tbl[[#All],[STAFF:]],$A28,Aug_Period_2_Tbl[[#All],[$ FREE PT]])+  SUMIF(Sep_Period_2_Tbl[[#All],[STAFF:]],$A28,Sep_Period_2_Tbl[[#All],[$ FREE PT]])+  SUMIF(Oct_Period_2_Tbl[[#All],[STAFF:]],$A28,Oct_Period_2_Tbl[[#All],[$ FREE PT]])+     SUMIF(Nov_Period_2_Tbl[[#All],[STAFF:]],$A28,Nov_Period_2_Tbl[[#All],[$ FREE PT]])+  SUMIF(Dec_Period_2_Tbl[[#All],[STAFF:]],$A28,Dec_Period_2_Tbl[[#All],[$ FREE PT]]))</f>
        <v>0</v>
      </c>
      <c r="K28" s="190">
        <f>(SUMIF(Jan_Period_1_Tbl[[#All],[STAFF:]],$A28,Jan_Period_1_Tbl[[#All],[$ PAID PT]])+
SUMIF(Feb_Period_1_Tbl[[#All],[STAFF:]],$A28,Feb_Period_1_Tbl[[#All],[$ PAID PT]])+SUMIF(Mar_Period_1_Tbl[[#All],[STAFF:]],$A28,Mar_Period_1_Tbl[[#All],[$ PAID PT]])+SUMIF(Apr_Period_1_Tbl[[#All],[STAFF:]],$A28,Apr_Period_1_Tbl[[#All],[$ PAID PT]])+   SUMIF(May_Period_1_Tbl[[#All],[STAFF:]],$A28,May_Period_1_Tbl[[#All],[$ PAID PT]])+   SUMIF(Jun_Period_1_Tbl[[#All],[STAFF:]],$A28,Jun_Period_1_Tbl[[#All],[$ PAID PT]])+  SUMIF(Jul_Period_1_Tbl[[#All],[STAFF:]],$A28,Jul_Period_1_Tbl[[#All],[$ PAID PT]])+  SUMIF(Aug_Period_1_Tbl[[#All],[STAFF:]],$A28,Aug_Period_1_Tbl[[#All],[$ PAID PT]])+  SUMIF(Sep_Period_1_Tbl[[#All],[STAFF:]],$A28,Sep_Period_1_Tbl[[#All],[$ PAID PT]])+  SUMIF(Oct_Period_1_Tbl[[#All],[STAFF:]],$A28,Oct_Period_1_Tbl[[#All],[$ PAID PT]])+     SUMIF(Nov_Period_1_Tbl[[#All],[STAFF:]],$A28,Nov_Period_1_Tbl[[#All],[$ PAID PT]])+  SUMIF(Dec_Period_1_Tbl[[#All],[STAFF:]],$A28,Dec_Period_1_Tbl[[#All],[$ PAID PT]]))+   (SUMIF(Jan_Period_2_Tbl[[#All],[STAFF:]],$A28,Jan_Period_2_Tbl[[#All],[$ PAID PT]])+
SUMIF(Feb_Period_2_Tbl[[#All],[STAFF:]],$A28,Feb_Period_2_Tbl[[#All],[$ PAID PT]])+SUMIF(Mar_Period_2_Tbl[[#All],[STAFF:]],$A28,Mar_Period_2_Tbl[[#All],[$ PAID PT]])+SUMIF(Apr_Period_2_Tbl[[#All],[STAFF:]],$A28,Apr_Period_2_Tbl[[#All],[$ PAID PT]])+   SUMIF(May_Period_2_Tbl[[#All],[STAFF:]],$A28,May_Period_2_Tbl[[#All],[$ PAID PT]])+   SUMIF(Jun_Period_2_Tbl[[#All],[STAFF:]],$A28,Jun_Period_2_Tbl[[#All],[$ PAID PT]])+  SUMIF(Jul_Period_2_Tbl[[#All],[STAFF:]],$A28,Jul_Period_2_Tbl[[#All],[$ PAID PT]])+  SUMIF(Aug_Period_2_Tbl[[#All],[STAFF:]],$A28,Aug_Period_2_Tbl[[#All],[$ PAID PT]])+  SUMIF(Sep_Period_2_Tbl[[#All],[STAFF:]],$A28,Sep_Period_2_Tbl[[#All],[$ PAID PT]])+  SUMIF(Oct_Period_2_Tbl[[#All],[STAFF:]],$A28,Oct_Period_2_Tbl[[#All],[$ PAID PT]])+     SUMIF(Nov_Period_2_Tbl[[#All],[STAFF:]],$A28,Nov_Period_2_Tbl[[#All],[$ PAID PT]])+  SUMIF(Dec_Period_2_Tbl[[#All],[STAFF:]],$A28,Dec_Period_2_Tbl[[#All],[$ PAID PT]]))</f>
        <v>0</v>
      </c>
      <c r="L28" s="190">
        <f>(SUMIF(Jan_Period_1_Tbl[[#All],[STAFF:]],$A28,Jan_Period_1_Tbl[[#All],[$ PT COMM]])+
SUMIF(Feb_Period_1_Tbl[[#All],[STAFF:]],$A28,Feb_Period_1_Tbl[[#All],[$ PT COMM]])+SUMIF(Mar_Period_1_Tbl[[#All],[STAFF:]],$A28,Mar_Period_1_Tbl[[#All],[$ PT COMM]])+SUMIF(Apr_Period_1_Tbl[[#All],[STAFF:]],$A28,Apr_Period_1_Tbl[[#All],[$ PT COMM]])+   SUMIF(May_Period_1_Tbl[[#All],[STAFF:]],$A28,May_Period_1_Tbl[[#All],[$ PT COMM]])+   SUMIF(Jun_Period_1_Tbl[[#All],[STAFF:]],$A28,Jun_Period_1_Tbl[[#All],[$ PT COMM]])+  SUMIF(Jul_Period_1_Tbl[[#All],[STAFF:]],$A28,Jul_Period_1_Tbl[[#All],[$ PT COMM]])+  SUMIF(Aug_Period_1_Tbl[[#All],[STAFF:]],$A28,Aug_Period_1_Tbl[[#All],[$ PT COMM]])+  SUMIF(Sep_Period_1_Tbl[[#All],[STAFF:]],$A28,Sep_Period_1_Tbl[[#All],[$ PT COMM]])+  SUMIF(Oct_Period_1_Tbl[[#All],[STAFF:]],$A28,Oct_Period_1_Tbl[[#All],[$ PT COMM]])+     SUMIF(Nov_Period_1_Tbl[[#All],[STAFF:]],$A28,Nov_Period_1_Tbl[[#All],[$ PT COMM]])+  SUMIF(Dec_Period_1_Tbl[[#All],[STAFF:]],$A28,Dec_Period_1_Tbl[[#All],[$ PT COMM]]))+   (SUMIF(Jan_Period_2_Tbl[[#All],[STAFF:]],$A28,Jan_Period_2_Tbl[[#All],[$ PT COMM]])+
SUMIF(Feb_Period_2_Tbl[[#All],[STAFF:]],$A28,Feb_Period_2_Tbl[[#All],[$ PT COMM]])+SUMIF(Mar_Period_2_Tbl[[#All],[STAFF:]],$A28,Mar_Period_2_Tbl[[#All],[$ PT COMM]])+SUMIF(Apr_Period_2_Tbl[[#All],[STAFF:]],$A28,Apr_Period_2_Tbl[[#All],[$ PT COMM]])+   SUMIF(May_Period_2_Tbl[[#All],[STAFF:]],$A28,May_Period_2_Tbl[[#All],[$ PT COMM]])+   SUMIF(Jun_Period_2_Tbl[[#All],[STAFF:]],$A28,Jun_Period_2_Tbl[[#All],[$ PT COMM]])+  SUMIF(Jul_Period_2_Tbl[[#All],[STAFF:]],$A28,Jul_Period_2_Tbl[[#All],[$ PT COMM]])+  SUMIF(Aug_Period_2_Tbl[[#All],[STAFF:]],$A28,Aug_Period_2_Tbl[[#All],[$ PT COMM]])+  SUMIF(Sep_Period_2_Tbl[[#All],[STAFF:]],$A28,Sep_Period_2_Tbl[[#All],[$ PT COMM]])+  SUMIF(Oct_Period_2_Tbl[[#All],[STAFF:]],$A28,Oct_Period_2_Tbl[[#All],[$ PT COMM]])+     SUMIF(Nov_Period_2_Tbl[[#All],[STAFF:]],$A28,Nov_Period_2_Tbl[[#All],[$ PT COMM]])+  SUMIF(Dec_Period_2_Tbl[[#All],[STAFF:]],$A28,Dec_Period_2_Tbl[[#All],[$ PT COMM]]))</f>
        <v>0</v>
      </c>
      <c r="M28" s="190">
        <f>(SUMIF(Jan_Period_1_Tbl[[#All],[STAFF:]],$A28,Jan_Period_1_Tbl[[#All],[$ EFT COMM]])+
SUMIF(Feb_Period_1_Tbl[[#All],[STAFF:]],$A28,Feb_Period_1_Tbl[[#All],[$ EFT COMM]])+SUMIF(Mar_Period_1_Tbl[[#All],[STAFF:]],$A28,Mar_Period_1_Tbl[[#All],[$ EFT COMM]])+SUMIF(Apr_Period_1_Tbl[[#All],[STAFF:]],$A28,Apr_Period_1_Tbl[[#All],[$ EFT COMM]])+   SUMIF(May_Period_1_Tbl[[#All],[STAFF:]],$A28,May_Period_1_Tbl[[#All],[$ EFT COMM]])+   SUMIF(Jun_Period_1_Tbl[[#All],[STAFF:]],$A28,Jun_Period_1_Tbl[[#All],[$ EFT COMM]])+  SUMIF(Jul_Period_1_Tbl[[#All],[STAFF:]],$A28,Jul_Period_1_Tbl[[#All],[$ EFT COMM]])+  SUMIF(Aug_Period_1_Tbl[[#All],[STAFF:]],$A28,Aug_Period_1_Tbl[[#All],[$ EFT COMM]])+  SUMIF(Sep_Period_1_Tbl[[#All],[STAFF:]],$A28,Sep_Period_1_Tbl[[#All],[$ EFT COMM]])+  SUMIF(Oct_Period_1_Tbl[[#All],[STAFF:]],$A28,Oct_Period_1_Tbl[[#All],[$ EFT COMM]])+     SUMIF(Nov_Period_1_Tbl[[#All],[STAFF:]],$A28,Nov_Period_1_Tbl[[#All],[$ EFT COMM]])+  SUMIF(Dec_Period_1_Tbl[[#All],[STAFF:]],$A28,Dec_Period_1_Tbl[[#All],[$ EFT COMM]]))+   (SUMIF(Jan_Period_2_Tbl[[#All],[STAFF:]],$A28,Jan_Period_2_Tbl[[#All],[$ EFT COMM]])+
SUMIF(Feb_Period_2_Tbl[[#All],[STAFF:]],$A28,Feb_Period_2_Tbl[[#All],[$ EFT COMM]])+SUMIF(Mar_Period_2_Tbl[[#All],[STAFF:]],$A28,Mar_Period_2_Tbl[[#All],[$ EFT COMM]])+SUMIF(Apr_Period_2_Tbl[[#All],[STAFF:]],$A28,Apr_Period_2_Tbl[[#All],[$ EFT COMM]])+   SUMIF(May_Period_2_Tbl[[#All],[STAFF:]],$A28,May_Period_2_Tbl[[#All],[$ EFT COMM]])+   SUMIF(Jun_Period_2_Tbl[[#All],[STAFF:]],$A28,Jun_Period_2_Tbl[[#All],[$ EFT COMM]])+  SUMIF(Jul_Period_2_Tbl[[#All],[STAFF:]],$A28,Jul_Period_2_Tbl[[#All],[$ EFT COMM]])+  SUMIF(Aug_Period_2_Tbl[[#All],[STAFF:]],$A28,Aug_Period_2_Tbl[[#All],[$ EFT COMM]])+  SUMIF(Sep_Period_2_Tbl[[#All],[STAFF:]],$A28,Sep_Period_2_Tbl[[#All],[$ EFT COMM]])+  SUMIF(Oct_Period_2_Tbl[[#All],[STAFF:]],$A28,Oct_Period_2_Tbl[[#All],[$ EFT COMM]])+     SUMIF(Nov_Period_2_Tbl[[#All],[STAFF:]],$A28,Nov_Period_2_Tbl[[#All],[$ EFT COMM]])+  SUMIF(Dec_Period_2_Tbl[[#All],[STAFF:]],$A28,Dec_Period_2_Tbl[[#All],[$ EFT COMM]]))</f>
        <v>0</v>
      </c>
      <c r="N28" s="190">
        <f>(SUMIF(Jan_Period_1_Tbl[[#All],[STAFF:]],$A28,Jan_Period_1_Tbl[[#All],[$ CLASS PAY]])+
SUMIF(Feb_Period_1_Tbl[[#All],[STAFF:]],$A28,Feb_Period_1_Tbl[[#All],[$ CLASS PAY]])+SUMIF(Mar_Period_1_Tbl[[#All],[STAFF:]],$A28,Mar_Period_1_Tbl[[#All],[$ CLASS PAY]])+SUMIF(Apr_Period_1_Tbl[[#All],[STAFF:]],$A28,Apr_Period_1_Tbl[[#All],[$ CLASS PAY]])+   SUMIF(May_Period_1_Tbl[[#All],[STAFF:]],$A28,May_Period_1_Tbl[[#All],[$ CLASS PAY]])+   SUMIF(Jun_Period_1_Tbl[[#All],[STAFF:]],$A28,Jun_Period_1_Tbl[[#All],[$ CLASS PAY]])+  SUMIF(Jul_Period_1_Tbl[[#All],[STAFF:]],$A28,Jul_Period_1_Tbl[[#All],[$ CLASS PAY]])+  SUMIF(Aug_Period_1_Tbl[[#All],[STAFF:]],$A28,Aug_Period_1_Tbl[[#All],[$ CLASS PAY]])+  SUMIF(Sep_Period_1_Tbl[[#All],[STAFF:]],$A28,Sep_Period_1_Tbl[[#All],[$ CLASS PAY]])+  SUMIF(Oct_Period_1_Tbl[[#All],[STAFF:]],$A28,Oct_Period_1_Tbl[[#All],[$ CLASS PAY]])+     SUMIF(Nov_Period_1_Tbl[[#All],[STAFF:]],$A28,Nov_Period_1_Tbl[[#All],[$ CLASS PAY]])+  SUMIF(Dec_Period_1_Tbl[[#All],[STAFF:]],$A28,Dec_Period_1_Tbl[[#All],[$ CLASS PAY]]))+   (SUMIF(Jan_Period_2_Tbl[[#All],[STAFF:]],$A28,Jan_Period_2_Tbl[[#All],[$ CLASS PAY]])+
SUMIF(Feb_Period_2_Tbl[[#All],[STAFF:]],$A28,Feb_Period_2_Tbl[[#All],[$ CLASS PAY]])+SUMIF(Mar_Period_2_Tbl[[#All],[STAFF:]],$A28,Mar_Period_2_Tbl[[#All],[$ CLASS PAY]])+SUMIF(Apr_Period_2_Tbl[[#All],[STAFF:]],$A28,Apr_Period_2_Tbl[[#All],[$ CLASS PAY]])+   SUMIF(May_Period_2_Tbl[[#All],[STAFF:]],$A28,May_Period_2_Tbl[[#All],[$ CLASS PAY]])+   SUMIF(Jun_Period_2_Tbl[[#All],[STAFF:]],$A28,Jun_Period_2_Tbl[[#All],[$ CLASS PAY]])+  SUMIF(Jul_Period_2_Tbl[[#All],[STAFF:]],$A28,Jul_Period_2_Tbl[[#All],[$ CLASS PAY]])+  SUMIF(Aug_Period_2_Tbl[[#All],[STAFF:]],$A28,Aug_Period_2_Tbl[[#All],[$ CLASS PAY]])+  SUMIF(Sep_Period_2_Tbl[[#All],[STAFF:]],$A28,Sep_Period_2_Tbl[[#All],[$ CLASS PAY]])+  SUMIF(Oct_Period_2_Tbl[[#All],[STAFF:]],$A28,Oct_Period_2_Tbl[[#All],[$ CLASS PAY]])+     SUMIF(Nov_Period_2_Tbl[[#All],[STAFF:]],$A28,Nov_Period_2_Tbl[[#All],[$ CLASS PAY]])+  SUMIF(Dec_Period_2_Tbl[[#All],[STAFF:]],$A28,Dec_Period_2_Tbl[[#All],[$ CLASS PAY]]))</f>
        <v>0</v>
      </c>
      <c r="O28" s="191">
        <f>(SUMIF(Jan_Period_1_Tbl[[#All],[STAFF:]],$A28,Jan_Period_1_Tbl[[#All],[$ BONUS PAY]])+
SUMIF(Feb_Period_1_Tbl[[#All],[STAFF:]],$A28,Feb_Period_1_Tbl[[#All],[$ BONUS PAY]])+SUMIF(Mar_Period_1_Tbl[[#All],[STAFF:]],$A28,Mar_Period_1_Tbl[[#All],[$ BONUS PAY]])+SUMIF(Apr_Period_1_Tbl[[#All],[STAFF:]],$A28,Apr_Period_1_Tbl[[#All],[$ BONUS PAY]])+   SUMIF(May_Period_1_Tbl[[#All],[STAFF:]],$A28,May_Period_1_Tbl[[#All],[$ BONUS PAY]])+   SUMIF(Jun_Period_1_Tbl[[#All],[STAFF:]],$A28,Jun_Period_1_Tbl[[#All],[$ BONUS PAY]])+  SUMIF(Jul_Period_1_Tbl[[#All],[STAFF:]],$A28,Jul_Period_1_Tbl[[#All],[$ BONUS PAY]])+  SUMIF(Aug_Period_1_Tbl[[#All],[STAFF:]],$A28,Aug_Period_1_Tbl[[#All],[$ BONUS PAY]])+  SUMIF(Sep_Period_1_Tbl[[#All],[STAFF:]],$A28,Sep_Period_1_Tbl[[#All],[$ BONUS PAY]])+  SUMIF(Oct_Period_1_Tbl[[#All],[STAFF:]],$A28,Oct_Period_1_Tbl[[#All],[$ BONUS PAY]])+     SUMIF(Nov_Period_1_Tbl[[#All],[STAFF:]],$A28,Nov_Period_1_Tbl[[#All],[$ BONUS PAY]])+  SUMIF(Dec_Period_1_Tbl[[#All],[STAFF:]],$A28,Dec_Period_1_Tbl[[#All],[$ BONUS PAY]]))+   (SUMIF(Jan_Period_2_Tbl[[#All],[STAFF:]],$A28,Jan_Period_2_Tbl[[#All],[$ BONUS PAY]])+
SUMIF(Feb_Period_2_Tbl[[#All],[STAFF:]],$A28,Feb_Period_2_Tbl[[#All],[$ BONUS PAY]])+SUMIF(Mar_Period_2_Tbl[[#All],[STAFF:]],$A28,Mar_Period_2_Tbl[[#All],[$ BONUS PAY]])+SUMIF(Apr_Period_2_Tbl[[#All],[STAFF:]],$A28,Apr_Period_2_Tbl[[#All],[$ BONUS PAY]])+   SUMIF(May_Period_2_Tbl[[#All],[STAFF:]],$A28,May_Period_2_Tbl[[#All],[$ BONUS PAY]])+   SUMIF(Jun_Period_2_Tbl[[#All],[STAFF:]],$A28,Jun_Period_2_Tbl[[#All],[$ BONUS PAY]])+  SUMIF(Jul_Period_2_Tbl[[#All],[STAFF:]],$A28,Jul_Period_2_Tbl[[#All],[$ BONUS PAY]])+  SUMIF(Aug_Period_2_Tbl[[#All],[STAFF:]],$A28,Aug_Period_2_Tbl[[#All],[$ BONUS PAY]])+  SUMIF(Sep_Period_2_Tbl[[#All],[STAFF:]],$A28,Sep_Period_2_Tbl[[#All],[$ BONUS PAY]])+  SUMIF(Oct_Period_2_Tbl[[#All],[STAFF:]],$A28,Oct_Period_2_Tbl[[#All],[$ BONUS PAY]])+     SUMIF(Nov_Period_2_Tbl[[#All],[STAFF:]],$A28,Nov_Period_2_Tbl[[#All],[$ BONUS PAY]])+  SUMIF(Dec_Period_2_Tbl[[#All],[STAFF:]],$A28,Dec_Period_2_Tbl[[#All],[$ BONUS PAY]]))</f>
        <v>0</v>
      </c>
      <c r="P28" s="179">
        <f t="shared" si="0"/>
        <v>0</v>
      </c>
      <c r="Q28" s="149"/>
      <c r="R28" s="152">
        <f>(SUMIF(Jan_Period_1_Tbl[[#All],[STAFF:]],$A28,Jan_Period_1_Tbl[[#All],['# POINTS EARNED]])+
SUMIF(Feb_Period_1_Tbl[[#All],[STAFF:]],$A28,Feb_Period_1_Tbl[[#All],['# POINTS EARNED]])+SUMIF(Mar_Period_1_Tbl[[#All],[STAFF:]],$A28,Mar_Period_1_Tbl[[#All],['# POINTS EARNED]])+SUMIF(Apr_Period_1_Tbl[[#All],[STAFF:]],$A28,Apr_Period_1_Tbl[[#All],['# POINTS EARNED]])+   SUMIF(May_Period_1_Tbl[[#All],[STAFF:]],$A28,May_Period_1_Tbl[[#All],['# POINTS EARNED]])+   SUMIF(Jun_Period_1_Tbl[[#All],[STAFF:]],$A28,Jun_Period_1_Tbl[[#All],['# POINTS EARNED]])+  SUMIF(Jul_Period_1_Tbl[[#All],[STAFF:]],$A28,Jul_Period_1_Tbl[[#All],['# POINTS EARNED]])+  SUMIF(Aug_Period_1_Tbl[[#All],[STAFF:]],$A28,Aug_Period_1_Tbl[[#All],['# POINTS EARNED]])+  SUMIF(Sep_Period_1_Tbl[[#All],[STAFF:]],$A28,Sep_Period_1_Tbl[[#All],['# POINTS EARNED]])+  SUMIF(Oct_Period_1_Tbl[[#All],[STAFF:]],$A28,Oct_Period_1_Tbl[[#All],['# POINTS EARNED]])+     SUMIF(Nov_Period_1_Tbl[[#All],[STAFF:]],$A28,Nov_Period_1_Tbl[[#All],['# POINTS EARNED]])+  SUMIF(Dec_Period_1_Tbl[[#All],[STAFF:]],$A28,Dec_Period_1_Tbl[[#All],['# POINTS EARNED]]))+   (SUMIF(Jan_Period_2_Tbl[[#All],[STAFF:]],$A28,Jan_Period_2_Tbl[[#All],['# POINTS EARNED]])+
SUMIF(Feb_Period_2_Tbl[[#All],[STAFF:]],$A28,Feb_Period_2_Tbl[[#All],['# POINTS EARNED]])+SUMIF(Mar_Period_2_Tbl[[#All],[STAFF:]],$A28,Mar_Period_2_Tbl[[#All],['# POINTS EARNED]])+SUMIF(Apr_Period_2_Tbl[[#All],[STAFF:]],$A28,Apr_Period_2_Tbl[[#All],['# POINTS EARNED]])+   SUMIF(May_Period_2_Tbl[[#All],[STAFF:]],$A28,May_Period_2_Tbl[[#All],['# POINTS EARNED]])+   SUMIF(Jun_Period_2_Tbl[[#All],[STAFF:]],$A28,Jun_Period_2_Tbl[[#All],['# POINTS EARNED]])+  SUMIF(Jul_Period_2_Tbl[[#All],[STAFF:]],$A28,Jul_Period_2_Tbl[[#All],['# POINTS EARNED]])+  SUMIF(Aug_Period_2_Tbl[[#All],[STAFF:]],$A28,Aug_Period_2_Tbl[[#All],['# POINTS EARNED]])+  SUMIF(Sep_Period_2_Tbl[[#All],[STAFF:]],$A28,Sep_Period_2_Tbl[[#All],['# POINTS EARNED]])+  SUMIF(Oct_Period_2_Tbl[[#All],[STAFF:]],$A28,Oct_Period_2_Tbl[[#All],['# POINTS EARNED]])+     SUMIF(Nov_Period_2_Tbl[[#All],[STAFF:]],$A28,Nov_Period_2_Tbl[[#All],['# POINTS EARNED]])+  SUMIF(Dec_Period_2_Tbl[[#All],[STAFF:]],$A28,Dec_Period_2_Tbl[[#All],['# POINTS EARNED]]))</f>
        <v>0</v>
      </c>
      <c r="S28" s="152">
        <f>(SUMIF(Jan_Period_1_Tbl[[#All],[STAFF:]],$A28,Jan_Period_1_Tbl[[#All],['# POINTS USED]])+
SUMIF(Feb_Period_1_Tbl[[#All],[STAFF:]],$A28,Feb_Period_1_Tbl[[#All],['# POINTS USED]])+SUMIF(Mar_Period_1_Tbl[[#All],[STAFF:]],$A28,Mar_Period_1_Tbl[[#All],['# POINTS USED]])+SUMIF(Apr_Period_1_Tbl[[#All],[STAFF:]],$A28,Apr_Period_1_Tbl[[#All],['# POINTS USED]])+   SUMIF(May_Period_1_Tbl[[#All],[STAFF:]],$A28,May_Period_1_Tbl[[#All],['# POINTS USED]])+   SUMIF(Jun_Period_1_Tbl[[#All],[STAFF:]],$A28,Jun_Period_1_Tbl[[#All],['# POINTS USED]])+  SUMIF(Jul_Period_1_Tbl[[#All],[STAFF:]],$A28,Jul_Period_1_Tbl[[#All],['# POINTS USED]])+  SUMIF(Aug_Period_1_Tbl[[#All],[STAFF:]],$A28,Aug_Period_1_Tbl[[#All],['# POINTS USED]])+  SUMIF(Sep_Period_1_Tbl[[#All],[STAFF:]],$A28,Sep_Period_1_Tbl[[#All],['# POINTS USED]])+  SUMIF(Oct_Period_1_Tbl[[#All],[STAFF:]],$A28,Oct_Period_1_Tbl[[#All],['# POINTS USED]])+     SUMIF(Nov_Period_1_Tbl[[#All],[STAFF:]],$A28,Nov_Period_1_Tbl[[#All],['# POINTS USED]])+  SUMIF(Dec_Period_1_Tbl[[#All],[STAFF:]],$A28,Dec_Period_1_Tbl[[#All],['# POINTS USED]]))+   (SUMIF(Jan_Period_2_Tbl[[#All],[STAFF:]],$A28,Jan_Period_2_Tbl[[#All],['# POINTS USED]])+
SUMIF(Feb_Period_2_Tbl[[#All],[STAFF:]],$A28,Feb_Period_2_Tbl[[#All],['# POINTS USED]])+SUMIF(Mar_Period_2_Tbl[[#All],[STAFF:]],$A28,Mar_Period_2_Tbl[[#All],['# POINTS USED]])+SUMIF(Apr_Period_2_Tbl[[#All],[STAFF:]],$A28,Apr_Period_2_Tbl[[#All],['# POINTS USED]])+   SUMIF(May_Period_2_Tbl[[#All],[STAFF:]],$A28,May_Period_2_Tbl[[#All],['# POINTS USED]])+   SUMIF(Jun_Period_2_Tbl[[#All],[STAFF:]],$A28,Jun_Period_2_Tbl[[#All],['# POINTS USED]])+  SUMIF(Jul_Period_2_Tbl[[#All],[STAFF:]],$A28,Jul_Period_2_Tbl[[#All],['# POINTS USED]])+  SUMIF(Aug_Period_2_Tbl[[#All],[STAFF:]],$A28,Aug_Period_2_Tbl[[#All],['# POINTS USED]])+  SUMIF(Sep_Period_2_Tbl[[#All],[STAFF:]],$A28,Sep_Period_2_Tbl[[#All],['# POINTS USED]])+  SUMIF(Oct_Period_2_Tbl[[#All],[STAFF:]],$A28,Oct_Period_2_Tbl[[#All],['# POINTS USED]])+     SUMIF(Nov_Period_2_Tbl[[#All],[STAFF:]],$A28,Nov_Period_2_Tbl[[#All],['# POINTS USED]])+  SUMIF(Dec_Period_2_Tbl[[#All],[STAFF:]],$A28,Dec_Period_2_Tbl[[#All],['# POINTS USED]]))</f>
        <v>0</v>
      </c>
      <c r="T28" s="152">
        <f>(SUMIF(Jan_Period_1_Tbl[[#All],[STAFF:]],$A28,Jan_Period_1_Tbl[[#All],['# CLASSES LEAD]])+
SUMIF(Feb_Period_1_Tbl[[#All],[STAFF:]],$A28,Feb_Period_1_Tbl[[#All],['# CLASSES LEAD]])+SUMIF(Mar_Period_1_Tbl[[#All],[STAFF:]],$A28,Mar_Period_1_Tbl[[#All],['# CLASSES LEAD]])+SUMIF(Apr_Period_1_Tbl[[#All],[STAFF:]],$A28,Apr_Period_1_Tbl[[#All],['# CLASSES LEAD]])+   SUMIF(May_Period_1_Tbl[[#All],[STAFF:]],$A28,May_Period_1_Tbl[[#All],['# CLASSES LEAD]])+   SUMIF(Jun_Period_1_Tbl[[#All],[STAFF:]],$A28,Jun_Period_1_Tbl[[#All],['# CLASSES LEAD]])+  SUMIF(Jul_Period_1_Tbl[[#All],[STAFF:]],$A28,Jul_Period_1_Tbl[[#All],['# CLASSES LEAD]])+  SUMIF(Aug_Period_1_Tbl[[#All],[STAFF:]],$A28,Aug_Period_1_Tbl[[#All],['# CLASSES LEAD]])+  SUMIF(Sep_Period_1_Tbl[[#All],[STAFF:]],$A28,Sep_Period_1_Tbl[[#All],['# CLASSES LEAD]])+  SUMIF(Oct_Period_1_Tbl[[#All],[STAFF:]],$A28,Oct_Period_1_Tbl[[#All],['# CLASSES LEAD]])+     SUMIF(Nov_Period_1_Tbl[[#All],[STAFF:]],$A28,Nov_Period_1_Tbl[[#All],['# CLASSES LEAD]])+  SUMIF(Dec_Period_1_Tbl[[#All],[STAFF:]],$A28,Dec_Period_1_Tbl[[#All],['# CLASSES LEAD]]))+   (SUMIF(Jan_Period_2_Tbl[[#All],[STAFF:]],$A28,Jan_Period_2_Tbl[[#All],['# CLASSES LEAD]])+
SUMIF(Feb_Period_2_Tbl[[#All],[STAFF:]],$A28,Feb_Period_2_Tbl[[#All],['# CLASSES LEAD]])+SUMIF(Mar_Period_2_Tbl[[#All],[STAFF:]],$A28,Mar_Period_2_Tbl[[#All],['# CLASSES LEAD]])+SUMIF(Apr_Period_2_Tbl[[#All],[STAFF:]],$A28,Apr_Period_2_Tbl[[#All],['# CLASSES LEAD]])+   SUMIF(May_Period_2_Tbl[[#All],[STAFF:]],$A28,May_Period_2_Tbl[[#All],['# CLASSES LEAD]])+   SUMIF(Jun_Period_2_Tbl[[#All],[STAFF:]],$A28,Jun_Period_2_Tbl[[#All],['# CLASSES LEAD]])+  SUMIF(Jul_Period_2_Tbl[[#All],[STAFF:]],$A28,Jul_Period_2_Tbl[[#All],['# CLASSES LEAD]])+  SUMIF(Aug_Period_2_Tbl[[#All],[STAFF:]],$A28,Aug_Period_2_Tbl[[#All],['# CLASSES LEAD]])+  SUMIF(Sep_Period_2_Tbl[[#All],[STAFF:]],$A28,Sep_Period_2_Tbl[[#All],['# CLASSES LEAD]])+  SUMIF(Oct_Period_2_Tbl[[#All],[STAFF:]],$A28,Oct_Period_2_Tbl[[#All],['# CLASSES LEAD]])+     SUMIF(Nov_Period_2_Tbl[[#All],[STAFF:]],$A28,Nov_Period_2_Tbl[[#All],['# CLASSES LEAD]])+  SUMIF(Dec_Period_2_Tbl[[#All],[STAFF:]],$A28,Dec_Period_2_Tbl[[#All],['# CLASSES LEAD]]))</f>
        <v>0</v>
      </c>
      <c r="U28" s="152">
        <f>(SUMIF(Jan_Period_1_Tbl[[#All],[STAFF:]],$A28,Jan_Period_1_Tbl[[#All],['# CLASSES SHOW]])+
SUMIF(Feb_Period_1_Tbl[[#All],[STAFF:]],$A28,Feb_Period_1_Tbl[[#All],['# CLASSES SHOW]])+SUMIF(Mar_Period_1_Tbl[[#All],[STAFF:]],$A28,Mar_Period_1_Tbl[[#All],['# CLASSES SHOW]])+SUMIF(Apr_Period_1_Tbl[[#All],[STAFF:]],$A28,Apr_Period_1_Tbl[[#All],['# CLASSES SHOW]])+   SUMIF(May_Period_1_Tbl[[#All],[STAFF:]],$A28,May_Period_1_Tbl[[#All],['# CLASSES SHOW]])+   SUMIF(Jun_Period_1_Tbl[[#All],[STAFF:]],$A28,Jun_Period_1_Tbl[[#All],['# CLASSES SHOW]])+  SUMIF(Jul_Period_1_Tbl[[#All],[STAFF:]],$A28,Jul_Period_1_Tbl[[#All],['# CLASSES SHOW]])+  SUMIF(Aug_Period_1_Tbl[[#All],[STAFF:]],$A28,Aug_Period_1_Tbl[[#All],['# CLASSES SHOW]])+  SUMIF(Sep_Period_1_Tbl[[#All],[STAFF:]],$A28,Sep_Period_1_Tbl[[#All],['# CLASSES SHOW]])+  SUMIF(Oct_Period_1_Tbl[[#All],[STAFF:]],$A28,Oct_Period_1_Tbl[[#All],['# CLASSES SHOW]])+     SUMIF(Nov_Period_1_Tbl[[#All],[STAFF:]],$A28,Nov_Period_1_Tbl[[#All],['# CLASSES SHOW]])+  SUMIF(Dec_Period_1_Tbl[[#All],[STAFF:]],$A28,Dec_Period_1_Tbl[[#All],['# CLASSES SHOW]]))+   (SUMIF(Jan_Period_2_Tbl[[#All],[STAFF:]],$A28,Jan_Period_2_Tbl[[#All],['# CLASSES SHOW]])+
SUMIF(Feb_Period_2_Tbl[[#All],[STAFF:]],$A28,Feb_Period_2_Tbl[[#All],['# CLASSES SHOW]])+SUMIF(Mar_Period_2_Tbl[[#All],[STAFF:]],$A28,Mar_Period_2_Tbl[[#All],['# CLASSES SHOW]])+SUMIF(Apr_Period_2_Tbl[[#All],[STAFF:]],$A28,Apr_Period_2_Tbl[[#All],['# CLASSES SHOW]])+   SUMIF(May_Period_2_Tbl[[#All],[STAFF:]],$A28,May_Period_2_Tbl[[#All],['# CLASSES SHOW]])+   SUMIF(Jun_Period_2_Tbl[[#All],[STAFF:]],$A28,Jun_Period_2_Tbl[[#All],['# CLASSES SHOW]])+  SUMIF(Jul_Period_2_Tbl[[#All],[STAFF:]],$A28,Jul_Period_2_Tbl[[#All],['# CLASSES SHOW]])+  SUMIF(Aug_Period_2_Tbl[[#All],[STAFF:]],$A28,Aug_Period_2_Tbl[[#All],['# CLASSES SHOW]])+  SUMIF(Sep_Period_2_Tbl[[#All],[STAFF:]],$A28,Sep_Period_2_Tbl[[#All],['# CLASSES SHOW]])+  SUMIF(Oct_Period_2_Tbl[[#All],[STAFF:]],$A28,Oct_Period_2_Tbl[[#All],['# CLASSES SHOW]])+     SUMIF(Nov_Period_2_Tbl[[#All],[STAFF:]],$A28,Nov_Period_2_Tbl[[#All],['# CLASSES SHOW]])+  SUMIF(Dec_Period_2_Tbl[[#All],[STAFF:]],$A28,Dec_Period_2_Tbl[[#All],['# CLASSES SHOW]]))</f>
        <v>0</v>
      </c>
      <c r="V28" s="156"/>
      <c r="W28" s="156"/>
      <c r="X28" s="154">
        <f t="shared" si="1"/>
        <v>0</v>
      </c>
      <c r="Y28" s="154">
        <f t="shared" si="2"/>
        <v>0</v>
      </c>
      <c r="Z28" s="154">
        <f t="shared" si="3"/>
        <v>0</v>
      </c>
      <c r="AA28" s="154">
        <f t="shared" si="4"/>
        <v>0</v>
      </c>
      <c r="AB28" s="154">
        <f t="shared" si="5"/>
        <v>0</v>
      </c>
      <c r="AC28" s="154">
        <f t="shared" si="6"/>
        <v>0</v>
      </c>
      <c r="AD28" s="154">
        <f t="shared" si="7"/>
        <v>0</v>
      </c>
      <c r="AE28" s="149"/>
      <c r="AF28" s="149"/>
      <c r="AG28" s="149"/>
      <c r="AH28" s="149"/>
      <c r="AJ28" s="75" t="str">
        <f t="shared" si="8"/>
        <v>zBlank</v>
      </c>
      <c r="AK28" s="210"/>
      <c r="AL28" s="168">
        <f>IFERROR(VLOOKUP(B28,List!$A:$B,2,FALSE),-1)</f>
        <v>-1</v>
      </c>
      <c r="AM28" s="168">
        <f>IFERROR(VLOOKUP(C28,List!$A:$B,2,FALSE),-1)</f>
        <v>-1</v>
      </c>
    </row>
    <row r="29" spans="1:39" ht="15" hidden="1" customHeight="1" x14ac:dyDescent="0.25">
      <c r="A29" s="20"/>
      <c r="B29" s="186"/>
      <c r="C29" s="186"/>
      <c r="D29" s="187"/>
      <c r="E29" s="188">
        <f>(SUMIF(Jan_Period_1_Tbl[[#All],[STAFF:]],$A29,Jan_Period_1_Tbl[[#All],['# PTO USED]])+
SUMIF(Feb_Period_1_Tbl[[#All],[STAFF:]],$A29,Feb_Period_1_Tbl[[#All],['# PTO USED]])+SUMIF(Mar_Period_1_Tbl[[#All],[STAFF:]],$A29,Mar_Period_1_Tbl[[#All],['# PTO USED]])+SUMIF(Apr_Period_1_Tbl[[#All],[STAFF:]],$A29,Apr_Period_1_Tbl[[#All],['# PTO USED]])+   SUMIF(May_Period_1_Tbl[[#All],[STAFF:]],$A29,May_Period_1_Tbl[[#All],['# PTO USED]])+   SUMIF(Jun_Period_1_Tbl[[#All],[STAFF:]],$A29,Jun_Period_1_Tbl[[#All],['# PTO USED]])+  SUMIF(Jul_Period_1_Tbl[[#All],[STAFF:]],$A29,Jul_Period_1_Tbl[[#All],['# PTO USED]])+  SUMIF(Aug_Period_1_Tbl[[#All],[STAFF:]],$A29,Aug_Period_1_Tbl[[#All],['# PTO USED]])+  SUMIF(Sep_Period_1_Tbl[[#All],[STAFF:]],$A29,Sep_Period_1_Tbl[[#All],['# PTO USED]])+  SUMIF(Oct_Period_1_Tbl[[#All],[STAFF:]],$A29,Oct_Period_1_Tbl[[#All],['# PTO USED]])+     SUMIF(Nov_Period_1_Tbl[[#All],[STAFF:]],$A29,Nov_Period_1_Tbl[[#All],['# PTO USED]])+  SUMIF(Dec_Period_1_Tbl[[#All],[STAFF:]],$A29,Dec_Period_1_Tbl[[#All],['# PTO USED]]))+   (SUMIF(Jan_Period_2_Tbl[[#All],[STAFF:]],$A29,Jan_Period_2_Tbl[[#All],['# PTO USED]])+
SUMIF(Feb_Period_2_Tbl[[#All],[STAFF:]],$A29,Feb_Period_2_Tbl[[#All],['# PTO USED]])+SUMIF(Mar_Period_2_Tbl[[#All],[STAFF:]],$A29,Mar_Period_2_Tbl[[#All],['# PTO USED]])+SUMIF(Apr_Period_2_Tbl[[#All],[STAFF:]],$A29,Apr_Period_2_Tbl[[#All],['# PTO USED]])+   SUMIF(May_Period_2_Tbl[[#All],[STAFF:]],$A29,May_Period_2_Tbl[[#All],['# PTO USED]])+   SUMIF(Jun_Period_2_Tbl[[#All],[STAFF:]],$A29,Jun_Period_2_Tbl[[#All],['# PTO USED]])+  SUMIF(Jul_Period_2_Tbl[[#All],[STAFF:]],$A29,Jul_Period_2_Tbl[[#All],['# PTO USED]])+  SUMIF(Aug_Period_2_Tbl[[#All],[STAFF:]],$A29,Aug_Period_2_Tbl[[#All],['# PTO USED]])+  SUMIF(Sep_Period_2_Tbl[[#All],[STAFF:]],$A29,Sep_Period_2_Tbl[[#All],['# PTO USED]])+  SUMIF(Oct_Period_2_Tbl[[#All],[STAFF:]],$A29,Oct_Period_2_Tbl[[#All],['# PTO USED]])+     SUMIF(Nov_Period_2_Tbl[[#All],[STAFF:]],$A29,Nov_Period_2_Tbl[[#All],['# PTO USED]])+  SUMIF(Dec_Period_2_Tbl[[#All],[STAFF:]],$A29,Dec_Period_2_Tbl[[#All],['# PTO USED]]))</f>
        <v>0</v>
      </c>
      <c r="F29" s="189">
        <f>(SUMIF(Jan_Period_1_Tbl[[#All],[STAFF:]],$A29,Jan_Period_1_Tbl[[#All],['# HRS WORKED]])+
SUMIF(Feb_Period_1_Tbl[[#All],[STAFF:]],$A29,Feb_Period_1_Tbl[[#All],['# HRS WORKED]])+SUMIF(Mar_Period_1_Tbl[[#All],[STAFF:]],$A29,Mar_Period_1_Tbl[[#All],['# HRS WORKED]])+SUMIF(Apr_Period_1_Tbl[[#All],[STAFF:]],$A29,Apr_Period_1_Tbl[[#All],['# HRS WORKED]])+   SUMIF(May_Period_1_Tbl[[#All],[STAFF:]],$A29,May_Period_1_Tbl[[#All],['# HRS WORKED]])+   SUMIF(Jun_Period_1_Tbl[[#All],[STAFF:]],$A29,Jun_Period_1_Tbl[[#All],['# HRS WORKED]])+  SUMIF(Jul_Period_1_Tbl[[#All],[STAFF:]],$A29,Jul_Period_1_Tbl[[#All],['# HRS WORKED]])+  SUMIF(Aug_Period_1_Tbl[[#All],[STAFF:]],$A29,Aug_Period_1_Tbl[[#All],['# HRS WORKED]])+  SUMIF(Sep_Period_1_Tbl[[#All],[STAFF:]],$A29,Sep_Period_1_Tbl[[#All],['# HRS WORKED]])+  SUMIF(Oct_Period_1_Tbl[[#All],[STAFF:]],$A29,Oct_Period_1_Tbl[[#All],['# HRS WORKED]])+     SUMIF(Nov_Period_1_Tbl[[#All],[STAFF:]],$A29,Nov_Period_1_Tbl[[#All],['# HRS WORKED]])+  SUMIF(Dec_Period_1_Tbl[[#All],[STAFF:]],$A29,Dec_Period_1_Tbl[[#All],['# HRS WORKED]]))+   (SUMIF(Jan_Period_2_Tbl[[#All],[STAFF:]],$A29,Jan_Period_2_Tbl[[#All],['# HRS WORKED]])+
SUMIF(Feb_Period_2_Tbl[[#All],[STAFF:]],$A29,Feb_Period_2_Tbl[[#All],['# HRS WORKED]])+SUMIF(Mar_Period_2_Tbl[[#All],[STAFF:]],$A29,Mar_Period_2_Tbl[[#All],['# HRS WORKED]])+SUMIF(Apr_Period_2_Tbl[[#All],[STAFF:]],$A29,Apr_Period_2_Tbl[[#All],['# HRS WORKED]])+   SUMIF(May_Period_2_Tbl[[#All],[STAFF:]],$A29,May_Period_2_Tbl[[#All],['# HRS WORKED]])+   SUMIF(Jun_Period_2_Tbl[[#All],[STAFF:]],$A29,Jun_Period_2_Tbl[[#All],['# HRS WORKED]])+  SUMIF(Jul_Period_2_Tbl[[#All],[STAFF:]],$A29,Jul_Period_2_Tbl[[#All],['# HRS WORKED]])+  SUMIF(Aug_Period_2_Tbl[[#All],[STAFF:]],$A29,Aug_Period_2_Tbl[[#All],['# HRS WORKED]])+  SUMIF(Sep_Period_2_Tbl[[#All],[STAFF:]],$A29,Sep_Period_2_Tbl[[#All],['# HRS WORKED]])+  SUMIF(Oct_Period_2_Tbl[[#All],[STAFF:]],$A29,Oct_Period_2_Tbl[[#All],['# HRS WORKED]])+     SUMIF(Nov_Period_2_Tbl[[#All],[STAFF:]],$A29,Nov_Period_2_Tbl[[#All],['# HRS WORKED]])+  SUMIF(Dec_Period_2_Tbl[[#All],[STAFF:]],$A29,Dec_Period_2_Tbl[[#All],['# HRS WORKED]]))</f>
        <v>0</v>
      </c>
      <c r="G29" s="190">
        <f>(SUMIF(Jan_Period_1_Tbl[[#All],[STAFF:]],$A29,Jan_Period_1_Tbl[[#All],[$ Hourly WAGES]])+
SUMIF(Feb_Period_1_Tbl[[#All],[STAFF:]],$A29,Feb_Period_1_Tbl[[#All],[$ Hourly WAGES]])+SUMIF(Mar_Period_1_Tbl[[#All],[STAFF:]],$A29,Mar_Period_1_Tbl[[#All],[$ Hourly WAGES]])+SUMIF(Apr_Period_1_Tbl[[#All],[STAFF:]],$A29,Apr_Period_1_Tbl[[#All],[$ Hourly WAGES]])+   SUMIF(May_Period_1_Tbl[[#All],[STAFF:]],$A29,May_Period_1_Tbl[[#All],[$ Hourly WAGES]])+   SUMIF(Jun_Period_1_Tbl[[#All],[STAFF:]],$A29,Jun_Period_1_Tbl[[#All],[$ Hourly WAGES]])+  SUMIF(Jul_Period_1_Tbl[[#All],[STAFF:]],$A29,Jul_Period_1_Tbl[[#All],[$ Hourly WAGES]])+  SUMIF(Aug_Period_1_Tbl[[#All],[STAFF:]],$A29,Aug_Period_1_Tbl[[#All],[$ Hourly WAGES]])+  SUMIF(Sep_Period_1_Tbl[[#All],[STAFF:]],$A29,Sep_Period_1_Tbl[[#All],[$ Hourly WAGES]])+  SUMIF(Oct_Period_1_Tbl[[#All],[STAFF:]],$A29,Oct_Period_1_Tbl[[#All],[$ Hourly WAGES]])+     SUMIF(Nov_Period_1_Tbl[[#All],[STAFF:]],$A29,Nov_Period_1_Tbl[[#All],[$ Hourly WAGES]])+  SUMIF(Dec_Period_1_Tbl[[#All],[STAFF:]],$A29,Dec_Period_1_Tbl[[#All],[$ Hourly WAGES]]))+   (SUMIF(Jan_Period_2_Tbl[[#All],[STAFF:]],$A29,Jan_Period_2_Tbl[[#All],[$ Hourly WAGES]])+
SUMIF(Feb_Period_2_Tbl[[#All],[STAFF:]],$A29,Feb_Period_2_Tbl[[#All],[$ Hourly WAGES]])+SUMIF(Mar_Period_2_Tbl[[#All],[STAFF:]],$A29,Mar_Period_2_Tbl[[#All],[$ Hourly WAGES]])+SUMIF(Apr_Period_2_Tbl[[#All],[STAFF:]],$A29,Apr_Period_2_Tbl[[#All],[$ Hourly WAGES]])+   SUMIF(May_Period_2_Tbl[[#All],[STAFF:]],$A29,May_Period_2_Tbl[[#All],[$ Hourly WAGES]])+   SUMIF(Jun_Period_2_Tbl[[#All],[STAFF:]],$A29,Jun_Period_2_Tbl[[#All],[$ Hourly WAGES]])+  SUMIF(Jul_Period_2_Tbl[[#All],[STAFF:]],$A29,Jul_Period_2_Tbl[[#All],[$ Hourly WAGES]])+  SUMIF(Aug_Period_2_Tbl[[#All],[STAFF:]],$A29,Aug_Period_2_Tbl[[#All],[$ Hourly WAGES]])+  SUMIF(Sep_Period_2_Tbl[[#All],[STAFF:]],$A29,Sep_Period_2_Tbl[[#All],[$ Hourly WAGES]])+  SUMIF(Oct_Period_2_Tbl[[#All],[STAFF:]],$A29,Oct_Period_2_Tbl[[#All],[$ Hourly WAGES]])+     SUMIF(Nov_Period_2_Tbl[[#All],[STAFF:]],$A29,Nov_Period_2_Tbl[[#All],[$ Hourly WAGES]])+  SUMIF(Dec_Period_2_Tbl[[#All],[STAFF:]],$A29,Dec_Period_2_Tbl[[#All],[$ Hourly WAGES]]))</f>
        <v>0</v>
      </c>
      <c r="H29" s="190">
        <f>(SUMIF(Jan_Period_1_Tbl[[#All],[STAFF:]],$A29,Jan_Period_1_Tbl[[#All],[$ SALARY]])+
SUMIF(Feb_Period_1_Tbl[[#All],[STAFF:]],$A29,Feb_Period_1_Tbl[[#All],[$ SALARY]])+SUMIF(Mar_Period_1_Tbl[[#All],[STAFF:]],$A29,Mar_Period_1_Tbl[[#All],[$ SALARY]])+SUMIF(Apr_Period_1_Tbl[[#All],[STAFF:]],$A29,Apr_Period_1_Tbl[[#All],[$ SALARY]])+   SUMIF(May_Period_1_Tbl[[#All],[STAFF:]],$A29,May_Period_1_Tbl[[#All],[$ SALARY]])+   SUMIF(Jun_Period_1_Tbl[[#All],[STAFF:]],$A29,Jun_Period_1_Tbl[[#All],[$ SALARY]])+  SUMIF(Jul_Period_1_Tbl[[#All],[STAFF:]],$A29,Jul_Period_1_Tbl[[#All],[$ SALARY]])+  SUMIF(Aug_Period_1_Tbl[[#All],[STAFF:]],$A29,Aug_Period_1_Tbl[[#All],[$ SALARY]])+  SUMIF(Sep_Period_1_Tbl[[#All],[STAFF:]],$A29,Sep_Period_1_Tbl[[#All],[$ SALARY]])+  SUMIF(Oct_Period_1_Tbl[[#All],[STAFF:]],$A29,Oct_Period_1_Tbl[[#All],[$ SALARY]])+     SUMIF(Nov_Period_1_Tbl[[#All],[STAFF:]],$A29,Nov_Period_1_Tbl[[#All],[$ SALARY]])+  SUMIF(Dec_Period_1_Tbl[[#All],[STAFF:]],$A29,Dec_Period_1_Tbl[[#All],[$ SALARY]]))+   (SUMIF(Jan_Period_2_Tbl[[#All],[STAFF:]],$A29,Jan_Period_2_Tbl[[#All],[$ SALARY]])+
SUMIF(Feb_Period_2_Tbl[[#All],[STAFF:]],$A29,Feb_Period_2_Tbl[[#All],[$ SALARY]])+SUMIF(Mar_Period_2_Tbl[[#All],[STAFF:]],$A29,Mar_Period_2_Tbl[[#All],[$ SALARY]])+SUMIF(Apr_Period_2_Tbl[[#All],[STAFF:]],$A29,Apr_Period_2_Tbl[[#All],[$ SALARY]])+   SUMIF(May_Period_2_Tbl[[#All],[STAFF:]],$A29,May_Period_2_Tbl[[#All],[$ SALARY]])+   SUMIF(Jun_Period_2_Tbl[[#All],[STAFF:]],$A29,Jun_Period_2_Tbl[[#All],[$ SALARY]])+  SUMIF(Jul_Period_2_Tbl[[#All],[STAFF:]],$A29,Jul_Period_2_Tbl[[#All],[$ SALARY]])+  SUMIF(Aug_Period_2_Tbl[[#All],[STAFF:]],$A29,Aug_Period_2_Tbl[[#All],[$ SALARY]])+  SUMIF(Sep_Period_2_Tbl[[#All],[STAFF:]],$A29,Sep_Period_2_Tbl[[#All],[$ SALARY]])+  SUMIF(Oct_Period_2_Tbl[[#All],[STAFF:]],$A29,Oct_Period_2_Tbl[[#All],[$ SALARY]])+     SUMIF(Nov_Period_2_Tbl[[#All],[STAFF:]],$A29,Nov_Period_2_Tbl[[#All],[$ SALARY]])+  SUMIF(Dec_Period_2_Tbl[[#All],[STAFF:]],$A29,Dec_Period_2_Tbl[[#All],[$ SALARY]]))</f>
        <v>0</v>
      </c>
      <c r="I29" s="190">
        <f>(SUMIF(Jan_Period_1_Tbl[[#All],[STAFF:]],$A29,Jan_Period_1_Tbl[[#All],[$ SALARY PT]])+
SUMIF(Feb_Period_1_Tbl[[#All],[STAFF:]],$A29,Feb_Period_1_Tbl[[#All],[$ SALARY PT]])+SUMIF(Mar_Period_1_Tbl[[#All],[STAFF:]],$A29,Mar_Period_1_Tbl[[#All],[$ SALARY PT]])+SUMIF(Apr_Period_1_Tbl[[#All],[STAFF:]],$A29,Apr_Period_1_Tbl[[#All],[$ SALARY PT]])+   SUMIF(May_Period_1_Tbl[[#All],[STAFF:]],$A29,May_Period_1_Tbl[[#All],[$ SALARY PT]])+   SUMIF(Jun_Period_1_Tbl[[#All],[STAFF:]],$A29,Jun_Period_1_Tbl[[#All],[$ SALARY PT]])+  SUMIF(Jul_Period_1_Tbl[[#All],[STAFF:]],$A29,Jul_Period_1_Tbl[[#All],[$ SALARY PT]])+  SUMIF(Aug_Period_1_Tbl[[#All],[STAFF:]],$A29,Aug_Period_1_Tbl[[#All],[$ SALARY PT]])+  SUMIF(Sep_Period_1_Tbl[[#All],[STAFF:]],$A29,Sep_Period_1_Tbl[[#All],[$ SALARY PT]])+  SUMIF(Oct_Period_1_Tbl[[#All],[STAFF:]],$A29,Oct_Period_1_Tbl[[#All],[$ SALARY PT]])+     SUMIF(Nov_Period_1_Tbl[[#All],[STAFF:]],$A29,Nov_Period_1_Tbl[[#All],[$ SALARY PT]])+  SUMIF(Dec_Period_1_Tbl[[#All],[STAFF:]],$A29,Dec_Period_1_Tbl[[#All],[$ SALARY PT]]))+   (SUMIF(Jan_Period_2_Tbl[[#All],[STAFF:]],$A29,Jan_Period_2_Tbl[[#All],[$ SALARY PT]])+
SUMIF(Feb_Period_2_Tbl[[#All],[STAFF:]],$A29,Feb_Period_2_Tbl[[#All],[$ SALARY PT]])+SUMIF(Mar_Period_2_Tbl[[#All],[STAFF:]],$A29,Mar_Period_2_Tbl[[#All],[$ SALARY PT]])+SUMIF(Apr_Period_2_Tbl[[#All],[STAFF:]],$A29,Apr_Period_2_Tbl[[#All],[$ SALARY PT]])+   SUMIF(May_Period_2_Tbl[[#All],[STAFF:]],$A29,May_Period_2_Tbl[[#All],[$ SALARY PT]])+   SUMIF(Jun_Period_2_Tbl[[#All],[STAFF:]],$A29,Jun_Period_2_Tbl[[#All],[$ SALARY PT]])+  SUMIF(Jul_Period_2_Tbl[[#All],[STAFF:]],$A29,Jul_Period_2_Tbl[[#All],[$ SALARY PT]])+  SUMIF(Aug_Period_2_Tbl[[#All],[STAFF:]],$A29,Aug_Period_2_Tbl[[#All],[$ SALARY PT]])+  SUMIF(Sep_Period_2_Tbl[[#All],[STAFF:]],$A29,Sep_Period_2_Tbl[[#All],[$ SALARY PT]])+  SUMIF(Oct_Period_2_Tbl[[#All],[STAFF:]],$A29,Oct_Period_2_Tbl[[#All],[$ SALARY PT]])+     SUMIF(Nov_Period_2_Tbl[[#All],[STAFF:]],$A29,Nov_Period_2_Tbl[[#All],[$ SALARY PT]])+  SUMIF(Dec_Period_2_Tbl[[#All],[STAFF:]],$A29,Dec_Period_2_Tbl[[#All],[$ SALARY PT]]))</f>
        <v>0</v>
      </c>
      <c r="J29" s="190">
        <f>(SUMIF(Jan_Period_1_Tbl[[#All],[STAFF:]],$A29,Jan_Period_1_Tbl[[#All],[$ FREE PT]])+
SUMIF(Feb_Period_1_Tbl[[#All],[STAFF:]],$A29,Feb_Period_1_Tbl[[#All],[$ FREE PT]])+SUMIF(Mar_Period_1_Tbl[[#All],[STAFF:]],$A29,Mar_Period_1_Tbl[[#All],[$ FREE PT]])+SUMIF(Apr_Period_1_Tbl[[#All],[STAFF:]],$A29,Apr_Period_1_Tbl[[#All],[$ FREE PT]])+   SUMIF(May_Period_1_Tbl[[#All],[STAFF:]],$A29,May_Period_1_Tbl[[#All],[$ FREE PT]])+   SUMIF(Jun_Period_1_Tbl[[#All],[STAFF:]],$A29,Jun_Period_1_Tbl[[#All],[$ FREE PT]])+  SUMIF(Jul_Period_1_Tbl[[#All],[STAFF:]],$A29,Jul_Period_1_Tbl[[#All],[$ FREE PT]])+  SUMIF(Aug_Period_1_Tbl[[#All],[STAFF:]],$A29,Aug_Period_1_Tbl[[#All],[$ FREE PT]])+  SUMIF(Sep_Period_1_Tbl[[#All],[STAFF:]],$A29,Sep_Period_1_Tbl[[#All],[$ FREE PT]])+  SUMIF(Oct_Period_1_Tbl[[#All],[STAFF:]],$A29,Oct_Period_1_Tbl[[#All],[$ FREE PT]])+     SUMIF(Nov_Period_1_Tbl[[#All],[STAFF:]],$A29,Nov_Period_1_Tbl[[#All],[$ FREE PT]])+  SUMIF(Dec_Period_1_Tbl[[#All],[STAFF:]],$A29,Dec_Period_1_Tbl[[#All],[$ FREE PT]]))+   (SUMIF(Jan_Period_2_Tbl[[#All],[STAFF:]],$A29,Jan_Period_2_Tbl[[#All],[$ FREE PT]])+
SUMIF(Feb_Period_2_Tbl[[#All],[STAFF:]],$A29,Feb_Period_2_Tbl[[#All],[$ FREE PT]])+SUMIF(Mar_Period_2_Tbl[[#All],[STAFF:]],$A29,Mar_Period_2_Tbl[[#All],[$ FREE PT]])+SUMIF(Apr_Period_2_Tbl[[#All],[STAFF:]],$A29,Apr_Period_2_Tbl[[#All],[$ FREE PT]])+   SUMIF(May_Period_2_Tbl[[#All],[STAFF:]],$A29,May_Period_2_Tbl[[#All],[$ FREE PT]])+   SUMIF(Jun_Period_2_Tbl[[#All],[STAFF:]],$A29,Jun_Period_2_Tbl[[#All],[$ FREE PT]])+  SUMIF(Jul_Period_2_Tbl[[#All],[STAFF:]],$A29,Jul_Period_2_Tbl[[#All],[$ FREE PT]])+  SUMIF(Aug_Period_2_Tbl[[#All],[STAFF:]],$A29,Aug_Period_2_Tbl[[#All],[$ FREE PT]])+  SUMIF(Sep_Period_2_Tbl[[#All],[STAFF:]],$A29,Sep_Period_2_Tbl[[#All],[$ FREE PT]])+  SUMIF(Oct_Period_2_Tbl[[#All],[STAFF:]],$A29,Oct_Period_2_Tbl[[#All],[$ FREE PT]])+     SUMIF(Nov_Period_2_Tbl[[#All],[STAFF:]],$A29,Nov_Period_2_Tbl[[#All],[$ FREE PT]])+  SUMIF(Dec_Period_2_Tbl[[#All],[STAFF:]],$A29,Dec_Period_2_Tbl[[#All],[$ FREE PT]]))</f>
        <v>0</v>
      </c>
      <c r="K29" s="190">
        <f>(SUMIF(Jan_Period_1_Tbl[[#All],[STAFF:]],$A29,Jan_Period_1_Tbl[[#All],[$ PAID PT]])+
SUMIF(Feb_Period_1_Tbl[[#All],[STAFF:]],$A29,Feb_Period_1_Tbl[[#All],[$ PAID PT]])+SUMIF(Mar_Period_1_Tbl[[#All],[STAFF:]],$A29,Mar_Period_1_Tbl[[#All],[$ PAID PT]])+SUMIF(Apr_Period_1_Tbl[[#All],[STAFF:]],$A29,Apr_Period_1_Tbl[[#All],[$ PAID PT]])+   SUMIF(May_Period_1_Tbl[[#All],[STAFF:]],$A29,May_Period_1_Tbl[[#All],[$ PAID PT]])+   SUMIF(Jun_Period_1_Tbl[[#All],[STAFF:]],$A29,Jun_Period_1_Tbl[[#All],[$ PAID PT]])+  SUMIF(Jul_Period_1_Tbl[[#All],[STAFF:]],$A29,Jul_Period_1_Tbl[[#All],[$ PAID PT]])+  SUMIF(Aug_Period_1_Tbl[[#All],[STAFF:]],$A29,Aug_Period_1_Tbl[[#All],[$ PAID PT]])+  SUMIF(Sep_Period_1_Tbl[[#All],[STAFF:]],$A29,Sep_Period_1_Tbl[[#All],[$ PAID PT]])+  SUMIF(Oct_Period_1_Tbl[[#All],[STAFF:]],$A29,Oct_Period_1_Tbl[[#All],[$ PAID PT]])+     SUMIF(Nov_Period_1_Tbl[[#All],[STAFF:]],$A29,Nov_Period_1_Tbl[[#All],[$ PAID PT]])+  SUMIF(Dec_Period_1_Tbl[[#All],[STAFF:]],$A29,Dec_Period_1_Tbl[[#All],[$ PAID PT]]))+   (SUMIF(Jan_Period_2_Tbl[[#All],[STAFF:]],$A29,Jan_Period_2_Tbl[[#All],[$ PAID PT]])+
SUMIF(Feb_Period_2_Tbl[[#All],[STAFF:]],$A29,Feb_Period_2_Tbl[[#All],[$ PAID PT]])+SUMIF(Mar_Period_2_Tbl[[#All],[STAFF:]],$A29,Mar_Period_2_Tbl[[#All],[$ PAID PT]])+SUMIF(Apr_Period_2_Tbl[[#All],[STAFF:]],$A29,Apr_Period_2_Tbl[[#All],[$ PAID PT]])+   SUMIF(May_Period_2_Tbl[[#All],[STAFF:]],$A29,May_Period_2_Tbl[[#All],[$ PAID PT]])+   SUMIF(Jun_Period_2_Tbl[[#All],[STAFF:]],$A29,Jun_Period_2_Tbl[[#All],[$ PAID PT]])+  SUMIF(Jul_Period_2_Tbl[[#All],[STAFF:]],$A29,Jul_Period_2_Tbl[[#All],[$ PAID PT]])+  SUMIF(Aug_Period_2_Tbl[[#All],[STAFF:]],$A29,Aug_Period_2_Tbl[[#All],[$ PAID PT]])+  SUMIF(Sep_Period_2_Tbl[[#All],[STAFF:]],$A29,Sep_Period_2_Tbl[[#All],[$ PAID PT]])+  SUMIF(Oct_Period_2_Tbl[[#All],[STAFF:]],$A29,Oct_Period_2_Tbl[[#All],[$ PAID PT]])+     SUMIF(Nov_Period_2_Tbl[[#All],[STAFF:]],$A29,Nov_Period_2_Tbl[[#All],[$ PAID PT]])+  SUMIF(Dec_Period_2_Tbl[[#All],[STAFF:]],$A29,Dec_Period_2_Tbl[[#All],[$ PAID PT]]))</f>
        <v>0</v>
      </c>
      <c r="L29" s="190">
        <f>(SUMIF(Jan_Period_1_Tbl[[#All],[STAFF:]],$A29,Jan_Period_1_Tbl[[#All],[$ PT COMM]])+
SUMIF(Feb_Period_1_Tbl[[#All],[STAFF:]],$A29,Feb_Period_1_Tbl[[#All],[$ PT COMM]])+SUMIF(Mar_Period_1_Tbl[[#All],[STAFF:]],$A29,Mar_Period_1_Tbl[[#All],[$ PT COMM]])+SUMIF(Apr_Period_1_Tbl[[#All],[STAFF:]],$A29,Apr_Period_1_Tbl[[#All],[$ PT COMM]])+   SUMIF(May_Period_1_Tbl[[#All],[STAFF:]],$A29,May_Period_1_Tbl[[#All],[$ PT COMM]])+   SUMIF(Jun_Period_1_Tbl[[#All],[STAFF:]],$A29,Jun_Period_1_Tbl[[#All],[$ PT COMM]])+  SUMIF(Jul_Period_1_Tbl[[#All],[STAFF:]],$A29,Jul_Period_1_Tbl[[#All],[$ PT COMM]])+  SUMIF(Aug_Period_1_Tbl[[#All],[STAFF:]],$A29,Aug_Period_1_Tbl[[#All],[$ PT COMM]])+  SUMIF(Sep_Period_1_Tbl[[#All],[STAFF:]],$A29,Sep_Period_1_Tbl[[#All],[$ PT COMM]])+  SUMIF(Oct_Period_1_Tbl[[#All],[STAFF:]],$A29,Oct_Period_1_Tbl[[#All],[$ PT COMM]])+     SUMIF(Nov_Period_1_Tbl[[#All],[STAFF:]],$A29,Nov_Period_1_Tbl[[#All],[$ PT COMM]])+  SUMIF(Dec_Period_1_Tbl[[#All],[STAFF:]],$A29,Dec_Period_1_Tbl[[#All],[$ PT COMM]]))+   (SUMIF(Jan_Period_2_Tbl[[#All],[STAFF:]],$A29,Jan_Period_2_Tbl[[#All],[$ PT COMM]])+
SUMIF(Feb_Period_2_Tbl[[#All],[STAFF:]],$A29,Feb_Period_2_Tbl[[#All],[$ PT COMM]])+SUMIF(Mar_Period_2_Tbl[[#All],[STAFF:]],$A29,Mar_Period_2_Tbl[[#All],[$ PT COMM]])+SUMIF(Apr_Period_2_Tbl[[#All],[STAFF:]],$A29,Apr_Period_2_Tbl[[#All],[$ PT COMM]])+   SUMIF(May_Period_2_Tbl[[#All],[STAFF:]],$A29,May_Period_2_Tbl[[#All],[$ PT COMM]])+   SUMIF(Jun_Period_2_Tbl[[#All],[STAFF:]],$A29,Jun_Period_2_Tbl[[#All],[$ PT COMM]])+  SUMIF(Jul_Period_2_Tbl[[#All],[STAFF:]],$A29,Jul_Period_2_Tbl[[#All],[$ PT COMM]])+  SUMIF(Aug_Period_2_Tbl[[#All],[STAFF:]],$A29,Aug_Period_2_Tbl[[#All],[$ PT COMM]])+  SUMIF(Sep_Period_2_Tbl[[#All],[STAFF:]],$A29,Sep_Period_2_Tbl[[#All],[$ PT COMM]])+  SUMIF(Oct_Period_2_Tbl[[#All],[STAFF:]],$A29,Oct_Period_2_Tbl[[#All],[$ PT COMM]])+     SUMIF(Nov_Period_2_Tbl[[#All],[STAFF:]],$A29,Nov_Period_2_Tbl[[#All],[$ PT COMM]])+  SUMIF(Dec_Period_2_Tbl[[#All],[STAFF:]],$A29,Dec_Period_2_Tbl[[#All],[$ PT COMM]]))</f>
        <v>0</v>
      </c>
      <c r="M29" s="190">
        <f>(SUMIF(Jan_Period_1_Tbl[[#All],[STAFF:]],$A29,Jan_Period_1_Tbl[[#All],[$ EFT COMM]])+
SUMIF(Feb_Period_1_Tbl[[#All],[STAFF:]],$A29,Feb_Period_1_Tbl[[#All],[$ EFT COMM]])+SUMIF(Mar_Period_1_Tbl[[#All],[STAFF:]],$A29,Mar_Period_1_Tbl[[#All],[$ EFT COMM]])+SUMIF(Apr_Period_1_Tbl[[#All],[STAFF:]],$A29,Apr_Period_1_Tbl[[#All],[$ EFT COMM]])+   SUMIF(May_Period_1_Tbl[[#All],[STAFF:]],$A29,May_Period_1_Tbl[[#All],[$ EFT COMM]])+   SUMIF(Jun_Period_1_Tbl[[#All],[STAFF:]],$A29,Jun_Period_1_Tbl[[#All],[$ EFT COMM]])+  SUMIF(Jul_Period_1_Tbl[[#All],[STAFF:]],$A29,Jul_Period_1_Tbl[[#All],[$ EFT COMM]])+  SUMIF(Aug_Period_1_Tbl[[#All],[STAFF:]],$A29,Aug_Period_1_Tbl[[#All],[$ EFT COMM]])+  SUMIF(Sep_Period_1_Tbl[[#All],[STAFF:]],$A29,Sep_Period_1_Tbl[[#All],[$ EFT COMM]])+  SUMIF(Oct_Period_1_Tbl[[#All],[STAFF:]],$A29,Oct_Period_1_Tbl[[#All],[$ EFT COMM]])+     SUMIF(Nov_Period_1_Tbl[[#All],[STAFF:]],$A29,Nov_Period_1_Tbl[[#All],[$ EFT COMM]])+  SUMIF(Dec_Period_1_Tbl[[#All],[STAFF:]],$A29,Dec_Period_1_Tbl[[#All],[$ EFT COMM]]))+   (SUMIF(Jan_Period_2_Tbl[[#All],[STAFF:]],$A29,Jan_Period_2_Tbl[[#All],[$ EFT COMM]])+
SUMIF(Feb_Period_2_Tbl[[#All],[STAFF:]],$A29,Feb_Period_2_Tbl[[#All],[$ EFT COMM]])+SUMIF(Mar_Period_2_Tbl[[#All],[STAFF:]],$A29,Mar_Period_2_Tbl[[#All],[$ EFT COMM]])+SUMIF(Apr_Period_2_Tbl[[#All],[STAFF:]],$A29,Apr_Period_2_Tbl[[#All],[$ EFT COMM]])+   SUMIF(May_Period_2_Tbl[[#All],[STAFF:]],$A29,May_Period_2_Tbl[[#All],[$ EFT COMM]])+   SUMIF(Jun_Period_2_Tbl[[#All],[STAFF:]],$A29,Jun_Period_2_Tbl[[#All],[$ EFT COMM]])+  SUMIF(Jul_Period_2_Tbl[[#All],[STAFF:]],$A29,Jul_Period_2_Tbl[[#All],[$ EFT COMM]])+  SUMIF(Aug_Period_2_Tbl[[#All],[STAFF:]],$A29,Aug_Period_2_Tbl[[#All],[$ EFT COMM]])+  SUMIF(Sep_Period_2_Tbl[[#All],[STAFF:]],$A29,Sep_Period_2_Tbl[[#All],[$ EFT COMM]])+  SUMIF(Oct_Period_2_Tbl[[#All],[STAFF:]],$A29,Oct_Period_2_Tbl[[#All],[$ EFT COMM]])+     SUMIF(Nov_Period_2_Tbl[[#All],[STAFF:]],$A29,Nov_Period_2_Tbl[[#All],[$ EFT COMM]])+  SUMIF(Dec_Period_2_Tbl[[#All],[STAFF:]],$A29,Dec_Period_2_Tbl[[#All],[$ EFT COMM]]))</f>
        <v>0</v>
      </c>
      <c r="N29" s="190">
        <f>(SUMIF(Jan_Period_1_Tbl[[#All],[STAFF:]],$A29,Jan_Period_1_Tbl[[#All],[$ CLASS PAY]])+
SUMIF(Feb_Period_1_Tbl[[#All],[STAFF:]],$A29,Feb_Period_1_Tbl[[#All],[$ CLASS PAY]])+SUMIF(Mar_Period_1_Tbl[[#All],[STAFF:]],$A29,Mar_Period_1_Tbl[[#All],[$ CLASS PAY]])+SUMIF(Apr_Period_1_Tbl[[#All],[STAFF:]],$A29,Apr_Period_1_Tbl[[#All],[$ CLASS PAY]])+   SUMIF(May_Period_1_Tbl[[#All],[STAFF:]],$A29,May_Period_1_Tbl[[#All],[$ CLASS PAY]])+   SUMIF(Jun_Period_1_Tbl[[#All],[STAFF:]],$A29,Jun_Period_1_Tbl[[#All],[$ CLASS PAY]])+  SUMIF(Jul_Period_1_Tbl[[#All],[STAFF:]],$A29,Jul_Period_1_Tbl[[#All],[$ CLASS PAY]])+  SUMIF(Aug_Period_1_Tbl[[#All],[STAFF:]],$A29,Aug_Period_1_Tbl[[#All],[$ CLASS PAY]])+  SUMIF(Sep_Period_1_Tbl[[#All],[STAFF:]],$A29,Sep_Period_1_Tbl[[#All],[$ CLASS PAY]])+  SUMIF(Oct_Period_1_Tbl[[#All],[STAFF:]],$A29,Oct_Period_1_Tbl[[#All],[$ CLASS PAY]])+     SUMIF(Nov_Period_1_Tbl[[#All],[STAFF:]],$A29,Nov_Period_1_Tbl[[#All],[$ CLASS PAY]])+  SUMIF(Dec_Period_1_Tbl[[#All],[STAFF:]],$A29,Dec_Period_1_Tbl[[#All],[$ CLASS PAY]]))+   (SUMIF(Jan_Period_2_Tbl[[#All],[STAFF:]],$A29,Jan_Period_2_Tbl[[#All],[$ CLASS PAY]])+
SUMIF(Feb_Period_2_Tbl[[#All],[STAFF:]],$A29,Feb_Period_2_Tbl[[#All],[$ CLASS PAY]])+SUMIF(Mar_Period_2_Tbl[[#All],[STAFF:]],$A29,Mar_Period_2_Tbl[[#All],[$ CLASS PAY]])+SUMIF(Apr_Period_2_Tbl[[#All],[STAFF:]],$A29,Apr_Period_2_Tbl[[#All],[$ CLASS PAY]])+   SUMIF(May_Period_2_Tbl[[#All],[STAFF:]],$A29,May_Period_2_Tbl[[#All],[$ CLASS PAY]])+   SUMIF(Jun_Period_2_Tbl[[#All],[STAFF:]],$A29,Jun_Period_2_Tbl[[#All],[$ CLASS PAY]])+  SUMIF(Jul_Period_2_Tbl[[#All],[STAFF:]],$A29,Jul_Period_2_Tbl[[#All],[$ CLASS PAY]])+  SUMIF(Aug_Period_2_Tbl[[#All],[STAFF:]],$A29,Aug_Period_2_Tbl[[#All],[$ CLASS PAY]])+  SUMIF(Sep_Period_2_Tbl[[#All],[STAFF:]],$A29,Sep_Period_2_Tbl[[#All],[$ CLASS PAY]])+  SUMIF(Oct_Period_2_Tbl[[#All],[STAFF:]],$A29,Oct_Period_2_Tbl[[#All],[$ CLASS PAY]])+     SUMIF(Nov_Period_2_Tbl[[#All],[STAFF:]],$A29,Nov_Period_2_Tbl[[#All],[$ CLASS PAY]])+  SUMIF(Dec_Period_2_Tbl[[#All],[STAFF:]],$A29,Dec_Period_2_Tbl[[#All],[$ CLASS PAY]]))</f>
        <v>0</v>
      </c>
      <c r="O29" s="191">
        <f>(SUMIF(Jan_Period_1_Tbl[[#All],[STAFF:]],$A29,Jan_Period_1_Tbl[[#All],[$ BONUS PAY]])+
SUMIF(Feb_Period_1_Tbl[[#All],[STAFF:]],$A29,Feb_Period_1_Tbl[[#All],[$ BONUS PAY]])+SUMIF(Mar_Period_1_Tbl[[#All],[STAFF:]],$A29,Mar_Period_1_Tbl[[#All],[$ BONUS PAY]])+SUMIF(Apr_Period_1_Tbl[[#All],[STAFF:]],$A29,Apr_Period_1_Tbl[[#All],[$ BONUS PAY]])+   SUMIF(May_Period_1_Tbl[[#All],[STAFF:]],$A29,May_Period_1_Tbl[[#All],[$ BONUS PAY]])+   SUMIF(Jun_Period_1_Tbl[[#All],[STAFF:]],$A29,Jun_Period_1_Tbl[[#All],[$ BONUS PAY]])+  SUMIF(Jul_Period_1_Tbl[[#All],[STAFF:]],$A29,Jul_Period_1_Tbl[[#All],[$ BONUS PAY]])+  SUMIF(Aug_Period_1_Tbl[[#All],[STAFF:]],$A29,Aug_Period_1_Tbl[[#All],[$ BONUS PAY]])+  SUMIF(Sep_Period_1_Tbl[[#All],[STAFF:]],$A29,Sep_Period_1_Tbl[[#All],[$ BONUS PAY]])+  SUMIF(Oct_Period_1_Tbl[[#All],[STAFF:]],$A29,Oct_Period_1_Tbl[[#All],[$ BONUS PAY]])+     SUMIF(Nov_Period_1_Tbl[[#All],[STAFF:]],$A29,Nov_Period_1_Tbl[[#All],[$ BONUS PAY]])+  SUMIF(Dec_Period_1_Tbl[[#All],[STAFF:]],$A29,Dec_Period_1_Tbl[[#All],[$ BONUS PAY]]))+   (SUMIF(Jan_Period_2_Tbl[[#All],[STAFF:]],$A29,Jan_Period_2_Tbl[[#All],[$ BONUS PAY]])+
SUMIF(Feb_Period_2_Tbl[[#All],[STAFF:]],$A29,Feb_Period_2_Tbl[[#All],[$ BONUS PAY]])+SUMIF(Mar_Period_2_Tbl[[#All],[STAFF:]],$A29,Mar_Period_2_Tbl[[#All],[$ BONUS PAY]])+SUMIF(Apr_Period_2_Tbl[[#All],[STAFF:]],$A29,Apr_Period_2_Tbl[[#All],[$ BONUS PAY]])+   SUMIF(May_Period_2_Tbl[[#All],[STAFF:]],$A29,May_Period_2_Tbl[[#All],[$ BONUS PAY]])+   SUMIF(Jun_Period_2_Tbl[[#All],[STAFF:]],$A29,Jun_Period_2_Tbl[[#All],[$ BONUS PAY]])+  SUMIF(Jul_Period_2_Tbl[[#All],[STAFF:]],$A29,Jul_Period_2_Tbl[[#All],[$ BONUS PAY]])+  SUMIF(Aug_Period_2_Tbl[[#All],[STAFF:]],$A29,Aug_Period_2_Tbl[[#All],[$ BONUS PAY]])+  SUMIF(Sep_Period_2_Tbl[[#All],[STAFF:]],$A29,Sep_Period_2_Tbl[[#All],[$ BONUS PAY]])+  SUMIF(Oct_Period_2_Tbl[[#All],[STAFF:]],$A29,Oct_Period_2_Tbl[[#All],[$ BONUS PAY]])+     SUMIF(Nov_Period_2_Tbl[[#All],[STAFF:]],$A29,Nov_Period_2_Tbl[[#All],[$ BONUS PAY]])+  SUMIF(Dec_Period_2_Tbl[[#All],[STAFF:]],$A29,Dec_Period_2_Tbl[[#All],[$ BONUS PAY]]))</f>
        <v>0</v>
      </c>
      <c r="P29" s="179">
        <f t="shared" si="0"/>
        <v>0</v>
      </c>
      <c r="Q29" s="149"/>
      <c r="R29" s="153">
        <f>(SUMIF(Jan_Period_1_Tbl[[#All],[STAFF:]],$A29,Jan_Period_1_Tbl[[#All],['# POINTS EARNED]])+
SUMIF(Feb_Period_1_Tbl[[#All],[STAFF:]],$A29,Feb_Period_1_Tbl[[#All],['# POINTS EARNED]])+SUMIF(Mar_Period_1_Tbl[[#All],[STAFF:]],$A29,Mar_Period_1_Tbl[[#All],['# POINTS EARNED]])+SUMIF(Apr_Period_1_Tbl[[#All],[STAFF:]],$A29,Apr_Period_1_Tbl[[#All],['# POINTS EARNED]])+   SUMIF(May_Period_1_Tbl[[#All],[STAFF:]],$A29,May_Period_1_Tbl[[#All],['# POINTS EARNED]])+   SUMIF(Jun_Period_1_Tbl[[#All],[STAFF:]],$A29,Jun_Period_1_Tbl[[#All],['# POINTS EARNED]])+  SUMIF(Jul_Period_1_Tbl[[#All],[STAFF:]],$A29,Jul_Period_1_Tbl[[#All],['# POINTS EARNED]])+  SUMIF(Aug_Period_1_Tbl[[#All],[STAFF:]],$A29,Aug_Period_1_Tbl[[#All],['# POINTS EARNED]])+  SUMIF(Sep_Period_1_Tbl[[#All],[STAFF:]],$A29,Sep_Period_1_Tbl[[#All],['# POINTS EARNED]])+  SUMIF(Oct_Period_1_Tbl[[#All],[STAFF:]],$A29,Oct_Period_1_Tbl[[#All],['# POINTS EARNED]])+     SUMIF(Nov_Period_1_Tbl[[#All],[STAFF:]],$A29,Nov_Period_1_Tbl[[#All],['# POINTS EARNED]])+  SUMIF(Dec_Period_1_Tbl[[#All],[STAFF:]],$A29,Dec_Period_1_Tbl[[#All],['# POINTS EARNED]]))+   (SUMIF(Jan_Period_2_Tbl[[#All],[STAFF:]],$A29,Jan_Period_2_Tbl[[#All],['# POINTS EARNED]])+
SUMIF(Feb_Period_2_Tbl[[#All],[STAFF:]],$A29,Feb_Period_2_Tbl[[#All],['# POINTS EARNED]])+SUMIF(Mar_Period_2_Tbl[[#All],[STAFF:]],$A29,Mar_Period_2_Tbl[[#All],['# POINTS EARNED]])+SUMIF(Apr_Period_2_Tbl[[#All],[STAFF:]],$A29,Apr_Period_2_Tbl[[#All],['# POINTS EARNED]])+   SUMIF(May_Period_2_Tbl[[#All],[STAFF:]],$A29,May_Period_2_Tbl[[#All],['# POINTS EARNED]])+   SUMIF(Jun_Period_2_Tbl[[#All],[STAFF:]],$A29,Jun_Period_2_Tbl[[#All],['# POINTS EARNED]])+  SUMIF(Jul_Period_2_Tbl[[#All],[STAFF:]],$A29,Jul_Period_2_Tbl[[#All],['# POINTS EARNED]])+  SUMIF(Aug_Period_2_Tbl[[#All],[STAFF:]],$A29,Aug_Period_2_Tbl[[#All],['# POINTS EARNED]])+  SUMIF(Sep_Period_2_Tbl[[#All],[STAFF:]],$A29,Sep_Period_2_Tbl[[#All],['# POINTS EARNED]])+  SUMIF(Oct_Period_2_Tbl[[#All],[STAFF:]],$A29,Oct_Period_2_Tbl[[#All],['# POINTS EARNED]])+     SUMIF(Nov_Period_2_Tbl[[#All],[STAFF:]],$A29,Nov_Period_2_Tbl[[#All],['# POINTS EARNED]])+  SUMIF(Dec_Period_2_Tbl[[#All],[STAFF:]],$A29,Dec_Period_2_Tbl[[#All],['# POINTS EARNED]]))</f>
        <v>0</v>
      </c>
      <c r="S29" s="153">
        <f>(SUMIF(Jan_Period_1_Tbl[[#All],[STAFF:]],$A29,Jan_Period_1_Tbl[[#All],['# POINTS USED]])+
SUMIF(Feb_Period_1_Tbl[[#All],[STAFF:]],$A29,Feb_Period_1_Tbl[[#All],['# POINTS USED]])+SUMIF(Mar_Period_1_Tbl[[#All],[STAFF:]],$A29,Mar_Period_1_Tbl[[#All],['# POINTS USED]])+SUMIF(Apr_Period_1_Tbl[[#All],[STAFF:]],$A29,Apr_Period_1_Tbl[[#All],['# POINTS USED]])+   SUMIF(May_Period_1_Tbl[[#All],[STAFF:]],$A29,May_Period_1_Tbl[[#All],['# POINTS USED]])+   SUMIF(Jun_Period_1_Tbl[[#All],[STAFF:]],$A29,Jun_Period_1_Tbl[[#All],['# POINTS USED]])+  SUMIF(Jul_Period_1_Tbl[[#All],[STAFF:]],$A29,Jul_Period_1_Tbl[[#All],['# POINTS USED]])+  SUMIF(Aug_Period_1_Tbl[[#All],[STAFF:]],$A29,Aug_Period_1_Tbl[[#All],['# POINTS USED]])+  SUMIF(Sep_Period_1_Tbl[[#All],[STAFF:]],$A29,Sep_Period_1_Tbl[[#All],['# POINTS USED]])+  SUMIF(Oct_Period_1_Tbl[[#All],[STAFF:]],$A29,Oct_Period_1_Tbl[[#All],['# POINTS USED]])+     SUMIF(Nov_Period_1_Tbl[[#All],[STAFF:]],$A29,Nov_Period_1_Tbl[[#All],['# POINTS USED]])+  SUMIF(Dec_Period_1_Tbl[[#All],[STAFF:]],$A29,Dec_Period_1_Tbl[[#All],['# POINTS USED]]))+   (SUMIF(Jan_Period_2_Tbl[[#All],[STAFF:]],$A29,Jan_Period_2_Tbl[[#All],['# POINTS USED]])+
SUMIF(Feb_Period_2_Tbl[[#All],[STAFF:]],$A29,Feb_Period_2_Tbl[[#All],['# POINTS USED]])+SUMIF(Mar_Period_2_Tbl[[#All],[STAFF:]],$A29,Mar_Period_2_Tbl[[#All],['# POINTS USED]])+SUMIF(Apr_Period_2_Tbl[[#All],[STAFF:]],$A29,Apr_Period_2_Tbl[[#All],['# POINTS USED]])+   SUMIF(May_Period_2_Tbl[[#All],[STAFF:]],$A29,May_Period_2_Tbl[[#All],['# POINTS USED]])+   SUMIF(Jun_Period_2_Tbl[[#All],[STAFF:]],$A29,Jun_Period_2_Tbl[[#All],['# POINTS USED]])+  SUMIF(Jul_Period_2_Tbl[[#All],[STAFF:]],$A29,Jul_Period_2_Tbl[[#All],['# POINTS USED]])+  SUMIF(Aug_Period_2_Tbl[[#All],[STAFF:]],$A29,Aug_Period_2_Tbl[[#All],['# POINTS USED]])+  SUMIF(Sep_Period_2_Tbl[[#All],[STAFF:]],$A29,Sep_Period_2_Tbl[[#All],['# POINTS USED]])+  SUMIF(Oct_Period_2_Tbl[[#All],[STAFF:]],$A29,Oct_Period_2_Tbl[[#All],['# POINTS USED]])+     SUMIF(Nov_Period_2_Tbl[[#All],[STAFF:]],$A29,Nov_Period_2_Tbl[[#All],['# POINTS USED]])+  SUMIF(Dec_Period_2_Tbl[[#All],[STAFF:]],$A29,Dec_Period_2_Tbl[[#All],['# POINTS USED]]))</f>
        <v>0</v>
      </c>
      <c r="T29" s="153">
        <f>(SUMIF(Jan_Period_1_Tbl[[#All],[STAFF:]],$A29,Jan_Period_1_Tbl[[#All],['# CLASSES LEAD]])+
SUMIF(Feb_Period_1_Tbl[[#All],[STAFF:]],$A29,Feb_Period_1_Tbl[[#All],['# CLASSES LEAD]])+SUMIF(Mar_Period_1_Tbl[[#All],[STAFF:]],$A29,Mar_Period_1_Tbl[[#All],['# CLASSES LEAD]])+SUMIF(Apr_Period_1_Tbl[[#All],[STAFF:]],$A29,Apr_Period_1_Tbl[[#All],['# CLASSES LEAD]])+   SUMIF(May_Period_1_Tbl[[#All],[STAFF:]],$A29,May_Period_1_Tbl[[#All],['# CLASSES LEAD]])+   SUMIF(Jun_Period_1_Tbl[[#All],[STAFF:]],$A29,Jun_Period_1_Tbl[[#All],['# CLASSES LEAD]])+  SUMIF(Jul_Period_1_Tbl[[#All],[STAFF:]],$A29,Jul_Period_1_Tbl[[#All],['# CLASSES LEAD]])+  SUMIF(Aug_Period_1_Tbl[[#All],[STAFF:]],$A29,Aug_Period_1_Tbl[[#All],['# CLASSES LEAD]])+  SUMIF(Sep_Period_1_Tbl[[#All],[STAFF:]],$A29,Sep_Period_1_Tbl[[#All],['# CLASSES LEAD]])+  SUMIF(Oct_Period_1_Tbl[[#All],[STAFF:]],$A29,Oct_Period_1_Tbl[[#All],['# CLASSES LEAD]])+     SUMIF(Nov_Period_1_Tbl[[#All],[STAFF:]],$A29,Nov_Period_1_Tbl[[#All],['# CLASSES LEAD]])+  SUMIF(Dec_Period_1_Tbl[[#All],[STAFF:]],$A29,Dec_Period_1_Tbl[[#All],['# CLASSES LEAD]]))+   (SUMIF(Jan_Period_2_Tbl[[#All],[STAFF:]],$A29,Jan_Period_2_Tbl[[#All],['# CLASSES LEAD]])+
SUMIF(Feb_Period_2_Tbl[[#All],[STAFF:]],$A29,Feb_Period_2_Tbl[[#All],['# CLASSES LEAD]])+SUMIF(Mar_Period_2_Tbl[[#All],[STAFF:]],$A29,Mar_Period_2_Tbl[[#All],['# CLASSES LEAD]])+SUMIF(Apr_Period_2_Tbl[[#All],[STAFF:]],$A29,Apr_Period_2_Tbl[[#All],['# CLASSES LEAD]])+   SUMIF(May_Period_2_Tbl[[#All],[STAFF:]],$A29,May_Period_2_Tbl[[#All],['# CLASSES LEAD]])+   SUMIF(Jun_Period_2_Tbl[[#All],[STAFF:]],$A29,Jun_Period_2_Tbl[[#All],['# CLASSES LEAD]])+  SUMIF(Jul_Period_2_Tbl[[#All],[STAFF:]],$A29,Jul_Period_2_Tbl[[#All],['# CLASSES LEAD]])+  SUMIF(Aug_Period_2_Tbl[[#All],[STAFF:]],$A29,Aug_Period_2_Tbl[[#All],['# CLASSES LEAD]])+  SUMIF(Sep_Period_2_Tbl[[#All],[STAFF:]],$A29,Sep_Period_2_Tbl[[#All],['# CLASSES LEAD]])+  SUMIF(Oct_Period_2_Tbl[[#All],[STAFF:]],$A29,Oct_Period_2_Tbl[[#All],['# CLASSES LEAD]])+     SUMIF(Nov_Period_2_Tbl[[#All],[STAFF:]],$A29,Nov_Period_2_Tbl[[#All],['# CLASSES LEAD]])+  SUMIF(Dec_Period_2_Tbl[[#All],[STAFF:]],$A29,Dec_Period_2_Tbl[[#All],['# CLASSES LEAD]]))</f>
        <v>0</v>
      </c>
      <c r="U29" s="153">
        <f>(SUMIF(Jan_Period_1_Tbl[[#All],[STAFF:]],$A29,Jan_Period_1_Tbl[[#All],['# CLASSES SHOW]])+
SUMIF(Feb_Period_1_Tbl[[#All],[STAFF:]],$A29,Feb_Period_1_Tbl[[#All],['# CLASSES SHOW]])+SUMIF(Mar_Period_1_Tbl[[#All],[STAFF:]],$A29,Mar_Period_1_Tbl[[#All],['# CLASSES SHOW]])+SUMIF(Apr_Period_1_Tbl[[#All],[STAFF:]],$A29,Apr_Period_1_Tbl[[#All],['# CLASSES SHOW]])+   SUMIF(May_Period_1_Tbl[[#All],[STAFF:]],$A29,May_Period_1_Tbl[[#All],['# CLASSES SHOW]])+   SUMIF(Jun_Period_1_Tbl[[#All],[STAFF:]],$A29,Jun_Period_1_Tbl[[#All],['# CLASSES SHOW]])+  SUMIF(Jul_Period_1_Tbl[[#All],[STAFF:]],$A29,Jul_Period_1_Tbl[[#All],['# CLASSES SHOW]])+  SUMIF(Aug_Period_1_Tbl[[#All],[STAFF:]],$A29,Aug_Period_1_Tbl[[#All],['# CLASSES SHOW]])+  SUMIF(Sep_Period_1_Tbl[[#All],[STAFF:]],$A29,Sep_Period_1_Tbl[[#All],['# CLASSES SHOW]])+  SUMIF(Oct_Period_1_Tbl[[#All],[STAFF:]],$A29,Oct_Period_1_Tbl[[#All],['# CLASSES SHOW]])+     SUMIF(Nov_Period_1_Tbl[[#All],[STAFF:]],$A29,Nov_Period_1_Tbl[[#All],['# CLASSES SHOW]])+  SUMIF(Dec_Period_1_Tbl[[#All],[STAFF:]],$A29,Dec_Period_1_Tbl[[#All],['# CLASSES SHOW]]))+   (SUMIF(Jan_Period_2_Tbl[[#All],[STAFF:]],$A29,Jan_Period_2_Tbl[[#All],['# CLASSES SHOW]])+
SUMIF(Feb_Period_2_Tbl[[#All],[STAFF:]],$A29,Feb_Period_2_Tbl[[#All],['# CLASSES SHOW]])+SUMIF(Mar_Period_2_Tbl[[#All],[STAFF:]],$A29,Mar_Period_2_Tbl[[#All],['# CLASSES SHOW]])+SUMIF(Apr_Period_2_Tbl[[#All],[STAFF:]],$A29,Apr_Period_2_Tbl[[#All],['# CLASSES SHOW]])+   SUMIF(May_Period_2_Tbl[[#All],[STAFF:]],$A29,May_Period_2_Tbl[[#All],['# CLASSES SHOW]])+   SUMIF(Jun_Period_2_Tbl[[#All],[STAFF:]],$A29,Jun_Period_2_Tbl[[#All],['# CLASSES SHOW]])+  SUMIF(Jul_Period_2_Tbl[[#All],[STAFF:]],$A29,Jul_Period_2_Tbl[[#All],['# CLASSES SHOW]])+  SUMIF(Aug_Period_2_Tbl[[#All],[STAFF:]],$A29,Aug_Period_2_Tbl[[#All],['# CLASSES SHOW]])+  SUMIF(Sep_Period_2_Tbl[[#All],[STAFF:]],$A29,Sep_Period_2_Tbl[[#All],['# CLASSES SHOW]])+  SUMIF(Oct_Period_2_Tbl[[#All],[STAFF:]],$A29,Oct_Period_2_Tbl[[#All],['# CLASSES SHOW]])+     SUMIF(Nov_Period_2_Tbl[[#All],[STAFF:]],$A29,Nov_Period_2_Tbl[[#All],['# CLASSES SHOW]])+  SUMIF(Dec_Period_2_Tbl[[#All],[STAFF:]],$A29,Dec_Period_2_Tbl[[#All],['# CLASSES SHOW]]))</f>
        <v>0</v>
      </c>
      <c r="V29" s="156"/>
      <c r="W29" s="156"/>
      <c r="X29" s="155">
        <f t="shared" si="1"/>
        <v>0</v>
      </c>
      <c r="Y29" s="155">
        <f t="shared" si="2"/>
        <v>0</v>
      </c>
      <c r="Z29" s="155">
        <f t="shared" si="3"/>
        <v>0</v>
      </c>
      <c r="AA29" s="155">
        <f t="shared" si="4"/>
        <v>0</v>
      </c>
      <c r="AB29" s="155">
        <f t="shared" si="5"/>
        <v>0</v>
      </c>
      <c r="AC29" s="155">
        <f t="shared" si="6"/>
        <v>0</v>
      </c>
      <c r="AD29" s="155">
        <f t="shared" si="7"/>
        <v>0</v>
      </c>
      <c r="AE29" s="149"/>
      <c r="AF29" s="149"/>
      <c r="AG29" s="149"/>
      <c r="AH29" s="149"/>
      <c r="AJ29" s="75" t="str">
        <f t="shared" si="8"/>
        <v>zBlank</v>
      </c>
      <c r="AK29" s="210"/>
      <c r="AL29" s="168">
        <f>IFERROR(VLOOKUP(B29,List!$A:$B,2,FALSE),-1)</f>
        <v>-1</v>
      </c>
      <c r="AM29" s="168">
        <f>IFERROR(VLOOKUP(C29,List!$A:$B,2,FALSE),-1)</f>
        <v>-1</v>
      </c>
    </row>
    <row r="30" spans="1:39" ht="15" hidden="1" customHeight="1" x14ac:dyDescent="0.25">
      <c r="A30" s="20"/>
      <c r="B30" s="186"/>
      <c r="C30" s="186"/>
      <c r="D30" s="187"/>
      <c r="E30" s="188">
        <f>(SUMIF(Jan_Period_1_Tbl[[#All],[STAFF:]],$A30,Jan_Period_1_Tbl[[#All],['# PTO USED]])+
SUMIF(Feb_Period_1_Tbl[[#All],[STAFF:]],$A30,Feb_Period_1_Tbl[[#All],['# PTO USED]])+SUMIF(Mar_Period_1_Tbl[[#All],[STAFF:]],$A30,Mar_Period_1_Tbl[[#All],['# PTO USED]])+SUMIF(Apr_Period_1_Tbl[[#All],[STAFF:]],$A30,Apr_Period_1_Tbl[[#All],['# PTO USED]])+   SUMIF(May_Period_1_Tbl[[#All],[STAFF:]],$A30,May_Period_1_Tbl[[#All],['# PTO USED]])+   SUMIF(Jun_Period_1_Tbl[[#All],[STAFF:]],$A30,Jun_Period_1_Tbl[[#All],['# PTO USED]])+  SUMIF(Jul_Period_1_Tbl[[#All],[STAFF:]],$A30,Jul_Period_1_Tbl[[#All],['# PTO USED]])+  SUMIF(Aug_Period_1_Tbl[[#All],[STAFF:]],$A30,Aug_Period_1_Tbl[[#All],['# PTO USED]])+  SUMIF(Sep_Period_1_Tbl[[#All],[STAFF:]],$A30,Sep_Period_1_Tbl[[#All],['# PTO USED]])+  SUMIF(Oct_Period_1_Tbl[[#All],[STAFF:]],$A30,Oct_Period_1_Tbl[[#All],['# PTO USED]])+     SUMIF(Nov_Period_1_Tbl[[#All],[STAFF:]],$A30,Nov_Period_1_Tbl[[#All],['# PTO USED]])+  SUMIF(Dec_Period_1_Tbl[[#All],[STAFF:]],$A30,Dec_Period_1_Tbl[[#All],['# PTO USED]]))+   (SUMIF(Jan_Period_2_Tbl[[#All],[STAFF:]],$A30,Jan_Period_2_Tbl[[#All],['# PTO USED]])+
SUMIF(Feb_Period_2_Tbl[[#All],[STAFF:]],$A30,Feb_Period_2_Tbl[[#All],['# PTO USED]])+SUMIF(Mar_Period_2_Tbl[[#All],[STAFF:]],$A30,Mar_Period_2_Tbl[[#All],['# PTO USED]])+SUMIF(Apr_Period_2_Tbl[[#All],[STAFF:]],$A30,Apr_Period_2_Tbl[[#All],['# PTO USED]])+   SUMIF(May_Period_2_Tbl[[#All],[STAFF:]],$A30,May_Period_2_Tbl[[#All],['# PTO USED]])+   SUMIF(Jun_Period_2_Tbl[[#All],[STAFF:]],$A30,Jun_Period_2_Tbl[[#All],['# PTO USED]])+  SUMIF(Jul_Period_2_Tbl[[#All],[STAFF:]],$A30,Jul_Period_2_Tbl[[#All],['# PTO USED]])+  SUMIF(Aug_Period_2_Tbl[[#All],[STAFF:]],$A30,Aug_Period_2_Tbl[[#All],['# PTO USED]])+  SUMIF(Sep_Period_2_Tbl[[#All],[STAFF:]],$A30,Sep_Period_2_Tbl[[#All],['# PTO USED]])+  SUMIF(Oct_Period_2_Tbl[[#All],[STAFF:]],$A30,Oct_Period_2_Tbl[[#All],['# PTO USED]])+     SUMIF(Nov_Period_2_Tbl[[#All],[STAFF:]],$A30,Nov_Period_2_Tbl[[#All],['# PTO USED]])+  SUMIF(Dec_Period_2_Tbl[[#All],[STAFF:]],$A30,Dec_Period_2_Tbl[[#All],['# PTO USED]]))</f>
        <v>0</v>
      </c>
      <c r="F30" s="189">
        <f>(SUMIF(Jan_Period_1_Tbl[[#All],[STAFF:]],$A30,Jan_Period_1_Tbl[[#All],['# HRS WORKED]])+
SUMIF(Feb_Period_1_Tbl[[#All],[STAFF:]],$A30,Feb_Period_1_Tbl[[#All],['# HRS WORKED]])+SUMIF(Mar_Period_1_Tbl[[#All],[STAFF:]],$A30,Mar_Period_1_Tbl[[#All],['# HRS WORKED]])+SUMIF(Apr_Period_1_Tbl[[#All],[STAFF:]],$A30,Apr_Period_1_Tbl[[#All],['# HRS WORKED]])+   SUMIF(May_Period_1_Tbl[[#All],[STAFF:]],$A30,May_Period_1_Tbl[[#All],['# HRS WORKED]])+   SUMIF(Jun_Period_1_Tbl[[#All],[STAFF:]],$A30,Jun_Period_1_Tbl[[#All],['# HRS WORKED]])+  SUMIF(Jul_Period_1_Tbl[[#All],[STAFF:]],$A30,Jul_Period_1_Tbl[[#All],['# HRS WORKED]])+  SUMIF(Aug_Period_1_Tbl[[#All],[STAFF:]],$A30,Aug_Period_1_Tbl[[#All],['# HRS WORKED]])+  SUMIF(Sep_Period_1_Tbl[[#All],[STAFF:]],$A30,Sep_Period_1_Tbl[[#All],['# HRS WORKED]])+  SUMIF(Oct_Period_1_Tbl[[#All],[STAFF:]],$A30,Oct_Period_1_Tbl[[#All],['# HRS WORKED]])+     SUMIF(Nov_Period_1_Tbl[[#All],[STAFF:]],$A30,Nov_Period_1_Tbl[[#All],['# HRS WORKED]])+  SUMIF(Dec_Period_1_Tbl[[#All],[STAFF:]],$A30,Dec_Period_1_Tbl[[#All],['# HRS WORKED]]))+   (SUMIF(Jan_Period_2_Tbl[[#All],[STAFF:]],$A30,Jan_Period_2_Tbl[[#All],['# HRS WORKED]])+
SUMIF(Feb_Period_2_Tbl[[#All],[STAFF:]],$A30,Feb_Period_2_Tbl[[#All],['# HRS WORKED]])+SUMIF(Mar_Period_2_Tbl[[#All],[STAFF:]],$A30,Mar_Period_2_Tbl[[#All],['# HRS WORKED]])+SUMIF(Apr_Period_2_Tbl[[#All],[STAFF:]],$A30,Apr_Period_2_Tbl[[#All],['# HRS WORKED]])+   SUMIF(May_Period_2_Tbl[[#All],[STAFF:]],$A30,May_Period_2_Tbl[[#All],['# HRS WORKED]])+   SUMIF(Jun_Period_2_Tbl[[#All],[STAFF:]],$A30,Jun_Period_2_Tbl[[#All],['# HRS WORKED]])+  SUMIF(Jul_Period_2_Tbl[[#All],[STAFF:]],$A30,Jul_Period_2_Tbl[[#All],['# HRS WORKED]])+  SUMIF(Aug_Period_2_Tbl[[#All],[STAFF:]],$A30,Aug_Period_2_Tbl[[#All],['# HRS WORKED]])+  SUMIF(Sep_Period_2_Tbl[[#All],[STAFF:]],$A30,Sep_Period_2_Tbl[[#All],['# HRS WORKED]])+  SUMIF(Oct_Period_2_Tbl[[#All],[STAFF:]],$A30,Oct_Period_2_Tbl[[#All],['# HRS WORKED]])+     SUMIF(Nov_Period_2_Tbl[[#All],[STAFF:]],$A30,Nov_Period_2_Tbl[[#All],['# HRS WORKED]])+  SUMIF(Dec_Period_2_Tbl[[#All],[STAFF:]],$A30,Dec_Period_2_Tbl[[#All],['# HRS WORKED]]))</f>
        <v>0</v>
      </c>
      <c r="G30" s="190">
        <f>(SUMIF(Jan_Period_1_Tbl[[#All],[STAFF:]],$A30,Jan_Period_1_Tbl[[#All],[$ Hourly WAGES]])+
SUMIF(Feb_Period_1_Tbl[[#All],[STAFF:]],$A30,Feb_Period_1_Tbl[[#All],[$ Hourly WAGES]])+SUMIF(Mar_Period_1_Tbl[[#All],[STAFF:]],$A30,Mar_Period_1_Tbl[[#All],[$ Hourly WAGES]])+SUMIF(Apr_Period_1_Tbl[[#All],[STAFF:]],$A30,Apr_Period_1_Tbl[[#All],[$ Hourly WAGES]])+   SUMIF(May_Period_1_Tbl[[#All],[STAFF:]],$A30,May_Period_1_Tbl[[#All],[$ Hourly WAGES]])+   SUMIF(Jun_Period_1_Tbl[[#All],[STAFF:]],$A30,Jun_Period_1_Tbl[[#All],[$ Hourly WAGES]])+  SUMIF(Jul_Period_1_Tbl[[#All],[STAFF:]],$A30,Jul_Period_1_Tbl[[#All],[$ Hourly WAGES]])+  SUMIF(Aug_Period_1_Tbl[[#All],[STAFF:]],$A30,Aug_Period_1_Tbl[[#All],[$ Hourly WAGES]])+  SUMIF(Sep_Period_1_Tbl[[#All],[STAFF:]],$A30,Sep_Period_1_Tbl[[#All],[$ Hourly WAGES]])+  SUMIF(Oct_Period_1_Tbl[[#All],[STAFF:]],$A30,Oct_Period_1_Tbl[[#All],[$ Hourly WAGES]])+     SUMIF(Nov_Period_1_Tbl[[#All],[STAFF:]],$A30,Nov_Period_1_Tbl[[#All],[$ Hourly WAGES]])+  SUMIF(Dec_Period_1_Tbl[[#All],[STAFF:]],$A30,Dec_Period_1_Tbl[[#All],[$ Hourly WAGES]]))+   (SUMIF(Jan_Period_2_Tbl[[#All],[STAFF:]],$A30,Jan_Period_2_Tbl[[#All],[$ Hourly WAGES]])+
SUMIF(Feb_Period_2_Tbl[[#All],[STAFF:]],$A30,Feb_Period_2_Tbl[[#All],[$ Hourly WAGES]])+SUMIF(Mar_Period_2_Tbl[[#All],[STAFF:]],$A30,Mar_Period_2_Tbl[[#All],[$ Hourly WAGES]])+SUMIF(Apr_Period_2_Tbl[[#All],[STAFF:]],$A30,Apr_Period_2_Tbl[[#All],[$ Hourly WAGES]])+   SUMIF(May_Period_2_Tbl[[#All],[STAFF:]],$A30,May_Period_2_Tbl[[#All],[$ Hourly WAGES]])+   SUMIF(Jun_Period_2_Tbl[[#All],[STAFF:]],$A30,Jun_Period_2_Tbl[[#All],[$ Hourly WAGES]])+  SUMIF(Jul_Period_2_Tbl[[#All],[STAFF:]],$A30,Jul_Period_2_Tbl[[#All],[$ Hourly WAGES]])+  SUMIF(Aug_Period_2_Tbl[[#All],[STAFF:]],$A30,Aug_Period_2_Tbl[[#All],[$ Hourly WAGES]])+  SUMIF(Sep_Period_2_Tbl[[#All],[STAFF:]],$A30,Sep_Period_2_Tbl[[#All],[$ Hourly WAGES]])+  SUMIF(Oct_Period_2_Tbl[[#All],[STAFF:]],$A30,Oct_Period_2_Tbl[[#All],[$ Hourly WAGES]])+     SUMIF(Nov_Period_2_Tbl[[#All],[STAFF:]],$A30,Nov_Period_2_Tbl[[#All],[$ Hourly WAGES]])+  SUMIF(Dec_Period_2_Tbl[[#All],[STAFF:]],$A30,Dec_Period_2_Tbl[[#All],[$ Hourly WAGES]]))</f>
        <v>0</v>
      </c>
      <c r="H30" s="190">
        <f>(SUMIF(Jan_Period_1_Tbl[[#All],[STAFF:]],$A30,Jan_Period_1_Tbl[[#All],[$ SALARY]])+
SUMIF(Feb_Period_1_Tbl[[#All],[STAFF:]],$A30,Feb_Period_1_Tbl[[#All],[$ SALARY]])+SUMIF(Mar_Period_1_Tbl[[#All],[STAFF:]],$A30,Mar_Period_1_Tbl[[#All],[$ SALARY]])+SUMIF(Apr_Period_1_Tbl[[#All],[STAFF:]],$A30,Apr_Period_1_Tbl[[#All],[$ SALARY]])+   SUMIF(May_Period_1_Tbl[[#All],[STAFF:]],$A30,May_Period_1_Tbl[[#All],[$ SALARY]])+   SUMIF(Jun_Period_1_Tbl[[#All],[STAFF:]],$A30,Jun_Period_1_Tbl[[#All],[$ SALARY]])+  SUMIF(Jul_Period_1_Tbl[[#All],[STAFF:]],$A30,Jul_Period_1_Tbl[[#All],[$ SALARY]])+  SUMIF(Aug_Period_1_Tbl[[#All],[STAFF:]],$A30,Aug_Period_1_Tbl[[#All],[$ SALARY]])+  SUMIF(Sep_Period_1_Tbl[[#All],[STAFF:]],$A30,Sep_Period_1_Tbl[[#All],[$ SALARY]])+  SUMIF(Oct_Period_1_Tbl[[#All],[STAFF:]],$A30,Oct_Period_1_Tbl[[#All],[$ SALARY]])+     SUMIF(Nov_Period_1_Tbl[[#All],[STAFF:]],$A30,Nov_Period_1_Tbl[[#All],[$ SALARY]])+  SUMIF(Dec_Period_1_Tbl[[#All],[STAFF:]],$A30,Dec_Period_1_Tbl[[#All],[$ SALARY]]))+   (SUMIF(Jan_Period_2_Tbl[[#All],[STAFF:]],$A30,Jan_Period_2_Tbl[[#All],[$ SALARY]])+
SUMIF(Feb_Period_2_Tbl[[#All],[STAFF:]],$A30,Feb_Period_2_Tbl[[#All],[$ SALARY]])+SUMIF(Mar_Period_2_Tbl[[#All],[STAFF:]],$A30,Mar_Period_2_Tbl[[#All],[$ SALARY]])+SUMIF(Apr_Period_2_Tbl[[#All],[STAFF:]],$A30,Apr_Period_2_Tbl[[#All],[$ SALARY]])+   SUMIF(May_Period_2_Tbl[[#All],[STAFF:]],$A30,May_Period_2_Tbl[[#All],[$ SALARY]])+   SUMIF(Jun_Period_2_Tbl[[#All],[STAFF:]],$A30,Jun_Period_2_Tbl[[#All],[$ SALARY]])+  SUMIF(Jul_Period_2_Tbl[[#All],[STAFF:]],$A30,Jul_Period_2_Tbl[[#All],[$ SALARY]])+  SUMIF(Aug_Period_2_Tbl[[#All],[STAFF:]],$A30,Aug_Period_2_Tbl[[#All],[$ SALARY]])+  SUMIF(Sep_Period_2_Tbl[[#All],[STAFF:]],$A30,Sep_Period_2_Tbl[[#All],[$ SALARY]])+  SUMIF(Oct_Period_2_Tbl[[#All],[STAFF:]],$A30,Oct_Period_2_Tbl[[#All],[$ SALARY]])+     SUMIF(Nov_Period_2_Tbl[[#All],[STAFF:]],$A30,Nov_Period_2_Tbl[[#All],[$ SALARY]])+  SUMIF(Dec_Period_2_Tbl[[#All],[STAFF:]],$A30,Dec_Period_2_Tbl[[#All],[$ SALARY]]))</f>
        <v>0</v>
      </c>
      <c r="I30" s="190">
        <f>(SUMIF(Jan_Period_1_Tbl[[#All],[STAFF:]],$A30,Jan_Period_1_Tbl[[#All],[$ SALARY PT]])+
SUMIF(Feb_Period_1_Tbl[[#All],[STAFF:]],$A30,Feb_Period_1_Tbl[[#All],[$ SALARY PT]])+SUMIF(Mar_Period_1_Tbl[[#All],[STAFF:]],$A30,Mar_Period_1_Tbl[[#All],[$ SALARY PT]])+SUMIF(Apr_Period_1_Tbl[[#All],[STAFF:]],$A30,Apr_Period_1_Tbl[[#All],[$ SALARY PT]])+   SUMIF(May_Period_1_Tbl[[#All],[STAFF:]],$A30,May_Period_1_Tbl[[#All],[$ SALARY PT]])+   SUMIF(Jun_Period_1_Tbl[[#All],[STAFF:]],$A30,Jun_Period_1_Tbl[[#All],[$ SALARY PT]])+  SUMIF(Jul_Period_1_Tbl[[#All],[STAFF:]],$A30,Jul_Period_1_Tbl[[#All],[$ SALARY PT]])+  SUMIF(Aug_Period_1_Tbl[[#All],[STAFF:]],$A30,Aug_Period_1_Tbl[[#All],[$ SALARY PT]])+  SUMIF(Sep_Period_1_Tbl[[#All],[STAFF:]],$A30,Sep_Period_1_Tbl[[#All],[$ SALARY PT]])+  SUMIF(Oct_Period_1_Tbl[[#All],[STAFF:]],$A30,Oct_Period_1_Tbl[[#All],[$ SALARY PT]])+     SUMIF(Nov_Period_1_Tbl[[#All],[STAFF:]],$A30,Nov_Period_1_Tbl[[#All],[$ SALARY PT]])+  SUMIF(Dec_Period_1_Tbl[[#All],[STAFF:]],$A30,Dec_Period_1_Tbl[[#All],[$ SALARY PT]]))+   (SUMIF(Jan_Period_2_Tbl[[#All],[STAFF:]],$A30,Jan_Period_2_Tbl[[#All],[$ SALARY PT]])+
SUMIF(Feb_Period_2_Tbl[[#All],[STAFF:]],$A30,Feb_Period_2_Tbl[[#All],[$ SALARY PT]])+SUMIF(Mar_Period_2_Tbl[[#All],[STAFF:]],$A30,Mar_Period_2_Tbl[[#All],[$ SALARY PT]])+SUMIF(Apr_Period_2_Tbl[[#All],[STAFF:]],$A30,Apr_Period_2_Tbl[[#All],[$ SALARY PT]])+   SUMIF(May_Period_2_Tbl[[#All],[STAFF:]],$A30,May_Period_2_Tbl[[#All],[$ SALARY PT]])+   SUMIF(Jun_Period_2_Tbl[[#All],[STAFF:]],$A30,Jun_Period_2_Tbl[[#All],[$ SALARY PT]])+  SUMIF(Jul_Period_2_Tbl[[#All],[STAFF:]],$A30,Jul_Period_2_Tbl[[#All],[$ SALARY PT]])+  SUMIF(Aug_Period_2_Tbl[[#All],[STAFF:]],$A30,Aug_Period_2_Tbl[[#All],[$ SALARY PT]])+  SUMIF(Sep_Period_2_Tbl[[#All],[STAFF:]],$A30,Sep_Period_2_Tbl[[#All],[$ SALARY PT]])+  SUMIF(Oct_Period_2_Tbl[[#All],[STAFF:]],$A30,Oct_Period_2_Tbl[[#All],[$ SALARY PT]])+     SUMIF(Nov_Period_2_Tbl[[#All],[STAFF:]],$A30,Nov_Period_2_Tbl[[#All],[$ SALARY PT]])+  SUMIF(Dec_Period_2_Tbl[[#All],[STAFF:]],$A30,Dec_Period_2_Tbl[[#All],[$ SALARY PT]]))</f>
        <v>0</v>
      </c>
      <c r="J30" s="190">
        <f>(SUMIF(Jan_Period_1_Tbl[[#All],[STAFF:]],$A30,Jan_Period_1_Tbl[[#All],[$ FREE PT]])+
SUMIF(Feb_Period_1_Tbl[[#All],[STAFF:]],$A30,Feb_Period_1_Tbl[[#All],[$ FREE PT]])+SUMIF(Mar_Period_1_Tbl[[#All],[STAFF:]],$A30,Mar_Period_1_Tbl[[#All],[$ FREE PT]])+SUMIF(Apr_Period_1_Tbl[[#All],[STAFF:]],$A30,Apr_Period_1_Tbl[[#All],[$ FREE PT]])+   SUMIF(May_Period_1_Tbl[[#All],[STAFF:]],$A30,May_Period_1_Tbl[[#All],[$ FREE PT]])+   SUMIF(Jun_Period_1_Tbl[[#All],[STAFF:]],$A30,Jun_Period_1_Tbl[[#All],[$ FREE PT]])+  SUMIF(Jul_Period_1_Tbl[[#All],[STAFF:]],$A30,Jul_Period_1_Tbl[[#All],[$ FREE PT]])+  SUMIF(Aug_Period_1_Tbl[[#All],[STAFF:]],$A30,Aug_Period_1_Tbl[[#All],[$ FREE PT]])+  SUMIF(Sep_Period_1_Tbl[[#All],[STAFF:]],$A30,Sep_Period_1_Tbl[[#All],[$ FREE PT]])+  SUMIF(Oct_Period_1_Tbl[[#All],[STAFF:]],$A30,Oct_Period_1_Tbl[[#All],[$ FREE PT]])+     SUMIF(Nov_Period_1_Tbl[[#All],[STAFF:]],$A30,Nov_Period_1_Tbl[[#All],[$ FREE PT]])+  SUMIF(Dec_Period_1_Tbl[[#All],[STAFF:]],$A30,Dec_Period_1_Tbl[[#All],[$ FREE PT]]))+   (SUMIF(Jan_Period_2_Tbl[[#All],[STAFF:]],$A30,Jan_Period_2_Tbl[[#All],[$ FREE PT]])+
SUMIF(Feb_Period_2_Tbl[[#All],[STAFF:]],$A30,Feb_Period_2_Tbl[[#All],[$ FREE PT]])+SUMIF(Mar_Period_2_Tbl[[#All],[STAFF:]],$A30,Mar_Period_2_Tbl[[#All],[$ FREE PT]])+SUMIF(Apr_Period_2_Tbl[[#All],[STAFF:]],$A30,Apr_Period_2_Tbl[[#All],[$ FREE PT]])+   SUMIF(May_Period_2_Tbl[[#All],[STAFF:]],$A30,May_Period_2_Tbl[[#All],[$ FREE PT]])+   SUMIF(Jun_Period_2_Tbl[[#All],[STAFF:]],$A30,Jun_Period_2_Tbl[[#All],[$ FREE PT]])+  SUMIF(Jul_Period_2_Tbl[[#All],[STAFF:]],$A30,Jul_Period_2_Tbl[[#All],[$ FREE PT]])+  SUMIF(Aug_Period_2_Tbl[[#All],[STAFF:]],$A30,Aug_Period_2_Tbl[[#All],[$ FREE PT]])+  SUMIF(Sep_Period_2_Tbl[[#All],[STAFF:]],$A30,Sep_Period_2_Tbl[[#All],[$ FREE PT]])+  SUMIF(Oct_Period_2_Tbl[[#All],[STAFF:]],$A30,Oct_Period_2_Tbl[[#All],[$ FREE PT]])+     SUMIF(Nov_Period_2_Tbl[[#All],[STAFF:]],$A30,Nov_Period_2_Tbl[[#All],[$ FREE PT]])+  SUMIF(Dec_Period_2_Tbl[[#All],[STAFF:]],$A30,Dec_Period_2_Tbl[[#All],[$ FREE PT]]))</f>
        <v>0</v>
      </c>
      <c r="K30" s="190">
        <f>(SUMIF(Jan_Period_1_Tbl[[#All],[STAFF:]],$A30,Jan_Period_1_Tbl[[#All],[$ PAID PT]])+
SUMIF(Feb_Period_1_Tbl[[#All],[STAFF:]],$A30,Feb_Period_1_Tbl[[#All],[$ PAID PT]])+SUMIF(Mar_Period_1_Tbl[[#All],[STAFF:]],$A30,Mar_Period_1_Tbl[[#All],[$ PAID PT]])+SUMIF(Apr_Period_1_Tbl[[#All],[STAFF:]],$A30,Apr_Period_1_Tbl[[#All],[$ PAID PT]])+   SUMIF(May_Period_1_Tbl[[#All],[STAFF:]],$A30,May_Period_1_Tbl[[#All],[$ PAID PT]])+   SUMIF(Jun_Period_1_Tbl[[#All],[STAFF:]],$A30,Jun_Period_1_Tbl[[#All],[$ PAID PT]])+  SUMIF(Jul_Period_1_Tbl[[#All],[STAFF:]],$A30,Jul_Period_1_Tbl[[#All],[$ PAID PT]])+  SUMIF(Aug_Period_1_Tbl[[#All],[STAFF:]],$A30,Aug_Period_1_Tbl[[#All],[$ PAID PT]])+  SUMIF(Sep_Period_1_Tbl[[#All],[STAFF:]],$A30,Sep_Period_1_Tbl[[#All],[$ PAID PT]])+  SUMIF(Oct_Period_1_Tbl[[#All],[STAFF:]],$A30,Oct_Period_1_Tbl[[#All],[$ PAID PT]])+     SUMIF(Nov_Period_1_Tbl[[#All],[STAFF:]],$A30,Nov_Period_1_Tbl[[#All],[$ PAID PT]])+  SUMIF(Dec_Period_1_Tbl[[#All],[STAFF:]],$A30,Dec_Period_1_Tbl[[#All],[$ PAID PT]]))+   (SUMIF(Jan_Period_2_Tbl[[#All],[STAFF:]],$A30,Jan_Period_2_Tbl[[#All],[$ PAID PT]])+
SUMIF(Feb_Period_2_Tbl[[#All],[STAFF:]],$A30,Feb_Period_2_Tbl[[#All],[$ PAID PT]])+SUMIF(Mar_Period_2_Tbl[[#All],[STAFF:]],$A30,Mar_Period_2_Tbl[[#All],[$ PAID PT]])+SUMIF(Apr_Period_2_Tbl[[#All],[STAFF:]],$A30,Apr_Period_2_Tbl[[#All],[$ PAID PT]])+   SUMIF(May_Period_2_Tbl[[#All],[STAFF:]],$A30,May_Period_2_Tbl[[#All],[$ PAID PT]])+   SUMIF(Jun_Period_2_Tbl[[#All],[STAFF:]],$A30,Jun_Period_2_Tbl[[#All],[$ PAID PT]])+  SUMIF(Jul_Period_2_Tbl[[#All],[STAFF:]],$A30,Jul_Period_2_Tbl[[#All],[$ PAID PT]])+  SUMIF(Aug_Period_2_Tbl[[#All],[STAFF:]],$A30,Aug_Period_2_Tbl[[#All],[$ PAID PT]])+  SUMIF(Sep_Period_2_Tbl[[#All],[STAFF:]],$A30,Sep_Period_2_Tbl[[#All],[$ PAID PT]])+  SUMIF(Oct_Period_2_Tbl[[#All],[STAFF:]],$A30,Oct_Period_2_Tbl[[#All],[$ PAID PT]])+     SUMIF(Nov_Period_2_Tbl[[#All],[STAFF:]],$A30,Nov_Period_2_Tbl[[#All],[$ PAID PT]])+  SUMIF(Dec_Period_2_Tbl[[#All],[STAFF:]],$A30,Dec_Period_2_Tbl[[#All],[$ PAID PT]]))</f>
        <v>0</v>
      </c>
      <c r="L30" s="190">
        <f>(SUMIF(Jan_Period_1_Tbl[[#All],[STAFF:]],$A30,Jan_Period_1_Tbl[[#All],[$ PT COMM]])+
SUMIF(Feb_Period_1_Tbl[[#All],[STAFF:]],$A30,Feb_Period_1_Tbl[[#All],[$ PT COMM]])+SUMIF(Mar_Period_1_Tbl[[#All],[STAFF:]],$A30,Mar_Period_1_Tbl[[#All],[$ PT COMM]])+SUMIF(Apr_Period_1_Tbl[[#All],[STAFF:]],$A30,Apr_Period_1_Tbl[[#All],[$ PT COMM]])+   SUMIF(May_Period_1_Tbl[[#All],[STAFF:]],$A30,May_Period_1_Tbl[[#All],[$ PT COMM]])+   SUMIF(Jun_Period_1_Tbl[[#All],[STAFF:]],$A30,Jun_Period_1_Tbl[[#All],[$ PT COMM]])+  SUMIF(Jul_Period_1_Tbl[[#All],[STAFF:]],$A30,Jul_Period_1_Tbl[[#All],[$ PT COMM]])+  SUMIF(Aug_Period_1_Tbl[[#All],[STAFF:]],$A30,Aug_Period_1_Tbl[[#All],[$ PT COMM]])+  SUMIF(Sep_Period_1_Tbl[[#All],[STAFF:]],$A30,Sep_Period_1_Tbl[[#All],[$ PT COMM]])+  SUMIF(Oct_Period_1_Tbl[[#All],[STAFF:]],$A30,Oct_Period_1_Tbl[[#All],[$ PT COMM]])+     SUMIF(Nov_Period_1_Tbl[[#All],[STAFF:]],$A30,Nov_Period_1_Tbl[[#All],[$ PT COMM]])+  SUMIF(Dec_Period_1_Tbl[[#All],[STAFF:]],$A30,Dec_Period_1_Tbl[[#All],[$ PT COMM]]))+   (SUMIF(Jan_Period_2_Tbl[[#All],[STAFF:]],$A30,Jan_Period_2_Tbl[[#All],[$ PT COMM]])+
SUMIF(Feb_Period_2_Tbl[[#All],[STAFF:]],$A30,Feb_Period_2_Tbl[[#All],[$ PT COMM]])+SUMIF(Mar_Period_2_Tbl[[#All],[STAFF:]],$A30,Mar_Period_2_Tbl[[#All],[$ PT COMM]])+SUMIF(Apr_Period_2_Tbl[[#All],[STAFF:]],$A30,Apr_Period_2_Tbl[[#All],[$ PT COMM]])+   SUMIF(May_Period_2_Tbl[[#All],[STAFF:]],$A30,May_Period_2_Tbl[[#All],[$ PT COMM]])+   SUMIF(Jun_Period_2_Tbl[[#All],[STAFF:]],$A30,Jun_Period_2_Tbl[[#All],[$ PT COMM]])+  SUMIF(Jul_Period_2_Tbl[[#All],[STAFF:]],$A30,Jul_Period_2_Tbl[[#All],[$ PT COMM]])+  SUMIF(Aug_Period_2_Tbl[[#All],[STAFF:]],$A30,Aug_Period_2_Tbl[[#All],[$ PT COMM]])+  SUMIF(Sep_Period_2_Tbl[[#All],[STAFF:]],$A30,Sep_Period_2_Tbl[[#All],[$ PT COMM]])+  SUMIF(Oct_Period_2_Tbl[[#All],[STAFF:]],$A30,Oct_Period_2_Tbl[[#All],[$ PT COMM]])+     SUMIF(Nov_Period_2_Tbl[[#All],[STAFF:]],$A30,Nov_Period_2_Tbl[[#All],[$ PT COMM]])+  SUMIF(Dec_Period_2_Tbl[[#All],[STAFF:]],$A30,Dec_Period_2_Tbl[[#All],[$ PT COMM]]))</f>
        <v>0</v>
      </c>
      <c r="M30" s="190">
        <f>(SUMIF(Jan_Period_1_Tbl[[#All],[STAFF:]],$A30,Jan_Period_1_Tbl[[#All],[$ EFT COMM]])+
SUMIF(Feb_Period_1_Tbl[[#All],[STAFF:]],$A30,Feb_Period_1_Tbl[[#All],[$ EFT COMM]])+SUMIF(Mar_Period_1_Tbl[[#All],[STAFF:]],$A30,Mar_Period_1_Tbl[[#All],[$ EFT COMM]])+SUMIF(Apr_Period_1_Tbl[[#All],[STAFF:]],$A30,Apr_Period_1_Tbl[[#All],[$ EFT COMM]])+   SUMIF(May_Period_1_Tbl[[#All],[STAFF:]],$A30,May_Period_1_Tbl[[#All],[$ EFT COMM]])+   SUMIF(Jun_Period_1_Tbl[[#All],[STAFF:]],$A30,Jun_Period_1_Tbl[[#All],[$ EFT COMM]])+  SUMIF(Jul_Period_1_Tbl[[#All],[STAFF:]],$A30,Jul_Period_1_Tbl[[#All],[$ EFT COMM]])+  SUMIF(Aug_Period_1_Tbl[[#All],[STAFF:]],$A30,Aug_Period_1_Tbl[[#All],[$ EFT COMM]])+  SUMIF(Sep_Period_1_Tbl[[#All],[STAFF:]],$A30,Sep_Period_1_Tbl[[#All],[$ EFT COMM]])+  SUMIF(Oct_Period_1_Tbl[[#All],[STAFF:]],$A30,Oct_Period_1_Tbl[[#All],[$ EFT COMM]])+     SUMIF(Nov_Period_1_Tbl[[#All],[STAFF:]],$A30,Nov_Period_1_Tbl[[#All],[$ EFT COMM]])+  SUMIF(Dec_Period_1_Tbl[[#All],[STAFF:]],$A30,Dec_Period_1_Tbl[[#All],[$ EFT COMM]]))+   (SUMIF(Jan_Period_2_Tbl[[#All],[STAFF:]],$A30,Jan_Period_2_Tbl[[#All],[$ EFT COMM]])+
SUMIF(Feb_Period_2_Tbl[[#All],[STAFF:]],$A30,Feb_Period_2_Tbl[[#All],[$ EFT COMM]])+SUMIF(Mar_Period_2_Tbl[[#All],[STAFF:]],$A30,Mar_Period_2_Tbl[[#All],[$ EFT COMM]])+SUMIF(Apr_Period_2_Tbl[[#All],[STAFF:]],$A30,Apr_Period_2_Tbl[[#All],[$ EFT COMM]])+   SUMIF(May_Period_2_Tbl[[#All],[STAFF:]],$A30,May_Period_2_Tbl[[#All],[$ EFT COMM]])+   SUMIF(Jun_Period_2_Tbl[[#All],[STAFF:]],$A30,Jun_Period_2_Tbl[[#All],[$ EFT COMM]])+  SUMIF(Jul_Period_2_Tbl[[#All],[STAFF:]],$A30,Jul_Period_2_Tbl[[#All],[$ EFT COMM]])+  SUMIF(Aug_Period_2_Tbl[[#All],[STAFF:]],$A30,Aug_Period_2_Tbl[[#All],[$ EFT COMM]])+  SUMIF(Sep_Period_2_Tbl[[#All],[STAFF:]],$A30,Sep_Period_2_Tbl[[#All],[$ EFT COMM]])+  SUMIF(Oct_Period_2_Tbl[[#All],[STAFF:]],$A30,Oct_Period_2_Tbl[[#All],[$ EFT COMM]])+     SUMIF(Nov_Period_2_Tbl[[#All],[STAFF:]],$A30,Nov_Period_2_Tbl[[#All],[$ EFT COMM]])+  SUMIF(Dec_Period_2_Tbl[[#All],[STAFF:]],$A30,Dec_Period_2_Tbl[[#All],[$ EFT COMM]]))</f>
        <v>0</v>
      </c>
      <c r="N30" s="190">
        <f>(SUMIF(Jan_Period_1_Tbl[[#All],[STAFF:]],$A30,Jan_Period_1_Tbl[[#All],[$ CLASS PAY]])+
SUMIF(Feb_Period_1_Tbl[[#All],[STAFF:]],$A30,Feb_Period_1_Tbl[[#All],[$ CLASS PAY]])+SUMIF(Mar_Period_1_Tbl[[#All],[STAFF:]],$A30,Mar_Period_1_Tbl[[#All],[$ CLASS PAY]])+SUMIF(Apr_Period_1_Tbl[[#All],[STAFF:]],$A30,Apr_Period_1_Tbl[[#All],[$ CLASS PAY]])+   SUMIF(May_Period_1_Tbl[[#All],[STAFF:]],$A30,May_Period_1_Tbl[[#All],[$ CLASS PAY]])+   SUMIF(Jun_Period_1_Tbl[[#All],[STAFF:]],$A30,Jun_Period_1_Tbl[[#All],[$ CLASS PAY]])+  SUMIF(Jul_Period_1_Tbl[[#All],[STAFF:]],$A30,Jul_Period_1_Tbl[[#All],[$ CLASS PAY]])+  SUMIF(Aug_Period_1_Tbl[[#All],[STAFF:]],$A30,Aug_Period_1_Tbl[[#All],[$ CLASS PAY]])+  SUMIF(Sep_Period_1_Tbl[[#All],[STAFF:]],$A30,Sep_Period_1_Tbl[[#All],[$ CLASS PAY]])+  SUMIF(Oct_Period_1_Tbl[[#All],[STAFF:]],$A30,Oct_Period_1_Tbl[[#All],[$ CLASS PAY]])+     SUMIF(Nov_Period_1_Tbl[[#All],[STAFF:]],$A30,Nov_Period_1_Tbl[[#All],[$ CLASS PAY]])+  SUMIF(Dec_Period_1_Tbl[[#All],[STAFF:]],$A30,Dec_Period_1_Tbl[[#All],[$ CLASS PAY]]))+   (SUMIF(Jan_Period_2_Tbl[[#All],[STAFF:]],$A30,Jan_Period_2_Tbl[[#All],[$ CLASS PAY]])+
SUMIF(Feb_Period_2_Tbl[[#All],[STAFF:]],$A30,Feb_Period_2_Tbl[[#All],[$ CLASS PAY]])+SUMIF(Mar_Period_2_Tbl[[#All],[STAFF:]],$A30,Mar_Period_2_Tbl[[#All],[$ CLASS PAY]])+SUMIF(Apr_Period_2_Tbl[[#All],[STAFF:]],$A30,Apr_Period_2_Tbl[[#All],[$ CLASS PAY]])+   SUMIF(May_Period_2_Tbl[[#All],[STAFF:]],$A30,May_Period_2_Tbl[[#All],[$ CLASS PAY]])+   SUMIF(Jun_Period_2_Tbl[[#All],[STAFF:]],$A30,Jun_Period_2_Tbl[[#All],[$ CLASS PAY]])+  SUMIF(Jul_Period_2_Tbl[[#All],[STAFF:]],$A30,Jul_Period_2_Tbl[[#All],[$ CLASS PAY]])+  SUMIF(Aug_Period_2_Tbl[[#All],[STAFF:]],$A30,Aug_Period_2_Tbl[[#All],[$ CLASS PAY]])+  SUMIF(Sep_Period_2_Tbl[[#All],[STAFF:]],$A30,Sep_Period_2_Tbl[[#All],[$ CLASS PAY]])+  SUMIF(Oct_Period_2_Tbl[[#All],[STAFF:]],$A30,Oct_Period_2_Tbl[[#All],[$ CLASS PAY]])+     SUMIF(Nov_Period_2_Tbl[[#All],[STAFF:]],$A30,Nov_Period_2_Tbl[[#All],[$ CLASS PAY]])+  SUMIF(Dec_Period_2_Tbl[[#All],[STAFF:]],$A30,Dec_Period_2_Tbl[[#All],[$ CLASS PAY]]))</f>
        <v>0</v>
      </c>
      <c r="O30" s="191">
        <f>(SUMIF(Jan_Period_1_Tbl[[#All],[STAFF:]],$A30,Jan_Period_1_Tbl[[#All],[$ BONUS PAY]])+
SUMIF(Feb_Period_1_Tbl[[#All],[STAFF:]],$A30,Feb_Period_1_Tbl[[#All],[$ BONUS PAY]])+SUMIF(Mar_Period_1_Tbl[[#All],[STAFF:]],$A30,Mar_Period_1_Tbl[[#All],[$ BONUS PAY]])+SUMIF(Apr_Period_1_Tbl[[#All],[STAFF:]],$A30,Apr_Period_1_Tbl[[#All],[$ BONUS PAY]])+   SUMIF(May_Period_1_Tbl[[#All],[STAFF:]],$A30,May_Period_1_Tbl[[#All],[$ BONUS PAY]])+   SUMIF(Jun_Period_1_Tbl[[#All],[STAFF:]],$A30,Jun_Period_1_Tbl[[#All],[$ BONUS PAY]])+  SUMIF(Jul_Period_1_Tbl[[#All],[STAFF:]],$A30,Jul_Period_1_Tbl[[#All],[$ BONUS PAY]])+  SUMIF(Aug_Period_1_Tbl[[#All],[STAFF:]],$A30,Aug_Period_1_Tbl[[#All],[$ BONUS PAY]])+  SUMIF(Sep_Period_1_Tbl[[#All],[STAFF:]],$A30,Sep_Period_1_Tbl[[#All],[$ BONUS PAY]])+  SUMIF(Oct_Period_1_Tbl[[#All],[STAFF:]],$A30,Oct_Period_1_Tbl[[#All],[$ BONUS PAY]])+     SUMIF(Nov_Period_1_Tbl[[#All],[STAFF:]],$A30,Nov_Period_1_Tbl[[#All],[$ BONUS PAY]])+  SUMIF(Dec_Period_1_Tbl[[#All],[STAFF:]],$A30,Dec_Period_1_Tbl[[#All],[$ BONUS PAY]]))+   (SUMIF(Jan_Period_2_Tbl[[#All],[STAFF:]],$A30,Jan_Period_2_Tbl[[#All],[$ BONUS PAY]])+
SUMIF(Feb_Period_2_Tbl[[#All],[STAFF:]],$A30,Feb_Period_2_Tbl[[#All],[$ BONUS PAY]])+SUMIF(Mar_Period_2_Tbl[[#All],[STAFF:]],$A30,Mar_Period_2_Tbl[[#All],[$ BONUS PAY]])+SUMIF(Apr_Period_2_Tbl[[#All],[STAFF:]],$A30,Apr_Period_2_Tbl[[#All],[$ BONUS PAY]])+   SUMIF(May_Period_2_Tbl[[#All],[STAFF:]],$A30,May_Period_2_Tbl[[#All],[$ BONUS PAY]])+   SUMIF(Jun_Period_2_Tbl[[#All],[STAFF:]],$A30,Jun_Period_2_Tbl[[#All],[$ BONUS PAY]])+  SUMIF(Jul_Period_2_Tbl[[#All],[STAFF:]],$A30,Jul_Period_2_Tbl[[#All],[$ BONUS PAY]])+  SUMIF(Aug_Period_2_Tbl[[#All],[STAFF:]],$A30,Aug_Period_2_Tbl[[#All],[$ BONUS PAY]])+  SUMIF(Sep_Period_2_Tbl[[#All],[STAFF:]],$A30,Sep_Period_2_Tbl[[#All],[$ BONUS PAY]])+  SUMIF(Oct_Period_2_Tbl[[#All],[STAFF:]],$A30,Oct_Period_2_Tbl[[#All],[$ BONUS PAY]])+     SUMIF(Nov_Period_2_Tbl[[#All],[STAFF:]],$A30,Nov_Period_2_Tbl[[#All],[$ BONUS PAY]])+  SUMIF(Dec_Period_2_Tbl[[#All],[STAFF:]],$A30,Dec_Period_2_Tbl[[#All],[$ BONUS PAY]]))</f>
        <v>0</v>
      </c>
      <c r="P30" s="179">
        <f t="shared" si="0"/>
        <v>0</v>
      </c>
      <c r="Q30" s="149"/>
      <c r="R30" s="152">
        <f>(SUMIF(Jan_Period_1_Tbl[[#All],[STAFF:]],$A30,Jan_Period_1_Tbl[[#All],['# POINTS EARNED]])+
SUMIF(Feb_Period_1_Tbl[[#All],[STAFF:]],$A30,Feb_Period_1_Tbl[[#All],['# POINTS EARNED]])+SUMIF(Mar_Period_1_Tbl[[#All],[STAFF:]],$A30,Mar_Period_1_Tbl[[#All],['# POINTS EARNED]])+SUMIF(Apr_Period_1_Tbl[[#All],[STAFF:]],$A30,Apr_Period_1_Tbl[[#All],['# POINTS EARNED]])+   SUMIF(May_Period_1_Tbl[[#All],[STAFF:]],$A30,May_Period_1_Tbl[[#All],['# POINTS EARNED]])+   SUMIF(Jun_Period_1_Tbl[[#All],[STAFF:]],$A30,Jun_Period_1_Tbl[[#All],['# POINTS EARNED]])+  SUMIF(Jul_Period_1_Tbl[[#All],[STAFF:]],$A30,Jul_Period_1_Tbl[[#All],['# POINTS EARNED]])+  SUMIF(Aug_Period_1_Tbl[[#All],[STAFF:]],$A30,Aug_Period_1_Tbl[[#All],['# POINTS EARNED]])+  SUMIF(Sep_Period_1_Tbl[[#All],[STAFF:]],$A30,Sep_Period_1_Tbl[[#All],['# POINTS EARNED]])+  SUMIF(Oct_Period_1_Tbl[[#All],[STAFF:]],$A30,Oct_Period_1_Tbl[[#All],['# POINTS EARNED]])+     SUMIF(Nov_Period_1_Tbl[[#All],[STAFF:]],$A30,Nov_Period_1_Tbl[[#All],['# POINTS EARNED]])+  SUMIF(Dec_Period_1_Tbl[[#All],[STAFF:]],$A30,Dec_Period_1_Tbl[[#All],['# POINTS EARNED]]))+   (SUMIF(Jan_Period_2_Tbl[[#All],[STAFF:]],$A30,Jan_Period_2_Tbl[[#All],['# POINTS EARNED]])+
SUMIF(Feb_Period_2_Tbl[[#All],[STAFF:]],$A30,Feb_Period_2_Tbl[[#All],['# POINTS EARNED]])+SUMIF(Mar_Period_2_Tbl[[#All],[STAFF:]],$A30,Mar_Period_2_Tbl[[#All],['# POINTS EARNED]])+SUMIF(Apr_Period_2_Tbl[[#All],[STAFF:]],$A30,Apr_Period_2_Tbl[[#All],['# POINTS EARNED]])+   SUMIF(May_Period_2_Tbl[[#All],[STAFF:]],$A30,May_Period_2_Tbl[[#All],['# POINTS EARNED]])+   SUMIF(Jun_Period_2_Tbl[[#All],[STAFF:]],$A30,Jun_Period_2_Tbl[[#All],['# POINTS EARNED]])+  SUMIF(Jul_Period_2_Tbl[[#All],[STAFF:]],$A30,Jul_Period_2_Tbl[[#All],['# POINTS EARNED]])+  SUMIF(Aug_Period_2_Tbl[[#All],[STAFF:]],$A30,Aug_Period_2_Tbl[[#All],['# POINTS EARNED]])+  SUMIF(Sep_Period_2_Tbl[[#All],[STAFF:]],$A30,Sep_Period_2_Tbl[[#All],['# POINTS EARNED]])+  SUMIF(Oct_Period_2_Tbl[[#All],[STAFF:]],$A30,Oct_Period_2_Tbl[[#All],['# POINTS EARNED]])+     SUMIF(Nov_Period_2_Tbl[[#All],[STAFF:]],$A30,Nov_Period_2_Tbl[[#All],['# POINTS EARNED]])+  SUMIF(Dec_Period_2_Tbl[[#All],[STAFF:]],$A30,Dec_Period_2_Tbl[[#All],['# POINTS EARNED]]))</f>
        <v>0</v>
      </c>
      <c r="S30" s="152">
        <f>(SUMIF(Jan_Period_1_Tbl[[#All],[STAFF:]],$A30,Jan_Period_1_Tbl[[#All],['# POINTS USED]])+
SUMIF(Feb_Period_1_Tbl[[#All],[STAFF:]],$A30,Feb_Period_1_Tbl[[#All],['# POINTS USED]])+SUMIF(Mar_Period_1_Tbl[[#All],[STAFF:]],$A30,Mar_Period_1_Tbl[[#All],['# POINTS USED]])+SUMIF(Apr_Period_1_Tbl[[#All],[STAFF:]],$A30,Apr_Period_1_Tbl[[#All],['# POINTS USED]])+   SUMIF(May_Period_1_Tbl[[#All],[STAFF:]],$A30,May_Period_1_Tbl[[#All],['# POINTS USED]])+   SUMIF(Jun_Period_1_Tbl[[#All],[STAFF:]],$A30,Jun_Period_1_Tbl[[#All],['# POINTS USED]])+  SUMIF(Jul_Period_1_Tbl[[#All],[STAFF:]],$A30,Jul_Period_1_Tbl[[#All],['# POINTS USED]])+  SUMIF(Aug_Period_1_Tbl[[#All],[STAFF:]],$A30,Aug_Period_1_Tbl[[#All],['# POINTS USED]])+  SUMIF(Sep_Period_1_Tbl[[#All],[STAFF:]],$A30,Sep_Period_1_Tbl[[#All],['# POINTS USED]])+  SUMIF(Oct_Period_1_Tbl[[#All],[STAFF:]],$A30,Oct_Period_1_Tbl[[#All],['# POINTS USED]])+     SUMIF(Nov_Period_1_Tbl[[#All],[STAFF:]],$A30,Nov_Period_1_Tbl[[#All],['# POINTS USED]])+  SUMIF(Dec_Period_1_Tbl[[#All],[STAFF:]],$A30,Dec_Period_1_Tbl[[#All],['# POINTS USED]]))+   (SUMIF(Jan_Period_2_Tbl[[#All],[STAFF:]],$A30,Jan_Period_2_Tbl[[#All],['# POINTS USED]])+
SUMIF(Feb_Period_2_Tbl[[#All],[STAFF:]],$A30,Feb_Period_2_Tbl[[#All],['# POINTS USED]])+SUMIF(Mar_Period_2_Tbl[[#All],[STAFF:]],$A30,Mar_Period_2_Tbl[[#All],['# POINTS USED]])+SUMIF(Apr_Period_2_Tbl[[#All],[STAFF:]],$A30,Apr_Period_2_Tbl[[#All],['# POINTS USED]])+   SUMIF(May_Period_2_Tbl[[#All],[STAFF:]],$A30,May_Period_2_Tbl[[#All],['# POINTS USED]])+   SUMIF(Jun_Period_2_Tbl[[#All],[STAFF:]],$A30,Jun_Period_2_Tbl[[#All],['# POINTS USED]])+  SUMIF(Jul_Period_2_Tbl[[#All],[STAFF:]],$A30,Jul_Period_2_Tbl[[#All],['# POINTS USED]])+  SUMIF(Aug_Period_2_Tbl[[#All],[STAFF:]],$A30,Aug_Period_2_Tbl[[#All],['# POINTS USED]])+  SUMIF(Sep_Period_2_Tbl[[#All],[STAFF:]],$A30,Sep_Period_2_Tbl[[#All],['# POINTS USED]])+  SUMIF(Oct_Period_2_Tbl[[#All],[STAFF:]],$A30,Oct_Period_2_Tbl[[#All],['# POINTS USED]])+     SUMIF(Nov_Period_2_Tbl[[#All],[STAFF:]],$A30,Nov_Period_2_Tbl[[#All],['# POINTS USED]])+  SUMIF(Dec_Period_2_Tbl[[#All],[STAFF:]],$A30,Dec_Period_2_Tbl[[#All],['# POINTS USED]]))</f>
        <v>0</v>
      </c>
      <c r="T30" s="152">
        <f>(SUMIF(Jan_Period_1_Tbl[[#All],[STAFF:]],$A30,Jan_Period_1_Tbl[[#All],['# CLASSES LEAD]])+
SUMIF(Feb_Period_1_Tbl[[#All],[STAFF:]],$A30,Feb_Period_1_Tbl[[#All],['# CLASSES LEAD]])+SUMIF(Mar_Period_1_Tbl[[#All],[STAFF:]],$A30,Mar_Period_1_Tbl[[#All],['# CLASSES LEAD]])+SUMIF(Apr_Period_1_Tbl[[#All],[STAFF:]],$A30,Apr_Period_1_Tbl[[#All],['# CLASSES LEAD]])+   SUMIF(May_Period_1_Tbl[[#All],[STAFF:]],$A30,May_Period_1_Tbl[[#All],['# CLASSES LEAD]])+   SUMIF(Jun_Period_1_Tbl[[#All],[STAFF:]],$A30,Jun_Period_1_Tbl[[#All],['# CLASSES LEAD]])+  SUMIF(Jul_Period_1_Tbl[[#All],[STAFF:]],$A30,Jul_Period_1_Tbl[[#All],['# CLASSES LEAD]])+  SUMIF(Aug_Period_1_Tbl[[#All],[STAFF:]],$A30,Aug_Period_1_Tbl[[#All],['# CLASSES LEAD]])+  SUMIF(Sep_Period_1_Tbl[[#All],[STAFF:]],$A30,Sep_Period_1_Tbl[[#All],['# CLASSES LEAD]])+  SUMIF(Oct_Period_1_Tbl[[#All],[STAFF:]],$A30,Oct_Period_1_Tbl[[#All],['# CLASSES LEAD]])+     SUMIF(Nov_Period_1_Tbl[[#All],[STAFF:]],$A30,Nov_Period_1_Tbl[[#All],['# CLASSES LEAD]])+  SUMIF(Dec_Period_1_Tbl[[#All],[STAFF:]],$A30,Dec_Period_1_Tbl[[#All],['# CLASSES LEAD]]))+   (SUMIF(Jan_Period_2_Tbl[[#All],[STAFF:]],$A30,Jan_Period_2_Tbl[[#All],['# CLASSES LEAD]])+
SUMIF(Feb_Period_2_Tbl[[#All],[STAFF:]],$A30,Feb_Period_2_Tbl[[#All],['# CLASSES LEAD]])+SUMIF(Mar_Period_2_Tbl[[#All],[STAFF:]],$A30,Mar_Period_2_Tbl[[#All],['# CLASSES LEAD]])+SUMIF(Apr_Period_2_Tbl[[#All],[STAFF:]],$A30,Apr_Period_2_Tbl[[#All],['# CLASSES LEAD]])+   SUMIF(May_Period_2_Tbl[[#All],[STAFF:]],$A30,May_Period_2_Tbl[[#All],['# CLASSES LEAD]])+   SUMIF(Jun_Period_2_Tbl[[#All],[STAFF:]],$A30,Jun_Period_2_Tbl[[#All],['# CLASSES LEAD]])+  SUMIF(Jul_Period_2_Tbl[[#All],[STAFF:]],$A30,Jul_Period_2_Tbl[[#All],['# CLASSES LEAD]])+  SUMIF(Aug_Period_2_Tbl[[#All],[STAFF:]],$A30,Aug_Period_2_Tbl[[#All],['# CLASSES LEAD]])+  SUMIF(Sep_Period_2_Tbl[[#All],[STAFF:]],$A30,Sep_Period_2_Tbl[[#All],['# CLASSES LEAD]])+  SUMIF(Oct_Period_2_Tbl[[#All],[STAFF:]],$A30,Oct_Period_2_Tbl[[#All],['# CLASSES LEAD]])+     SUMIF(Nov_Period_2_Tbl[[#All],[STAFF:]],$A30,Nov_Period_2_Tbl[[#All],['# CLASSES LEAD]])+  SUMIF(Dec_Period_2_Tbl[[#All],[STAFF:]],$A30,Dec_Period_2_Tbl[[#All],['# CLASSES LEAD]]))</f>
        <v>0</v>
      </c>
      <c r="U30" s="152">
        <f>(SUMIF(Jan_Period_1_Tbl[[#All],[STAFF:]],$A30,Jan_Period_1_Tbl[[#All],['# CLASSES SHOW]])+
SUMIF(Feb_Period_1_Tbl[[#All],[STAFF:]],$A30,Feb_Period_1_Tbl[[#All],['# CLASSES SHOW]])+SUMIF(Mar_Period_1_Tbl[[#All],[STAFF:]],$A30,Mar_Period_1_Tbl[[#All],['# CLASSES SHOW]])+SUMIF(Apr_Period_1_Tbl[[#All],[STAFF:]],$A30,Apr_Period_1_Tbl[[#All],['# CLASSES SHOW]])+   SUMIF(May_Period_1_Tbl[[#All],[STAFF:]],$A30,May_Period_1_Tbl[[#All],['# CLASSES SHOW]])+   SUMIF(Jun_Period_1_Tbl[[#All],[STAFF:]],$A30,Jun_Period_1_Tbl[[#All],['# CLASSES SHOW]])+  SUMIF(Jul_Period_1_Tbl[[#All],[STAFF:]],$A30,Jul_Period_1_Tbl[[#All],['# CLASSES SHOW]])+  SUMIF(Aug_Period_1_Tbl[[#All],[STAFF:]],$A30,Aug_Period_1_Tbl[[#All],['# CLASSES SHOW]])+  SUMIF(Sep_Period_1_Tbl[[#All],[STAFF:]],$A30,Sep_Period_1_Tbl[[#All],['# CLASSES SHOW]])+  SUMIF(Oct_Period_1_Tbl[[#All],[STAFF:]],$A30,Oct_Period_1_Tbl[[#All],['# CLASSES SHOW]])+     SUMIF(Nov_Period_1_Tbl[[#All],[STAFF:]],$A30,Nov_Period_1_Tbl[[#All],['# CLASSES SHOW]])+  SUMIF(Dec_Period_1_Tbl[[#All],[STAFF:]],$A30,Dec_Period_1_Tbl[[#All],['# CLASSES SHOW]]))+   (SUMIF(Jan_Period_2_Tbl[[#All],[STAFF:]],$A30,Jan_Period_2_Tbl[[#All],['# CLASSES SHOW]])+
SUMIF(Feb_Period_2_Tbl[[#All],[STAFF:]],$A30,Feb_Period_2_Tbl[[#All],['# CLASSES SHOW]])+SUMIF(Mar_Period_2_Tbl[[#All],[STAFF:]],$A30,Mar_Period_2_Tbl[[#All],['# CLASSES SHOW]])+SUMIF(Apr_Period_2_Tbl[[#All],[STAFF:]],$A30,Apr_Period_2_Tbl[[#All],['# CLASSES SHOW]])+   SUMIF(May_Period_2_Tbl[[#All],[STAFF:]],$A30,May_Period_2_Tbl[[#All],['# CLASSES SHOW]])+   SUMIF(Jun_Period_2_Tbl[[#All],[STAFF:]],$A30,Jun_Period_2_Tbl[[#All],['# CLASSES SHOW]])+  SUMIF(Jul_Period_2_Tbl[[#All],[STAFF:]],$A30,Jul_Period_2_Tbl[[#All],['# CLASSES SHOW]])+  SUMIF(Aug_Period_2_Tbl[[#All],[STAFF:]],$A30,Aug_Period_2_Tbl[[#All],['# CLASSES SHOW]])+  SUMIF(Sep_Period_2_Tbl[[#All],[STAFF:]],$A30,Sep_Period_2_Tbl[[#All],['# CLASSES SHOW]])+  SUMIF(Oct_Period_2_Tbl[[#All],[STAFF:]],$A30,Oct_Period_2_Tbl[[#All],['# CLASSES SHOW]])+     SUMIF(Nov_Period_2_Tbl[[#All],[STAFF:]],$A30,Nov_Period_2_Tbl[[#All],['# CLASSES SHOW]])+  SUMIF(Dec_Period_2_Tbl[[#All],[STAFF:]],$A30,Dec_Period_2_Tbl[[#All],['# CLASSES SHOW]]))</f>
        <v>0</v>
      </c>
      <c r="V30" s="156"/>
      <c r="W30" s="156"/>
      <c r="X30" s="154">
        <f t="shared" si="1"/>
        <v>0</v>
      </c>
      <c r="Y30" s="154">
        <f t="shared" si="2"/>
        <v>0</v>
      </c>
      <c r="Z30" s="154">
        <f t="shared" si="3"/>
        <v>0</v>
      </c>
      <c r="AA30" s="154">
        <f t="shared" si="4"/>
        <v>0</v>
      </c>
      <c r="AB30" s="154">
        <f t="shared" si="5"/>
        <v>0</v>
      </c>
      <c r="AC30" s="154">
        <f t="shared" si="6"/>
        <v>0</v>
      </c>
      <c r="AD30" s="154">
        <f t="shared" si="7"/>
        <v>0</v>
      </c>
      <c r="AE30" s="149"/>
      <c r="AF30" s="149"/>
      <c r="AG30" s="149"/>
      <c r="AH30" s="149"/>
      <c r="AJ30" s="75" t="str">
        <f t="shared" si="8"/>
        <v>zBlank</v>
      </c>
      <c r="AK30" s="210"/>
      <c r="AL30" s="168">
        <f>IFERROR(VLOOKUP(B30,List!$A:$B,2,FALSE),-1)</f>
        <v>-1</v>
      </c>
      <c r="AM30" s="168">
        <f>IFERROR(VLOOKUP(C30,List!$A:$B,2,FALSE),-1)</f>
        <v>-1</v>
      </c>
    </row>
    <row r="31" spans="1:39" ht="15" hidden="1" customHeight="1" x14ac:dyDescent="0.25">
      <c r="A31" s="20"/>
      <c r="B31" s="186"/>
      <c r="C31" s="186"/>
      <c r="D31" s="187"/>
      <c r="E31" s="188">
        <f>(SUMIF(Jan_Period_1_Tbl[[#All],[STAFF:]],$A31,Jan_Period_1_Tbl[[#All],['# PTO USED]])+
SUMIF(Feb_Period_1_Tbl[[#All],[STAFF:]],$A31,Feb_Period_1_Tbl[[#All],['# PTO USED]])+SUMIF(Mar_Period_1_Tbl[[#All],[STAFF:]],$A31,Mar_Period_1_Tbl[[#All],['# PTO USED]])+SUMIF(Apr_Period_1_Tbl[[#All],[STAFF:]],$A31,Apr_Period_1_Tbl[[#All],['# PTO USED]])+   SUMIF(May_Period_1_Tbl[[#All],[STAFF:]],$A31,May_Period_1_Tbl[[#All],['# PTO USED]])+   SUMIF(Jun_Period_1_Tbl[[#All],[STAFF:]],$A31,Jun_Period_1_Tbl[[#All],['# PTO USED]])+  SUMIF(Jul_Period_1_Tbl[[#All],[STAFF:]],$A31,Jul_Period_1_Tbl[[#All],['# PTO USED]])+  SUMIF(Aug_Period_1_Tbl[[#All],[STAFF:]],$A31,Aug_Period_1_Tbl[[#All],['# PTO USED]])+  SUMIF(Sep_Period_1_Tbl[[#All],[STAFF:]],$A31,Sep_Period_1_Tbl[[#All],['# PTO USED]])+  SUMIF(Oct_Period_1_Tbl[[#All],[STAFF:]],$A31,Oct_Period_1_Tbl[[#All],['# PTO USED]])+     SUMIF(Nov_Period_1_Tbl[[#All],[STAFF:]],$A31,Nov_Period_1_Tbl[[#All],['# PTO USED]])+  SUMIF(Dec_Period_1_Tbl[[#All],[STAFF:]],$A31,Dec_Period_1_Tbl[[#All],['# PTO USED]]))+   (SUMIF(Jan_Period_2_Tbl[[#All],[STAFF:]],$A31,Jan_Period_2_Tbl[[#All],['# PTO USED]])+
SUMIF(Feb_Period_2_Tbl[[#All],[STAFF:]],$A31,Feb_Period_2_Tbl[[#All],['# PTO USED]])+SUMIF(Mar_Period_2_Tbl[[#All],[STAFF:]],$A31,Mar_Period_2_Tbl[[#All],['# PTO USED]])+SUMIF(Apr_Period_2_Tbl[[#All],[STAFF:]],$A31,Apr_Period_2_Tbl[[#All],['# PTO USED]])+   SUMIF(May_Period_2_Tbl[[#All],[STAFF:]],$A31,May_Period_2_Tbl[[#All],['# PTO USED]])+   SUMIF(Jun_Period_2_Tbl[[#All],[STAFF:]],$A31,Jun_Period_2_Tbl[[#All],['# PTO USED]])+  SUMIF(Jul_Period_2_Tbl[[#All],[STAFF:]],$A31,Jul_Period_2_Tbl[[#All],['# PTO USED]])+  SUMIF(Aug_Period_2_Tbl[[#All],[STAFF:]],$A31,Aug_Period_2_Tbl[[#All],['# PTO USED]])+  SUMIF(Sep_Period_2_Tbl[[#All],[STAFF:]],$A31,Sep_Period_2_Tbl[[#All],['# PTO USED]])+  SUMIF(Oct_Period_2_Tbl[[#All],[STAFF:]],$A31,Oct_Period_2_Tbl[[#All],['# PTO USED]])+     SUMIF(Nov_Period_2_Tbl[[#All],[STAFF:]],$A31,Nov_Period_2_Tbl[[#All],['# PTO USED]])+  SUMIF(Dec_Period_2_Tbl[[#All],[STAFF:]],$A31,Dec_Period_2_Tbl[[#All],['# PTO USED]]))</f>
        <v>0</v>
      </c>
      <c r="F31" s="189">
        <f>(SUMIF(Jan_Period_1_Tbl[[#All],[STAFF:]],$A31,Jan_Period_1_Tbl[[#All],['# HRS WORKED]])+
SUMIF(Feb_Period_1_Tbl[[#All],[STAFF:]],$A31,Feb_Period_1_Tbl[[#All],['# HRS WORKED]])+SUMIF(Mar_Period_1_Tbl[[#All],[STAFF:]],$A31,Mar_Period_1_Tbl[[#All],['# HRS WORKED]])+SUMIF(Apr_Period_1_Tbl[[#All],[STAFF:]],$A31,Apr_Period_1_Tbl[[#All],['# HRS WORKED]])+   SUMIF(May_Period_1_Tbl[[#All],[STAFF:]],$A31,May_Period_1_Tbl[[#All],['# HRS WORKED]])+   SUMIF(Jun_Period_1_Tbl[[#All],[STAFF:]],$A31,Jun_Period_1_Tbl[[#All],['# HRS WORKED]])+  SUMIF(Jul_Period_1_Tbl[[#All],[STAFF:]],$A31,Jul_Period_1_Tbl[[#All],['# HRS WORKED]])+  SUMIF(Aug_Period_1_Tbl[[#All],[STAFF:]],$A31,Aug_Period_1_Tbl[[#All],['# HRS WORKED]])+  SUMIF(Sep_Period_1_Tbl[[#All],[STAFF:]],$A31,Sep_Period_1_Tbl[[#All],['# HRS WORKED]])+  SUMIF(Oct_Period_1_Tbl[[#All],[STAFF:]],$A31,Oct_Period_1_Tbl[[#All],['# HRS WORKED]])+     SUMIF(Nov_Period_1_Tbl[[#All],[STAFF:]],$A31,Nov_Period_1_Tbl[[#All],['# HRS WORKED]])+  SUMIF(Dec_Period_1_Tbl[[#All],[STAFF:]],$A31,Dec_Period_1_Tbl[[#All],['# HRS WORKED]]))+   (SUMIF(Jan_Period_2_Tbl[[#All],[STAFF:]],$A31,Jan_Period_2_Tbl[[#All],['# HRS WORKED]])+
SUMIF(Feb_Period_2_Tbl[[#All],[STAFF:]],$A31,Feb_Period_2_Tbl[[#All],['# HRS WORKED]])+SUMIF(Mar_Period_2_Tbl[[#All],[STAFF:]],$A31,Mar_Period_2_Tbl[[#All],['# HRS WORKED]])+SUMIF(Apr_Period_2_Tbl[[#All],[STAFF:]],$A31,Apr_Period_2_Tbl[[#All],['# HRS WORKED]])+   SUMIF(May_Period_2_Tbl[[#All],[STAFF:]],$A31,May_Period_2_Tbl[[#All],['# HRS WORKED]])+   SUMIF(Jun_Period_2_Tbl[[#All],[STAFF:]],$A31,Jun_Period_2_Tbl[[#All],['# HRS WORKED]])+  SUMIF(Jul_Period_2_Tbl[[#All],[STAFF:]],$A31,Jul_Period_2_Tbl[[#All],['# HRS WORKED]])+  SUMIF(Aug_Period_2_Tbl[[#All],[STAFF:]],$A31,Aug_Period_2_Tbl[[#All],['# HRS WORKED]])+  SUMIF(Sep_Period_2_Tbl[[#All],[STAFF:]],$A31,Sep_Period_2_Tbl[[#All],['# HRS WORKED]])+  SUMIF(Oct_Period_2_Tbl[[#All],[STAFF:]],$A31,Oct_Period_2_Tbl[[#All],['# HRS WORKED]])+     SUMIF(Nov_Period_2_Tbl[[#All],[STAFF:]],$A31,Nov_Period_2_Tbl[[#All],['# HRS WORKED]])+  SUMIF(Dec_Period_2_Tbl[[#All],[STAFF:]],$A31,Dec_Period_2_Tbl[[#All],['# HRS WORKED]]))</f>
        <v>0</v>
      </c>
      <c r="G31" s="190">
        <f>(SUMIF(Jan_Period_1_Tbl[[#All],[STAFF:]],$A31,Jan_Period_1_Tbl[[#All],[$ Hourly WAGES]])+
SUMIF(Feb_Period_1_Tbl[[#All],[STAFF:]],$A31,Feb_Period_1_Tbl[[#All],[$ Hourly WAGES]])+SUMIF(Mar_Period_1_Tbl[[#All],[STAFF:]],$A31,Mar_Period_1_Tbl[[#All],[$ Hourly WAGES]])+SUMIF(Apr_Period_1_Tbl[[#All],[STAFF:]],$A31,Apr_Period_1_Tbl[[#All],[$ Hourly WAGES]])+   SUMIF(May_Period_1_Tbl[[#All],[STAFF:]],$A31,May_Period_1_Tbl[[#All],[$ Hourly WAGES]])+   SUMIF(Jun_Period_1_Tbl[[#All],[STAFF:]],$A31,Jun_Period_1_Tbl[[#All],[$ Hourly WAGES]])+  SUMIF(Jul_Period_1_Tbl[[#All],[STAFF:]],$A31,Jul_Period_1_Tbl[[#All],[$ Hourly WAGES]])+  SUMIF(Aug_Period_1_Tbl[[#All],[STAFF:]],$A31,Aug_Period_1_Tbl[[#All],[$ Hourly WAGES]])+  SUMIF(Sep_Period_1_Tbl[[#All],[STAFF:]],$A31,Sep_Period_1_Tbl[[#All],[$ Hourly WAGES]])+  SUMIF(Oct_Period_1_Tbl[[#All],[STAFF:]],$A31,Oct_Period_1_Tbl[[#All],[$ Hourly WAGES]])+     SUMIF(Nov_Period_1_Tbl[[#All],[STAFF:]],$A31,Nov_Period_1_Tbl[[#All],[$ Hourly WAGES]])+  SUMIF(Dec_Period_1_Tbl[[#All],[STAFF:]],$A31,Dec_Period_1_Tbl[[#All],[$ Hourly WAGES]]))+   (SUMIF(Jan_Period_2_Tbl[[#All],[STAFF:]],$A31,Jan_Period_2_Tbl[[#All],[$ Hourly WAGES]])+
SUMIF(Feb_Period_2_Tbl[[#All],[STAFF:]],$A31,Feb_Period_2_Tbl[[#All],[$ Hourly WAGES]])+SUMIF(Mar_Period_2_Tbl[[#All],[STAFF:]],$A31,Mar_Period_2_Tbl[[#All],[$ Hourly WAGES]])+SUMIF(Apr_Period_2_Tbl[[#All],[STAFF:]],$A31,Apr_Period_2_Tbl[[#All],[$ Hourly WAGES]])+   SUMIF(May_Period_2_Tbl[[#All],[STAFF:]],$A31,May_Period_2_Tbl[[#All],[$ Hourly WAGES]])+   SUMIF(Jun_Period_2_Tbl[[#All],[STAFF:]],$A31,Jun_Period_2_Tbl[[#All],[$ Hourly WAGES]])+  SUMIF(Jul_Period_2_Tbl[[#All],[STAFF:]],$A31,Jul_Period_2_Tbl[[#All],[$ Hourly WAGES]])+  SUMIF(Aug_Period_2_Tbl[[#All],[STAFF:]],$A31,Aug_Period_2_Tbl[[#All],[$ Hourly WAGES]])+  SUMIF(Sep_Period_2_Tbl[[#All],[STAFF:]],$A31,Sep_Period_2_Tbl[[#All],[$ Hourly WAGES]])+  SUMIF(Oct_Period_2_Tbl[[#All],[STAFF:]],$A31,Oct_Period_2_Tbl[[#All],[$ Hourly WAGES]])+     SUMIF(Nov_Period_2_Tbl[[#All],[STAFF:]],$A31,Nov_Period_2_Tbl[[#All],[$ Hourly WAGES]])+  SUMIF(Dec_Period_2_Tbl[[#All],[STAFF:]],$A31,Dec_Period_2_Tbl[[#All],[$ Hourly WAGES]]))</f>
        <v>0</v>
      </c>
      <c r="H31" s="190">
        <f>(SUMIF(Jan_Period_1_Tbl[[#All],[STAFF:]],$A31,Jan_Period_1_Tbl[[#All],[$ SALARY]])+
SUMIF(Feb_Period_1_Tbl[[#All],[STAFF:]],$A31,Feb_Period_1_Tbl[[#All],[$ SALARY]])+SUMIF(Mar_Period_1_Tbl[[#All],[STAFF:]],$A31,Mar_Period_1_Tbl[[#All],[$ SALARY]])+SUMIF(Apr_Period_1_Tbl[[#All],[STAFF:]],$A31,Apr_Period_1_Tbl[[#All],[$ SALARY]])+   SUMIF(May_Period_1_Tbl[[#All],[STAFF:]],$A31,May_Period_1_Tbl[[#All],[$ SALARY]])+   SUMIF(Jun_Period_1_Tbl[[#All],[STAFF:]],$A31,Jun_Period_1_Tbl[[#All],[$ SALARY]])+  SUMIF(Jul_Period_1_Tbl[[#All],[STAFF:]],$A31,Jul_Period_1_Tbl[[#All],[$ SALARY]])+  SUMIF(Aug_Period_1_Tbl[[#All],[STAFF:]],$A31,Aug_Period_1_Tbl[[#All],[$ SALARY]])+  SUMIF(Sep_Period_1_Tbl[[#All],[STAFF:]],$A31,Sep_Period_1_Tbl[[#All],[$ SALARY]])+  SUMIF(Oct_Period_1_Tbl[[#All],[STAFF:]],$A31,Oct_Period_1_Tbl[[#All],[$ SALARY]])+     SUMIF(Nov_Period_1_Tbl[[#All],[STAFF:]],$A31,Nov_Period_1_Tbl[[#All],[$ SALARY]])+  SUMIF(Dec_Period_1_Tbl[[#All],[STAFF:]],$A31,Dec_Period_1_Tbl[[#All],[$ SALARY]]))+   (SUMIF(Jan_Period_2_Tbl[[#All],[STAFF:]],$A31,Jan_Period_2_Tbl[[#All],[$ SALARY]])+
SUMIF(Feb_Period_2_Tbl[[#All],[STAFF:]],$A31,Feb_Period_2_Tbl[[#All],[$ SALARY]])+SUMIF(Mar_Period_2_Tbl[[#All],[STAFF:]],$A31,Mar_Period_2_Tbl[[#All],[$ SALARY]])+SUMIF(Apr_Period_2_Tbl[[#All],[STAFF:]],$A31,Apr_Period_2_Tbl[[#All],[$ SALARY]])+   SUMIF(May_Period_2_Tbl[[#All],[STAFF:]],$A31,May_Period_2_Tbl[[#All],[$ SALARY]])+   SUMIF(Jun_Period_2_Tbl[[#All],[STAFF:]],$A31,Jun_Period_2_Tbl[[#All],[$ SALARY]])+  SUMIF(Jul_Period_2_Tbl[[#All],[STAFF:]],$A31,Jul_Period_2_Tbl[[#All],[$ SALARY]])+  SUMIF(Aug_Period_2_Tbl[[#All],[STAFF:]],$A31,Aug_Period_2_Tbl[[#All],[$ SALARY]])+  SUMIF(Sep_Period_2_Tbl[[#All],[STAFF:]],$A31,Sep_Period_2_Tbl[[#All],[$ SALARY]])+  SUMIF(Oct_Period_2_Tbl[[#All],[STAFF:]],$A31,Oct_Period_2_Tbl[[#All],[$ SALARY]])+     SUMIF(Nov_Period_2_Tbl[[#All],[STAFF:]],$A31,Nov_Period_2_Tbl[[#All],[$ SALARY]])+  SUMIF(Dec_Period_2_Tbl[[#All],[STAFF:]],$A31,Dec_Period_2_Tbl[[#All],[$ SALARY]]))</f>
        <v>0</v>
      </c>
      <c r="I31" s="190">
        <f>(SUMIF(Jan_Period_1_Tbl[[#All],[STAFF:]],$A31,Jan_Period_1_Tbl[[#All],[$ SALARY PT]])+
SUMIF(Feb_Period_1_Tbl[[#All],[STAFF:]],$A31,Feb_Period_1_Tbl[[#All],[$ SALARY PT]])+SUMIF(Mar_Period_1_Tbl[[#All],[STAFF:]],$A31,Mar_Period_1_Tbl[[#All],[$ SALARY PT]])+SUMIF(Apr_Period_1_Tbl[[#All],[STAFF:]],$A31,Apr_Period_1_Tbl[[#All],[$ SALARY PT]])+   SUMIF(May_Period_1_Tbl[[#All],[STAFF:]],$A31,May_Period_1_Tbl[[#All],[$ SALARY PT]])+   SUMIF(Jun_Period_1_Tbl[[#All],[STAFF:]],$A31,Jun_Period_1_Tbl[[#All],[$ SALARY PT]])+  SUMIF(Jul_Period_1_Tbl[[#All],[STAFF:]],$A31,Jul_Period_1_Tbl[[#All],[$ SALARY PT]])+  SUMIF(Aug_Period_1_Tbl[[#All],[STAFF:]],$A31,Aug_Period_1_Tbl[[#All],[$ SALARY PT]])+  SUMIF(Sep_Period_1_Tbl[[#All],[STAFF:]],$A31,Sep_Period_1_Tbl[[#All],[$ SALARY PT]])+  SUMIF(Oct_Period_1_Tbl[[#All],[STAFF:]],$A31,Oct_Period_1_Tbl[[#All],[$ SALARY PT]])+     SUMIF(Nov_Period_1_Tbl[[#All],[STAFF:]],$A31,Nov_Period_1_Tbl[[#All],[$ SALARY PT]])+  SUMIF(Dec_Period_1_Tbl[[#All],[STAFF:]],$A31,Dec_Period_1_Tbl[[#All],[$ SALARY PT]]))+   (SUMIF(Jan_Period_2_Tbl[[#All],[STAFF:]],$A31,Jan_Period_2_Tbl[[#All],[$ SALARY PT]])+
SUMIF(Feb_Period_2_Tbl[[#All],[STAFF:]],$A31,Feb_Period_2_Tbl[[#All],[$ SALARY PT]])+SUMIF(Mar_Period_2_Tbl[[#All],[STAFF:]],$A31,Mar_Period_2_Tbl[[#All],[$ SALARY PT]])+SUMIF(Apr_Period_2_Tbl[[#All],[STAFF:]],$A31,Apr_Period_2_Tbl[[#All],[$ SALARY PT]])+   SUMIF(May_Period_2_Tbl[[#All],[STAFF:]],$A31,May_Period_2_Tbl[[#All],[$ SALARY PT]])+   SUMIF(Jun_Period_2_Tbl[[#All],[STAFF:]],$A31,Jun_Period_2_Tbl[[#All],[$ SALARY PT]])+  SUMIF(Jul_Period_2_Tbl[[#All],[STAFF:]],$A31,Jul_Period_2_Tbl[[#All],[$ SALARY PT]])+  SUMIF(Aug_Period_2_Tbl[[#All],[STAFF:]],$A31,Aug_Period_2_Tbl[[#All],[$ SALARY PT]])+  SUMIF(Sep_Period_2_Tbl[[#All],[STAFF:]],$A31,Sep_Period_2_Tbl[[#All],[$ SALARY PT]])+  SUMIF(Oct_Period_2_Tbl[[#All],[STAFF:]],$A31,Oct_Period_2_Tbl[[#All],[$ SALARY PT]])+     SUMIF(Nov_Period_2_Tbl[[#All],[STAFF:]],$A31,Nov_Period_2_Tbl[[#All],[$ SALARY PT]])+  SUMIF(Dec_Period_2_Tbl[[#All],[STAFF:]],$A31,Dec_Period_2_Tbl[[#All],[$ SALARY PT]]))</f>
        <v>0</v>
      </c>
      <c r="J31" s="190">
        <f>(SUMIF(Jan_Period_1_Tbl[[#All],[STAFF:]],$A31,Jan_Period_1_Tbl[[#All],[$ FREE PT]])+
SUMIF(Feb_Period_1_Tbl[[#All],[STAFF:]],$A31,Feb_Period_1_Tbl[[#All],[$ FREE PT]])+SUMIF(Mar_Period_1_Tbl[[#All],[STAFF:]],$A31,Mar_Period_1_Tbl[[#All],[$ FREE PT]])+SUMIF(Apr_Period_1_Tbl[[#All],[STAFF:]],$A31,Apr_Period_1_Tbl[[#All],[$ FREE PT]])+   SUMIF(May_Period_1_Tbl[[#All],[STAFF:]],$A31,May_Period_1_Tbl[[#All],[$ FREE PT]])+   SUMIF(Jun_Period_1_Tbl[[#All],[STAFF:]],$A31,Jun_Period_1_Tbl[[#All],[$ FREE PT]])+  SUMIF(Jul_Period_1_Tbl[[#All],[STAFF:]],$A31,Jul_Period_1_Tbl[[#All],[$ FREE PT]])+  SUMIF(Aug_Period_1_Tbl[[#All],[STAFF:]],$A31,Aug_Period_1_Tbl[[#All],[$ FREE PT]])+  SUMIF(Sep_Period_1_Tbl[[#All],[STAFF:]],$A31,Sep_Period_1_Tbl[[#All],[$ FREE PT]])+  SUMIF(Oct_Period_1_Tbl[[#All],[STAFF:]],$A31,Oct_Period_1_Tbl[[#All],[$ FREE PT]])+     SUMIF(Nov_Period_1_Tbl[[#All],[STAFF:]],$A31,Nov_Period_1_Tbl[[#All],[$ FREE PT]])+  SUMIF(Dec_Period_1_Tbl[[#All],[STAFF:]],$A31,Dec_Period_1_Tbl[[#All],[$ FREE PT]]))+   (SUMIF(Jan_Period_2_Tbl[[#All],[STAFF:]],$A31,Jan_Period_2_Tbl[[#All],[$ FREE PT]])+
SUMIF(Feb_Period_2_Tbl[[#All],[STAFF:]],$A31,Feb_Period_2_Tbl[[#All],[$ FREE PT]])+SUMIF(Mar_Period_2_Tbl[[#All],[STAFF:]],$A31,Mar_Period_2_Tbl[[#All],[$ FREE PT]])+SUMIF(Apr_Period_2_Tbl[[#All],[STAFF:]],$A31,Apr_Period_2_Tbl[[#All],[$ FREE PT]])+   SUMIF(May_Period_2_Tbl[[#All],[STAFF:]],$A31,May_Period_2_Tbl[[#All],[$ FREE PT]])+   SUMIF(Jun_Period_2_Tbl[[#All],[STAFF:]],$A31,Jun_Period_2_Tbl[[#All],[$ FREE PT]])+  SUMIF(Jul_Period_2_Tbl[[#All],[STAFF:]],$A31,Jul_Period_2_Tbl[[#All],[$ FREE PT]])+  SUMIF(Aug_Period_2_Tbl[[#All],[STAFF:]],$A31,Aug_Period_2_Tbl[[#All],[$ FREE PT]])+  SUMIF(Sep_Period_2_Tbl[[#All],[STAFF:]],$A31,Sep_Period_2_Tbl[[#All],[$ FREE PT]])+  SUMIF(Oct_Period_2_Tbl[[#All],[STAFF:]],$A31,Oct_Period_2_Tbl[[#All],[$ FREE PT]])+     SUMIF(Nov_Period_2_Tbl[[#All],[STAFF:]],$A31,Nov_Period_2_Tbl[[#All],[$ FREE PT]])+  SUMIF(Dec_Period_2_Tbl[[#All],[STAFF:]],$A31,Dec_Period_2_Tbl[[#All],[$ FREE PT]]))</f>
        <v>0</v>
      </c>
      <c r="K31" s="190">
        <f>(SUMIF(Jan_Period_1_Tbl[[#All],[STAFF:]],$A31,Jan_Period_1_Tbl[[#All],[$ PAID PT]])+
SUMIF(Feb_Period_1_Tbl[[#All],[STAFF:]],$A31,Feb_Period_1_Tbl[[#All],[$ PAID PT]])+SUMIF(Mar_Period_1_Tbl[[#All],[STAFF:]],$A31,Mar_Period_1_Tbl[[#All],[$ PAID PT]])+SUMIF(Apr_Period_1_Tbl[[#All],[STAFF:]],$A31,Apr_Period_1_Tbl[[#All],[$ PAID PT]])+   SUMIF(May_Period_1_Tbl[[#All],[STAFF:]],$A31,May_Period_1_Tbl[[#All],[$ PAID PT]])+   SUMIF(Jun_Period_1_Tbl[[#All],[STAFF:]],$A31,Jun_Period_1_Tbl[[#All],[$ PAID PT]])+  SUMIF(Jul_Period_1_Tbl[[#All],[STAFF:]],$A31,Jul_Period_1_Tbl[[#All],[$ PAID PT]])+  SUMIF(Aug_Period_1_Tbl[[#All],[STAFF:]],$A31,Aug_Period_1_Tbl[[#All],[$ PAID PT]])+  SUMIF(Sep_Period_1_Tbl[[#All],[STAFF:]],$A31,Sep_Period_1_Tbl[[#All],[$ PAID PT]])+  SUMIF(Oct_Period_1_Tbl[[#All],[STAFF:]],$A31,Oct_Period_1_Tbl[[#All],[$ PAID PT]])+     SUMIF(Nov_Period_1_Tbl[[#All],[STAFF:]],$A31,Nov_Period_1_Tbl[[#All],[$ PAID PT]])+  SUMIF(Dec_Period_1_Tbl[[#All],[STAFF:]],$A31,Dec_Period_1_Tbl[[#All],[$ PAID PT]]))+   (SUMIF(Jan_Period_2_Tbl[[#All],[STAFF:]],$A31,Jan_Period_2_Tbl[[#All],[$ PAID PT]])+
SUMIF(Feb_Period_2_Tbl[[#All],[STAFF:]],$A31,Feb_Period_2_Tbl[[#All],[$ PAID PT]])+SUMIF(Mar_Period_2_Tbl[[#All],[STAFF:]],$A31,Mar_Period_2_Tbl[[#All],[$ PAID PT]])+SUMIF(Apr_Period_2_Tbl[[#All],[STAFF:]],$A31,Apr_Period_2_Tbl[[#All],[$ PAID PT]])+   SUMIF(May_Period_2_Tbl[[#All],[STAFF:]],$A31,May_Period_2_Tbl[[#All],[$ PAID PT]])+   SUMIF(Jun_Period_2_Tbl[[#All],[STAFF:]],$A31,Jun_Period_2_Tbl[[#All],[$ PAID PT]])+  SUMIF(Jul_Period_2_Tbl[[#All],[STAFF:]],$A31,Jul_Period_2_Tbl[[#All],[$ PAID PT]])+  SUMIF(Aug_Period_2_Tbl[[#All],[STAFF:]],$A31,Aug_Period_2_Tbl[[#All],[$ PAID PT]])+  SUMIF(Sep_Period_2_Tbl[[#All],[STAFF:]],$A31,Sep_Period_2_Tbl[[#All],[$ PAID PT]])+  SUMIF(Oct_Period_2_Tbl[[#All],[STAFF:]],$A31,Oct_Period_2_Tbl[[#All],[$ PAID PT]])+     SUMIF(Nov_Period_2_Tbl[[#All],[STAFF:]],$A31,Nov_Period_2_Tbl[[#All],[$ PAID PT]])+  SUMIF(Dec_Period_2_Tbl[[#All],[STAFF:]],$A31,Dec_Period_2_Tbl[[#All],[$ PAID PT]]))</f>
        <v>0</v>
      </c>
      <c r="L31" s="190">
        <f>(SUMIF(Jan_Period_1_Tbl[[#All],[STAFF:]],$A31,Jan_Period_1_Tbl[[#All],[$ PT COMM]])+
SUMIF(Feb_Period_1_Tbl[[#All],[STAFF:]],$A31,Feb_Period_1_Tbl[[#All],[$ PT COMM]])+SUMIF(Mar_Period_1_Tbl[[#All],[STAFF:]],$A31,Mar_Period_1_Tbl[[#All],[$ PT COMM]])+SUMIF(Apr_Period_1_Tbl[[#All],[STAFF:]],$A31,Apr_Period_1_Tbl[[#All],[$ PT COMM]])+   SUMIF(May_Period_1_Tbl[[#All],[STAFF:]],$A31,May_Period_1_Tbl[[#All],[$ PT COMM]])+   SUMIF(Jun_Period_1_Tbl[[#All],[STAFF:]],$A31,Jun_Period_1_Tbl[[#All],[$ PT COMM]])+  SUMIF(Jul_Period_1_Tbl[[#All],[STAFF:]],$A31,Jul_Period_1_Tbl[[#All],[$ PT COMM]])+  SUMIF(Aug_Period_1_Tbl[[#All],[STAFF:]],$A31,Aug_Period_1_Tbl[[#All],[$ PT COMM]])+  SUMIF(Sep_Period_1_Tbl[[#All],[STAFF:]],$A31,Sep_Period_1_Tbl[[#All],[$ PT COMM]])+  SUMIF(Oct_Period_1_Tbl[[#All],[STAFF:]],$A31,Oct_Period_1_Tbl[[#All],[$ PT COMM]])+     SUMIF(Nov_Period_1_Tbl[[#All],[STAFF:]],$A31,Nov_Period_1_Tbl[[#All],[$ PT COMM]])+  SUMIF(Dec_Period_1_Tbl[[#All],[STAFF:]],$A31,Dec_Period_1_Tbl[[#All],[$ PT COMM]]))+   (SUMIF(Jan_Period_2_Tbl[[#All],[STAFF:]],$A31,Jan_Period_2_Tbl[[#All],[$ PT COMM]])+
SUMIF(Feb_Period_2_Tbl[[#All],[STAFF:]],$A31,Feb_Period_2_Tbl[[#All],[$ PT COMM]])+SUMIF(Mar_Period_2_Tbl[[#All],[STAFF:]],$A31,Mar_Period_2_Tbl[[#All],[$ PT COMM]])+SUMIF(Apr_Period_2_Tbl[[#All],[STAFF:]],$A31,Apr_Period_2_Tbl[[#All],[$ PT COMM]])+   SUMIF(May_Period_2_Tbl[[#All],[STAFF:]],$A31,May_Period_2_Tbl[[#All],[$ PT COMM]])+   SUMIF(Jun_Period_2_Tbl[[#All],[STAFF:]],$A31,Jun_Period_2_Tbl[[#All],[$ PT COMM]])+  SUMIF(Jul_Period_2_Tbl[[#All],[STAFF:]],$A31,Jul_Period_2_Tbl[[#All],[$ PT COMM]])+  SUMIF(Aug_Period_2_Tbl[[#All],[STAFF:]],$A31,Aug_Period_2_Tbl[[#All],[$ PT COMM]])+  SUMIF(Sep_Period_2_Tbl[[#All],[STAFF:]],$A31,Sep_Period_2_Tbl[[#All],[$ PT COMM]])+  SUMIF(Oct_Period_2_Tbl[[#All],[STAFF:]],$A31,Oct_Period_2_Tbl[[#All],[$ PT COMM]])+     SUMIF(Nov_Period_2_Tbl[[#All],[STAFF:]],$A31,Nov_Period_2_Tbl[[#All],[$ PT COMM]])+  SUMIF(Dec_Period_2_Tbl[[#All],[STAFF:]],$A31,Dec_Period_2_Tbl[[#All],[$ PT COMM]]))</f>
        <v>0</v>
      </c>
      <c r="M31" s="190">
        <f>(SUMIF(Jan_Period_1_Tbl[[#All],[STAFF:]],$A31,Jan_Period_1_Tbl[[#All],[$ EFT COMM]])+
SUMIF(Feb_Period_1_Tbl[[#All],[STAFF:]],$A31,Feb_Period_1_Tbl[[#All],[$ EFT COMM]])+SUMIF(Mar_Period_1_Tbl[[#All],[STAFF:]],$A31,Mar_Period_1_Tbl[[#All],[$ EFT COMM]])+SUMIF(Apr_Period_1_Tbl[[#All],[STAFF:]],$A31,Apr_Period_1_Tbl[[#All],[$ EFT COMM]])+   SUMIF(May_Period_1_Tbl[[#All],[STAFF:]],$A31,May_Period_1_Tbl[[#All],[$ EFT COMM]])+   SUMIF(Jun_Period_1_Tbl[[#All],[STAFF:]],$A31,Jun_Period_1_Tbl[[#All],[$ EFT COMM]])+  SUMIF(Jul_Period_1_Tbl[[#All],[STAFF:]],$A31,Jul_Period_1_Tbl[[#All],[$ EFT COMM]])+  SUMIF(Aug_Period_1_Tbl[[#All],[STAFF:]],$A31,Aug_Period_1_Tbl[[#All],[$ EFT COMM]])+  SUMIF(Sep_Period_1_Tbl[[#All],[STAFF:]],$A31,Sep_Period_1_Tbl[[#All],[$ EFT COMM]])+  SUMIF(Oct_Period_1_Tbl[[#All],[STAFF:]],$A31,Oct_Period_1_Tbl[[#All],[$ EFT COMM]])+     SUMIF(Nov_Period_1_Tbl[[#All],[STAFF:]],$A31,Nov_Period_1_Tbl[[#All],[$ EFT COMM]])+  SUMIF(Dec_Period_1_Tbl[[#All],[STAFF:]],$A31,Dec_Period_1_Tbl[[#All],[$ EFT COMM]]))+   (SUMIF(Jan_Period_2_Tbl[[#All],[STAFF:]],$A31,Jan_Period_2_Tbl[[#All],[$ EFT COMM]])+
SUMIF(Feb_Period_2_Tbl[[#All],[STAFF:]],$A31,Feb_Period_2_Tbl[[#All],[$ EFT COMM]])+SUMIF(Mar_Period_2_Tbl[[#All],[STAFF:]],$A31,Mar_Period_2_Tbl[[#All],[$ EFT COMM]])+SUMIF(Apr_Period_2_Tbl[[#All],[STAFF:]],$A31,Apr_Period_2_Tbl[[#All],[$ EFT COMM]])+   SUMIF(May_Period_2_Tbl[[#All],[STAFF:]],$A31,May_Period_2_Tbl[[#All],[$ EFT COMM]])+   SUMIF(Jun_Period_2_Tbl[[#All],[STAFF:]],$A31,Jun_Period_2_Tbl[[#All],[$ EFT COMM]])+  SUMIF(Jul_Period_2_Tbl[[#All],[STAFF:]],$A31,Jul_Period_2_Tbl[[#All],[$ EFT COMM]])+  SUMIF(Aug_Period_2_Tbl[[#All],[STAFF:]],$A31,Aug_Period_2_Tbl[[#All],[$ EFT COMM]])+  SUMIF(Sep_Period_2_Tbl[[#All],[STAFF:]],$A31,Sep_Period_2_Tbl[[#All],[$ EFT COMM]])+  SUMIF(Oct_Period_2_Tbl[[#All],[STAFF:]],$A31,Oct_Period_2_Tbl[[#All],[$ EFT COMM]])+     SUMIF(Nov_Period_2_Tbl[[#All],[STAFF:]],$A31,Nov_Period_2_Tbl[[#All],[$ EFT COMM]])+  SUMIF(Dec_Period_2_Tbl[[#All],[STAFF:]],$A31,Dec_Period_2_Tbl[[#All],[$ EFT COMM]]))</f>
        <v>0</v>
      </c>
      <c r="N31" s="190">
        <f>(SUMIF(Jan_Period_1_Tbl[[#All],[STAFF:]],$A31,Jan_Period_1_Tbl[[#All],[$ CLASS PAY]])+
SUMIF(Feb_Period_1_Tbl[[#All],[STAFF:]],$A31,Feb_Period_1_Tbl[[#All],[$ CLASS PAY]])+SUMIF(Mar_Period_1_Tbl[[#All],[STAFF:]],$A31,Mar_Period_1_Tbl[[#All],[$ CLASS PAY]])+SUMIF(Apr_Period_1_Tbl[[#All],[STAFF:]],$A31,Apr_Period_1_Tbl[[#All],[$ CLASS PAY]])+   SUMIF(May_Period_1_Tbl[[#All],[STAFF:]],$A31,May_Period_1_Tbl[[#All],[$ CLASS PAY]])+   SUMIF(Jun_Period_1_Tbl[[#All],[STAFF:]],$A31,Jun_Period_1_Tbl[[#All],[$ CLASS PAY]])+  SUMIF(Jul_Period_1_Tbl[[#All],[STAFF:]],$A31,Jul_Period_1_Tbl[[#All],[$ CLASS PAY]])+  SUMIF(Aug_Period_1_Tbl[[#All],[STAFF:]],$A31,Aug_Period_1_Tbl[[#All],[$ CLASS PAY]])+  SUMIF(Sep_Period_1_Tbl[[#All],[STAFF:]],$A31,Sep_Period_1_Tbl[[#All],[$ CLASS PAY]])+  SUMIF(Oct_Period_1_Tbl[[#All],[STAFF:]],$A31,Oct_Period_1_Tbl[[#All],[$ CLASS PAY]])+     SUMIF(Nov_Period_1_Tbl[[#All],[STAFF:]],$A31,Nov_Period_1_Tbl[[#All],[$ CLASS PAY]])+  SUMIF(Dec_Period_1_Tbl[[#All],[STAFF:]],$A31,Dec_Period_1_Tbl[[#All],[$ CLASS PAY]]))+   (SUMIF(Jan_Period_2_Tbl[[#All],[STAFF:]],$A31,Jan_Period_2_Tbl[[#All],[$ CLASS PAY]])+
SUMIF(Feb_Period_2_Tbl[[#All],[STAFF:]],$A31,Feb_Period_2_Tbl[[#All],[$ CLASS PAY]])+SUMIF(Mar_Period_2_Tbl[[#All],[STAFF:]],$A31,Mar_Period_2_Tbl[[#All],[$ CLASS PAY]])+SUMIF(Apr_Period_2_Tbl[[#All],[STAFF:]],$A31,Apr_Period_2_Tbl[[#All],[$ CLASS PAY]])+   SUMIF(May_Period_2_Tbl[[#All],[STAFF:]],$A31,May_Period_2_Tbl[[#All],[$ CLASS PAY]])+   SUMIF(Jun_Period_2_Tbl[[#All],[STAFF:]],$A31,Jun_Period_2_Tbl[[#All],[$ CLASS PAY]])+  SUMIF(Jul_Period_2_Tbl[[#All],[STAFF:]],$A31,Jul_Period_2_Tbl[[#All],[$ CLASS PAY]])+  SUMIF(Aug_Period_2_Tbl[[#All],[STAFF:]],$A31,Aug_Period_2_Tbl[[#All],[$ CLASS PAY]])+  SUMIF(Sep_Period_2_Tbl[[#All],[STAFF:]],$A31,Sep_Period_2_Tbl[[#All],[$ CLASS PAY]])+  SUMIF(Oct_Period_2_Tbl[[#All],[STAFF:]],$A31,Oct_Period_2_Tbl[[#All],[$ CLASS PAY]])+     SUMIF(Nov_Period_2_Tbl[[#All],[STAFF:]],$A31,Nov_Period_2_Tbl[[#All],[$ CLASS PAY]])+  SUMIF(Dec_Period_2_Tbl[[#All],[STAFF:]],$A31,Dec_Period_2_Tbl[[#All],[$ CLASS PAY]]))</f>
        <v>0</v>
      </c>
      <c r="O31" s="191">
        <f>(SUMIF(Jan_Period_1_Tbl[[#All],[STAFF:]],$A31,Jan_Period_1_Tbl[[#All],[$ BONUS PAY]])+
SUMIF(Feb_Period_1_Tbl[[#All],[STAFF:]],$A31,Feb_Period_1_Tbl[[#All],[$ BONUS PAY]])+SUMIF(Mar_Period_1_Tbl[[#All],[STAFF:]],$A31,Mar_Period_1_Tbl[[#All],[$ BONUS PAY]])+SUMIF(Apr_Period_1_Tbl[[#All],[STAFF:]],$A31,Apr_Period_1_Tbl[[#All],[$ BONUS PAY]])+   SUMIF(May_Period_1_Tbl[[#All],[STAFF:]],$A31,May_Period_1_Tbl[[#All],[$ BONUS PAY]])+   SUMIF(Jun_Period_1_Tbl[[#All],[STAFF:]],$A31,Jun_Period_1_Tbl[[#All],[$ BONUS PAY]])+  SUMIF(Jul_Period_1_Tbl[[#All],[STAFF:]],$A31,Jul_Period_1_Tbl[[#All],[$ BONUS PAY]])+  SUMIF(Aug_Period_1_Tbl[[#All],[STAFF:]],$A31,Aug_Period_1_Tbl[[#All],[$ BONUS PAY]])+  SUMIF(Sep_Period_1_Tbl[[#All],[STAFF:]],$A31,Sep_Period_1_Tbl[[#All],[$ BONUS PAY]])+  SUMIF(Oct_Period_1_Tbl[[#All],[STAFF:]],$A31,Oct_Period_1_Tbl[[#All],[$ BONUS PAY]])+     SUMIF(Nov_Period_1_Tbl[[#All],[STAFF:]],$A31,Nov_Period_1_Tbl[[#All],[$ BONUS PAY]])+  SUMIF(Dec_Period_1_Tbl[[#All],[STAFF:]],$A31,Dec_Period_1_Tbl[[#All],[$ BONUS PAY]]))+   (SUMIF(Jan_Period_2_Tbl[[#All],[STAFF:]],$A31,Jan_Period_2_Tbl[[#All],[$ BONUS PAY]])+
SUMIF(Feb_Period_2_Tbl[[#All],[STAFF:]],$A31,Feb_Period_2_Tbl[[#All],[$ BONUS PAY]])+SUMIF(Mar_Period_2_Tbl[[#All],[STAFF:]],$A31,Mar_Period_2_Tbl[[#All],[$ BONUS PAY]])+SUMIF(Apr_Period_2_Tbl[[#All],[STAFF:]],$A31,Apr_Period_2_Tbl[[#All],[$ BONUS PAY]])+   SUMIF(May_Period_2_Tbl[[#All],[STAFF:]],$A31,May_Period_2_Tbl[[#All],[$ BONUS PAY]])+   SUMIF(Jun_Period_2_Tbl[[#All],[STAFF:]],$A31,Jun_Period_2_Tbl[[#All],[$ BONUS PAY]])+  SUMIF(Jul_Period_2_Tbl[[#All],[STAFF:]],$A31,Jul_Period_2_Tbl[[#All],[$ BONUS PAY]])+  SUMIF(Aug_Period_2_Tbl[[#All],[STAFF:]],$A31,Aug_Period_2_Tbl[[#All],[$ BONUS PAY]])+  SUMIF(Sep_Period_2_Tbl[[#All],[STAFF:]],$A31,Sep_Period_2_Tbl[[#All],[$ BONUS PAY]])+  SUMIF(Oct_Period_2_Tbl[[#All],[STAFF:]],$A31,Oct_Period_2_Tbl[[#All],[$ BONUS PAY]])+     SUMIF(Nov_Period_2_Tbl[[#All],[STAFF:]],$A31,Nov_Period_2_Tbl[[#All],[$ BONUS PAY]])+  SUMIF(Dec_Period_2_Tbl[[#All],[STAFF:]],$A31,Dec_Period_2_Tbl[[#All],[$ BONUS PAY]]))</f>
        <v>0</v>
      </c>
      <c r="P31" s="179">
        <f t="shared" si="0"/>
        <v>0</v>
      </c>
      <c r="Q31" s="149"/>
      <c r="R31" s="153">
        <f>(SUMIF(Jan_Period_1_Tbl[[#All],[STAFF:]],$A31,Jan_Period_1_Tbl[[#All],['# POINTS EARNED]])+
SUMIF(Feb_Period_1_Tbl[[#All],[STAFF:]],$A31,Feb_Period_1_Tbl[[#All],['# POINTS EARNED]])+SUMIF(Mar_Period_1_Tbl[[#All],[STAFF:]],$A31,Mar_Period_1_Tbl[[#All],['# POINTS EARNED]])+SUMIF(Apr_Period_1_Tbl[[#All],[STAFF:]],$A31,Apr_Period_1_Tbl[[#All],['# POINTS EARNED]])+   SUMIF(May_Period_1_Tbl[[#All],[STAFF:]],$A31,May_Period_1_Tbl[[#All],['# POINTS EARNED]])+   SUMIF(Jun_Period_1_Tbl[[#All],[STAFF:]],$A31,Jun_Period_1_Tbl[[#All],['# POINTS EARNED]])+  SUMIF(Jul_Period_1_Tbl[[#All],[STAFF:]],$A31,Jul_Period_1_Tbl[[#All],['# POINTS EARNED]])+  SUMIF(Aug_Period_1_Tbl[[#All],[STAFF:]],$A31,Aug_Period_1_Tbl[[#All],['# POINTS EARNED]])+  SUMIF(Sep_Period_1_Tbl[[#All],[STAFF:]],$A31,Sep_Period_1_Tbl[[#All],['# POINTS EARNED]])+  SUMIF(Oct_Period_1_Tbl[[#All],[STAFF:]],$A31,Oct_Period_1_Tbl[[#All],['# POINTS EARNED]])+     SUMIF(Nov_Period_1_Tbl[[#All],[STAFF:]],$A31,Nov_Period_1_Tbl[[#All],['# POINTS EARNED]])+  SUMIF(Dec_Period_1_Tbl[[#All],[STAFF:]],$A31,Dec_Period_1_Tbl[[#All],['# POINTS EARNED]]))+   (SUMIF(Jan_Period_2_Tbl[[#All],[STAFF:]],$A31,Jan_Period_2_Tbl[[#All],['# POINTS EARNED]])+
SUMIF(Feb_Period_2_Tbl[[#All],[STAFF:]],$A31,Feb_Period_2_Tbl[[#All],['# POINTS EARNED]])+SUMIF(Mar_Period_2_Tbl[[#All],[STAFF:]],$A31,Mar_Period_2_Tbl[[#All],['# POINTS EARNED]])+SUMIF(Apr_Period_2_Tbl[[#All],[STAFF:]],$A31,Apr_Period_2_Tbl[[#All],['# POINTS EARNED]])+   SUMIF(May_Period_2_Tbl[[#All],[STAFF:]],$A31,May_Period_2_Tbl[[#All],['# POINTS EARNED]])+   SUMIF(Jun_Period_2_Tbl[[#All],[STAFF:]],$A31,Jun_Period_2_Tbl[[#All],['# POINTS EARNED]])+  SUMIF(Jul_Period_2_Tbl[[#All],[STAFF:]],$A31,Jul_Period_2_Tbl[[#All],['# POINTS EARNED]])+  SUMIF(Aug_Period_2_Tbl[[#All],[STAFF:]],$A31,Aug_Period_2_Tbl[[#All],['# POINTS EARNED]])+  SUMIF(Sep_Period_2_Tbl[[#All],[STAFF:]],$A31,Sep_Period_2_Tbl[[#All],['# POINTS EARNED]])+  SUMIF(Oct_Period_2_Tbl[[#All],[STAFF:]],$A31,Oct_Period_2_Tbl[[#All],['# POINTS EARNED]])+     SUMIF(Nov_Period_2_Tbl[[#All],[STAFF:]],$A31,Nov_Period_2_Tbl[[#All],['# POINTS EARNED]])+  SUMIF(Dec_Period_2_Tbl[[#All],[STAFF:]],$A31,Dec_Period_2_Tbl[[#All],['# POINTS EARNED]]))</f>
        <v>0</v>
      </c>
      <c r="S31" s="153">
        <f>(SUMIF(Jan_Period_1_Tbl[[#All],[STAFF:]],$A31,Jan_Period_1_Tbl[[#All],['# POINTS USED]])+
SUMIF(Feb_Period_1_Tbl[[#All],[STAFF:]],$A31,Feb_Period_1_Tbl[[#All],['# POINTS USED]])+SUMIF(Mar_Period_1_Tbl[[#All],[STAFF:]],$A31,Mar_Period_1_Tbl[[#All],['# POINTS USED]])+SUMIF(Apr_Period_1_Tbl[[#All],[STAFF:]],$A31,Apr_Period_1_Tbl[[#All],['# POINTS USED]])+   SUMIF(May_Period_1_Tbl[[#All],[STAFF:]],$A31,May_Period_1_Tbl[[#All],['# POINTS USED]])+   SUMIF(Jun_Period_1_Tbl[[#All],[STAFF:]],$A31,Jun_Period_1_Tbl[[#All],['# POINTS USED]])+  SUMIF(Jul_Period_1_Tbl[[#All],[STAFF:]],$A31,Jul_Period_1_Tbl[[#All],['# POINTS USED]])+  SUMIF(Aug_Period_1_Tbl[[#All],[STAFF:]],$A31,Aug_Period_1_Tbl[[#All],['# POINTS USED]])+  SUMIF(Sep_Period_1_Tbl[[#All],[STAFF:]],$A31,Sep_Period_1_Tbl[[#All],['# POINTS USED]])+  SUMIF(Oct_Period_1_Tbl[[#All],[STAFF:]],$A31,Oct_Period_1_Tbl[[#All],['# POINTS USED]])+     SUMIF(Nov_Period_1_Tbl[[#All],[STAFF:]],$A31,Nov_Period_1_Tbl[[#All],['# POINTS USED]])+  SUMIF(Dec_Period_1_Tbl[[#All],[STAFF:]],$A31,Dec_Period_1_Tbl[[#All],['# POINTS USED]]))+   (SUMIF(Jan_Period_2_Tbl[[#All],[STAFF:]],$A31,Jan_Period_2_Tbl[[#All],['# POINTS USED]])+
SUMIF(Feb_Period_2_Tbl[[#All],[STAFF:]],$A31,Feb_Period_2_Tbl[[#All],['# POINTS USED]])+SUMIF(Mar_Period_2_Tbl[[#All],[STAFF:]],$A31,Mar_Period_2_Tbl[[#All],['# POINTS USED]])+SUMIF(Apr_Period_2_Tbl[[#All],[STAFF:]],$A31,Apr_Period_2_Tbl[[#All],['# POINTS USED]])+   SUMIF(May_Period_2_Tbl[[#All],[STAFF:]],$A31,May_Period_2_Tbl[[#All],['# POINTS USED]])+   SUMIF(Jun_Period_2_Tbl[[#All],[STAFF:]],$A31,Jun_Period_2_Tbl[[#All],['# POINTS USED]])+  SUMIF(Jul_Period_2_Tbl[[#All],[STAFF:]],$A31,Jul_Period_2_Tbl[[#All],['# POINTS USED]])+  SUMIF(Aug_Period_2_Tbl[[#All],[STAFF:]],$A31,Aug_Period_2_Tbl[[#All],['# POINTS USED]])+  SUMIF(Sep_Period_2_Tbl[[#All],[STAFF:]],$A31,Sep_Period_2_Tbl[[#All],['# POINTS USED]])+  SUMIF(Oct_Period_2_Tbl[[#All],[STAFF:]],$A31,Oct_Period_2_Tbl[[#All],['# POINTS USED]])+     SUMIF(Nov_Period_2_Tbl[[#All],[STAFF:]],$A31,Nov_Period_2_Tbl[[#All],['# POINTS USED]])+  SUMIF(Dec_Period_2_Tbl[[#All],[STAFF:]],$A31,Dec_Period_2_Tbl[[#All],['# POINTS USED]]))</f>
        <v>0</v>
      </c>
      <c r="T31" s="153">
        <f>(SUMIF(Jan_Period_1_Tbl[[#All],[STAFF:]],$A31,Jan_Period_1_Tbl[[#All],['# CLASSES LEAD]])+
SUMIF(Feb_Period_1_Tbl[[#All],[STAFF:]],$A31,Feb_Period_1_Tbl[[#All],['# CLASSES LEAD]])+SUMIF(Mar_Period_1_Tbl[[#All],[STAFF:]],$A31,Mar_Period_1_Tbl[[#All],['# CLASSES LEAD]])+SUMIF(Apr_Period_1_Tbl[[#All],[STAFF:]],$A31,Apr_Period_1_Tbl[[#All],['# CLASSES LEAD]])+   SUMIF(May_Period_1_Tbl[[#All],[STAFF:]],$A31,May_Period_1_Tbl[[#All],['# CLASSES LEAD]])+   SUMIF(Jun_Period_1_Tbl[[#All],[STAFF:]],$A31,Jun_Period_1_Tbl[[#All],['# CLASSES LEAD]])+  SUMIF(Jul_Period_1_Tbl[[#All],[STAFF:]],$A31,Jul_Period_1_Tbl[[#All],['# CLASSES LEAD]])+  SUMIF(Aug_Period_1_Tbl[[#All],[STAFF:]],$A31,Aug_Period_1_Tbl[[#All],['# CLASSES LEAD]])+  SUMIF(Sep_Period_1_Tbl[[#All],[STAFF:]],$A31,Sep_Period_1_Tbl[[#All],['# CLASSES LEAD]])+  SUMIF(Oct_Period_1_Tbl[[#All],[STAFF:]],$A31,Oct_Period_1_Tbl[[#All],['# CLASSES LEAD]])+     SUMIF(Nov_Period_1_Tbl[[#All],[STAFF:]],$A31,Nov_Period_1_Tbl[[#All],['# CLASSES LEAD]])+  SUMIF(Dec_Period_1_Tbl[[#All],[STAFF:]],$A31,Dec_Period_1_Tbl[[#All],['# CLASSES LEAD]]))+   (SUMIF(Jan_Period_2_Tbl[[#All],[STAFF:]],$A31,Jan_Period_2_Tbl[[#All],['# CLASSES LEAD]])+
SUMIF(Feb_Period_2_Tbl[[#All],[STAFF:]],$A31,Feb_Period_2_Tbl[[#All],['# CLASSES LEAD]])+SUMIF(Mar_Period_2_Tbl[[#All],[STAFF:]],$A31,Mar_Period_2_Tbl[[#All],['# CLASSES LEAD]])+SUMIF(Apr_Period_2_Tbl[[#All],[STAFF:]],$A31,Apr_Period_2_Tbl[[#All],['# CLASSES LEAD]])+   SUMIF(May_Period_2_Tbl[[#All],[STAFF:]],$A31,May_Period_2_Tbl[[#All],['# CLASSES LEAD]])+   SUMIF(Jun_Period_2_Tbl[[#All],[STAFF:]],$A31,Jun_Period_2_Tbl[[#All],['# CLASSES LEAD]])+  SUMIF(Jul_Period_2_Tbl[[#All],[STAFF:]],$A31,Jul_Period_2_Tbl[[#All],['# CLASSES LEAD]])+  SUMIF(Aug_Period_2_Tbl[[#All],[STAFF:]],$A31,Aug_Period_2_Tbl[[#All],['# CLASSES LEAD]])+  SUMIF(Sep_Period_2_Tbl[[#All],[STAFF:]],$A31,Sep_Period_2_Tbl[[#All],['# CLASSES LEAD]])+  SUMIF(Oct_Period_2_Tbl[[#All],[STAFF:]],$A31,Oct_Period_2_Tbl[[#All],['# CLASSES LEAD]])+     SUMIF(Nov_Period_2_Tbl[[#All],[STAFF:]],$A31,Nov_Period_2_Tbl[[#All],['# CLASSES LEAD]])+  SUMIF(Dec_Period_2_Tbl[[#All],[STAFF:]],$A31,Dec_Period_2_Tbl[[#All],['# CLASSES LEAD]]))</f>
        <v>0</v>
      </c>
      <c r="U31" s="153">
        <f>(SUMIF(Jan_Period_1_Tbl[[#All],[STAFF:]],$A31,Jan_Period_1_Tbl[[#All],['# CLASSES SHOW]])+
SUMIF(Feb_Period_1_Tbl[[#All],[STAFF:]],$A31,Feb_Period_1_Tbl[[#All],['# CLASSES SHOW]])+SUMIF(Mar_Period_1_Tbl[[#All],[STAFF:]],$A31,Mar_Period_1_Tbl[[#All],['# CLASSES SHOW]])+SUMIF(Apr_Period_1_Tbl[[#All],[STAFF:]],$A31,Apr_Period_1_Tbl[[#All],['# CLASSES SHOW]])+   SUMIF(May_Period_1_Tbl[[#All],[STAFF:]],$A31,May_Period_1_Tbl[[#All],['# CLASSES SHOW]])+   SUMIF(Jun_Period_1_Tbl[[#All],[STAFF:]],$A31,Jun_Period_1_Tbl[[#All],['# CLASSES SHOW]])+  SUMIF(Jul_Period_1_Tbl[[#All],[STAFF:]],$A31,Jul_Period_1_Tbl[[#All],['# CLASSES SHOW]])+  SUMIF(Aug_Period_1_Tbl[[#All],[STAFF:]],$A31,Aug_Period_1_Tbl[[#All],['# CLASSES SHOW]])+  SUMIF(Sep_Period_1_Tbl[[#All],[STAFF:]],$A31,Sep_Period_1_Tbl[[#All],['# CLASSES SHOW]])+  SUMIF(Oct_Period_1_Tbl[[#All],[STAFF:]],$A31,Oct_Period_1_Tbl[[#All],['# CLASSES SHOW]])+     SUMIF(Nov_Period_1_Tbl[[#All],[STAFF:]],$A31,Nov_Period_1_Tbl[[#All],['# CLASSES SHOW]])+  SUMIF(Dec_Period_1_Tbl[[#All],[STAFF:]],$A31,Dec_Period_1_Tbl[[#All],['# CLASSES SHOW]]))+   (SUMIF(Jan_Period_2_Tbl[[#All],[STAFF:]],$A31,Jan_Period_2_Tbl[[#All],['# CLASSES SHOW]])+
SUMIF(Feb_Period_2_Tbl[[#All],[STAFF:]],$A31,Feb_Period_2_Tbl[[#All],['# CLASSES SHOW]])+SUMIF(Mar_Period_2_Tbl[[#All],[STAFF:]],$A31,Mar_Period_2_Tbl[[#All],['# CLASSES SHOW]])+SUMIF(Apr_Period_2_Tbl[[#All],[STAFF:]],$A31,Apr_Period_2_Tbl[[#All],['# CLASSES SHOW]])+   SUMIF(May_Period_2_Tbl[[#All],[STAFF:]],$A31,May_Period_2_Tbl[[#All],['# CLASSES SHOW]])+   SUMIF(Jun_Period_2_Tbl[[#All],[STAFF:]],$A31,Jun_Period_2_Tbl[[#All],['# CLASSES SHOW]])+  SUMIF(Jul_Period_2_Tbl[[#All],[STAFF:]],$A31,Jul_Period_2_Tbl[[#All],['# CLASSES SHOW]])+  SUMIF(Aug_Period_2_Tbl[[#All],[STAFF:]],$A31,Aug_Period_2_Tbl[[#All],['# CLASSES SHOW]])+  SUMIF(Sep_Period_2_Tbl[[#All],[STAFF:]],$A31,Sep_Period_2_Tbl[[#All],['# CLASSES SHOW]])+  SUMIF(Oct_Period_2_Tbl[[#All],[STAFF:]],$A31,Oct_Period_2_Tbl[[#All],['# CLASSES SHOW]])+     SUMIF(Nov_Period_2_Tbl[[#All],[STAFF:]],$A31,Nov_Period_2_Tbl[[#All],['# CLASSES SHOW]])+  SUMIF(Dec_Period_2_Tbl[[#All],[STAFF:]],$A31,Dec_Period_2_Tbl[[#All],['# CLASSES SHOW]]))</f>
        <v>0</v>
      </c>
      <c r="V31" s="156"/>
      <c r="W31" s="156"/>
      <c r="X31" s="155">
        <f t="shared" si="1"/>
        <v>0</v>
      </c>
      <c r="Y31" s="155">
        <f t="shared" si="2"/>
        <v>0</v>
      </c>
      <c r="Z31" s="155">
        <f t="shared" si="3"/>
        <v>0</v>
      </c>
      <c r="AA31" s="155">
        <f t="shared" si="4"/>
        <v>0</v>
      </c>
      <c r="AB31" s="155">
        <f t="shared" si="5"/>
        <v>0</v>
      </c>
      <c r="AC31" s="155">
        <f t="shared" si="6"/>
        <v>0</v>
      </c>
      <c r="AD31" s="155">
        <f t="shared" si="7"/>
        <v>0</v>
      </c>
      <c r="AE31" s="149"/>
      <c r="AF31" s="149"/>
      <c r="AG31" s="149"/>
      <c r="AH31" s="149"/>
      <c r="AJ31" s="75" t="str">
        <f t="shared" si="8"/>
        <v>zBlank</v>
      </c>
      <c r="AK31" s="210"/>
      <c r="AL31" s="168">
        <f>IFERROR(VLOOKUP(B31,List!$A:$B,2,FALSE),-1)</f>
        <v>-1</v>
      </c>
      <c r="AM31" s="168">
        <f>IFERROR(VLOOKUP(C31,List!$A:$B,2,FALSE),-1)</f>
        <v>-1</v>
      </c>
    </row>
    <row r="32" spans="1:39" ht="15" hidden="1" customHeight="1" x14ac:dyDescent="0.25">
      <c r="A32" s="20"/>
      <c r="B32" s="186"/>
      <c r="C32" s="186"/>
      <c r="D32" s="187"/>
      <c r="E32" s="188">
        <f>(SUMIF(Jan_Period_1_Tbl[[#All],[STAFF:]],$A32,Jan_Period_1_Tbl[[#All],['# PTO USED]])+
SUMIF(Feb_Period_1_Tbl[[#All],[STAFF:]],$A32,Feb_Period_1_Tbl[[#All],['# PTO USED]])+SUMIF(Mar_Period_1_Tbl[[#All],[STAFF:]],$A32,Mar_Period_1_Tbl[[#All],['# PTO USED]])+SUMIF(Apr_Period_1_Tbl[[#All],[STAFF:]],$A32,Apr_Period_1_Tbl[[#All],['# PTO USED]])+   SUMIF(May_Period_1_Tbl[[#All],[STAFF:]],$A32,May_Period_1_Tbl[[#All],['# PTO USED]])+   SUMIF(Jun_Period_1_Tbl[[#All],[STAFF:]],$A32,Jun_Period_1_Tbl[[#All],['# PTO USED]])+  SUMIF(Jul_Period_1_Tbl[[#All],[STAFF:]],$A32,Jul_Period_1_Tbl[[#All],['# PTO USED]])+  SUMIF(Aug_Period_1_Tbl[[#All],[STAFF:]],$A32,Aug_Period_1_Tbl[[#All],['# PTO USED]])+  SUMIF(Sep_Period_1_Tbl[[#All],[STAFF:]],$A32,Sep_Period_1_Tbl[[#All],['# PTO USED]])+  SUMIF(Oct_Period_1_Tbl[[#All],[STAFF:]],$A32,Oct_Period_1_Tbl[[#All],['# PTO USED]])+     SUMIF(Nov_Period_1_Tbl[[#All],[STAFF:]],$A32,Nov_Period_1_Tbl[[#All],['# PTO USED]])+  SUMIF(Dec_Period_1_Tbl[[#All],[STAFF:]],$A32,Dec_Period_1_Tbl[[#All],['# PTO USED]]))+   (SUMIF(Jan_Period_2_Tbl[[#All],[STAFF:]],$A32,Jan_Period_2_Tbl[[#All],['# PTO USED]])+
SUMIF(Feb_Period_2_Tbl[[#All],[STAFF:]],$A32,Feb_Period_2_Tbl[[#All],['# PTO USED]])+SUMIF(Mar_Period_2_Tbl[[#All],[STAFF:]],$A32,Mar_Period_2_Tbl[[#All],['# PTO USED]])+SUMIF(Apr_Period_2_Tbl[[#All],[STAFF:]],$A32,Apr_Period_2_Tbl[[#All],['# PTO USED]])+   SUMIF(May_Period_2_Tbl[[#All],[STAFF:]],$A32,May_Period_2_Tbl[[#All],['# PTO USED]])+   SUMIF(Jun_Period_2_Tbl[[#All],[STAFF:]],$A32,Jun_Period_2_Tbl[[#All],['# PTO USED]])+  SUMIF(Jul_Period_2_Tbl[[#All],[STAFF:]],$A32,Jul_Period_2_Tbl[[#All],['# PTO USED]])+  SUMIF(Aug_Period_2_Tbl[[#All],[STAFF:]],$A32,Aug_Period_2_Tbl[[#All],['# PTO USED]])+  SUMIF(Sep_Period_2_Tbl[[#All],[STAFF:]],$A32,Sep_Period_2_Tbl[[#All],['# PTO USED]])+  SUMIF(Oct_Period_2_Tbl[[#All],[STAFF:]],$A32,Oct_Period_2_Tbl[[#All],['# PTO USED]])+     SUMIF(Nov_Period_2_Tbl[[#All],[STAFF:]],$A32,Nov_Period_2_Tbl[[#All],['# PTO USED]])+  SUMIF(Dec_Period_2_Tbl[[#All],[STAFF:]],$A32,Dec_Period_2_Tbl[[#All],['# PTO USED]]))</f>
        <v>0</v>
      </c>
      <c r="F32" s="189">
        <f>(SUMIF(Jan_Period_1_Tbl[[#All],[STAFF:]],$A32,Jan_Period_1_Tbl[[#All],['# HRS WORKED]])+
SUMIF(Feb_Period_1_Tbl[[#All],[STAFF:]],$A32,Feb_Period_1_Tbl[[#All],['# HRS WORKED]])+SUMIF(Mar_Period_1_Tbl[[#All],[STAFF:]],$A32,Mar_Period_1_Tbl[[#All],['# HRS WORKED]])+SUMIF(Apr_Period_1_Tbl[[#All],[STAFF:]],$A32,Apr_Period_1_Tbl[[#All],['# HRS WORKED]])+   SUMIF(May_Period_1_Tbl[[#All],[STAFF:]],$A32,May_Period_1_Tbl[[#All],['# HRS WORKED]])+   SUMIF(Jun_Period_1_Tbl[[#All],[STAFF:]],$A32,Jun_Period_1_Tbl[[#All],['# HRS WORKED]])+  SUMIF(Jul_Period_1_Tbl[[#All],[STAFF:]],$A32,Jul_Period_1_Tbl[[#All],['# HRS WORKED]])+  SUMIF(Aug_Period_1_Tbl[[#All],[STAFF:]],$A32,Aug_Period_1_Tbl[[#All],['# HRS WORKED]])+  SUMIF(Sep_Period_1_Tbl[[#All],[STAFF:]],$A32,Sep_Period_1_Tbl[[#All],['# HRS WORKED]])+  SUMIF(Oct_Period_1_Tbl[[#All],[STAFF:]],$A32,Oct_Period_1_Tbl[[#All],['# HRS WORKED]])+     SUMIF(Nov_Period_1_Tbl[[#All],[STAFF:]],$A32,Nov_Period_1_Tbl[[#All],['# HRS WORKED]])+  SUMIF(Dec_Period_1_Tbl[[#All],[STAFF:]],$A32,Dec_Period_1_Tbl[[#All],['# HRS WORKED]]))+   (SUMIF(Jan_Period_2_Tbl[[#All],[STAFF:]],$A32,Jan_Period_2_Tbl[[#All],['# HRS WORKED]])+
SUMIF(Feb_Period_2_Tbl[[#All],[STAFF:]],$A32,Feb_Period_2_Tbl[[#All],['# HRS WORKED]])+SUMIF(Mar_Period_2_Tbl[[#All],[STAFF:]],$A32,Mar_Period_2_Tbl[[#All],['# HRS WORKED]])+SUMIF(Apr_Period_2_Tbl[[#All],[STAFF:]],$A32,Apr_Period_2_Tbl[[#All],['# HRS WORKED]])+   SUMIF(May_Period_2_Tbl[[#All],[STAFF:]],$A32,May_Period_2_Tbl[[#All],['# HRS WORKED]])+   SUMIF(Jun_Period_2_Tbl[[#All],[STAFF:]],$A32,Jun_Period_2_Tbl[[#All],['# HRS WORKED]])+  SUMIF(Jul_Period_2_Tbl[[#All],[STAFF:]],$A32,Jul_Period_2_Tbl[[#All],['# HRS WORKED]])+  SUMIF(Aug_Period_2_Tbl[[#All],[STAFF:]],$A32,Aug_Period_2_Tbl[[#All],['# HRS WORKED]])+  SUMIF(Sep_Period_2_Tbl[[#All],[STAFF:]],$A32,Sep_Period_2_Tbl[[#All],['# HRS WORKED]])+  SUMIF(Oct_Period_2_Tbl[[#All],[STAFF:]],$A32,Oct_Period_2_Tbl[[#All],['# HRS WORKED]])+     SUMIF(Nov_Period_2_Tbl[[#All],[STAFF:]],$A32,Nov_Period_2_Tbl[[#All],['# HRS WORKED]])+  SUMIF(Dec_Period_2_Tbl[[#All],[STAFF:]],$A32,Dec_Period_2_Tbl[[#All],['# HRS WORKED]]))</f>
        <v>0</v>
      </c>
      <c r="G32" s="190">
        <f>(SUMIF(Jan_Period_1_Tbl[[#All],[STAFF:]],$A32,Jan_Period_1_Tbl[[#All],[$ Hourly WAGES]])+
SUMIF(Feb_Period_1_Tbl[[#All],[STAFF:]],$A32,Feb_Period_1_Tbl[[#All],[$ Hourly WAGES]])+SUMIF(Mar_Period_1_Tbl[[#All],[STAFF:]],$A32,Mar_Period_1_Tbl[[#All],[$ Hourly WAGES]])+SUMIF(Apr_Period_1_Tbl[[#All],[STAFF:]],$A32,Apr_Period_1_Tbl[[#All],[$ Hourly WAGES]])+   SUMIF(May_Period_1_Tbl[[#All],[STAFF:]],$A32,May_Period_1_Tbl[[#All],[$ Hourly WAGES]])+   SUMIF(Jun_Period_1_Tbl[[#All],[STAFF:]],$A32,Jun_Period_1_Tbl[[#All],[$ Hourly WAGES]])+  SUMIF(Jul_Period_1_Tbl[[#All],[STAFF:]],$A32,Jul_Period_1_Tbl[[#All],[$ Hourly WAGES]])+  SUMIF(Aug_Period_1_Tbl[[#All],[STAFF:]],$A32,Aug_Period_1_Tbl[[#All],[$ Hourly WAGES]])+  SUMIF(Sep_Period_1_Tbl[[#All],[STAFF:]],$A32,Sep_Period_1_Tbl[[#All],[$ Hourly WAGES]])+  SUMIF(Oct_Period_1_Tbl[[#All],[STAFF:]],$A32,Oct_Period_1_Tbl[[#All],[$ Hourly WAGES]])+     SUMIF(Nov_Period_1_Tbl[[#All],[STAFF:]],$A32,Nov_Period_1_Tbl[[#All],[$ Hourly WAGES]])+  SUMIF(Dec_Period_1_Tbl[[#All],[STAFF:]],$A32,Dec_Period_1_Tbl[[#All],[$ Hourly WAGES]]))+   (SUMIF(Jan_Period_2_Tbl[[#All],[STAFF:]],$A32,Jan_Period_2_Tbl[[#All],[$ Hourly WAGES]])+
SUMIF(Feb_Period_2_Tbl[[#All],[STAFF:]],$A32,Feb_Period_2_Tbl[[#All],[$ Hourly WAGES]])+SUMIF(Mar_Period_2_Tbl[[#All],[STAFF:]],$A32,Mar_Period_2_Tbl[[#All],[$ Hourly WAGES]])+SUMIF(Apr_Period_2_Tbl[[#All],[STAFF:]],$A32,Apr_Period_2_Tbl[[#All],[$ Hourly WAGES]])+   SUMIF(May_Period_2_Tbl[[#All],[STAFF:]],$A32,May_Period_2_Tbl[[#All],[$ Hourly WAGES]])+   SUMIF(Jun_Period_2_Tbl[[#All],[STAFF:]],$A32,Jun_Period_2_Tbl[[#All],[$ Hourly WAGES]])+  SUMIF(Jul_Period_2_Tbl[[#All],[STAFF:]],$A32,Jul_Period_2_Tbl[[#All],[$ Hourly WAGES]])+  SUMIF(Aug_Period_2_Tbl[[#All],[STAFF:]],$A32,Aug_Period_2_Tbl[[#All],[$ Hourly WAGES]])+  SUMIF(Sep_Period_2_Tbl[[#All],[STAFF:]],$A32,Sep_Period_2_Tbl[[#All],[$ Hourly WAGES]])+  SUMIF(Oct_Period_2_Tbl[[#All],[STAFF:]],$A32,Oct_Period_2_Tbl[[#All],[$ Hourly WAGES]])+     SUMIF(Nov_Period_2_Tbl[[#All],[STAFF:]],$A32,Nov_Period_2_Tbl[[#All],[$ Hourly WAGES]])+  SUMIF(Dec_Period_2_Tbl[[#All],[STAFF:]],$A32,Dec_Period_2_Tbl[[#All],[$ Hourly WAGES]]))</f>
        <v>0</v>
      </c>
      <c r="H32" s="190">
        <f>(SUMIF(Jan_Period_1_Tbl[[#All],[STAFF:]],$A32,Jan_Period_1_Tbl[[#All],[$ SALARY]])+
SUMIF(Feb_Period_1_Tbl[[#All],[STAFF:]],$A32,Feb_Period_1_Tbl[[#All],[$ SALARY]])+SUMIF(Mar_Period_1_Tbl[[#All],[STAFF:]],$A32,Mar_Period_1_Tbl[[#All],[$ SALARY]])+SUMIF(Apr_Period_1_Tbl[[#All],[STAFF:]],$A32,Apr_Period_1_Tbl[[#All],[$ SALARY]])+   SUMIF(May_Period_1_Tbl[[#All],[STAFF:]],$A32,May_Period_1_Tbl[[#All],[$ SALARY]])+   SUMIF(Jun_Period_1_Tbl[[#All],[STAFF:]],$A32,Jun_Period_1_Tbl[[#All],[$ SALARY]])+  SUMIF(Jul_Period_1_Tbl[[#All],[STAFF:]],$A32,Jul_Period_1_Tbl[[#All],[$ SALARY]])+  SUMIF(Aug_Period_1_Tbl[[#All],[STAFF:]],$A32,Aug_Period_1_Tbl[[#All],[$ SALARY]])+  SUMIF(Sep_Period_1_Tbl[[#All],[STAFF:]],$A32,Sep_Period_1_Tbl[[#All],[$ SALARY]])+  SUMIF(Oct_Period_1_Tbl[[#All],[STAFF:]],$A32,Oct_Period_1_Tbl[[#All],[$ SALARY]])+     SUMIF(Nov_Period_1_Tbl[[#All],[STAFF:]],$A32,Nov_Period_1_Tbl[[#All],[$ SALARY]])+  SUMIF(Dec_Period_1_Tbl[[#All],[STAFF:]],$A32,Dec_Period_1_Tbl[[#All],[$ SALARY]]))+   (SUMIF(Jan_Period_2_Tbl[[#All],[STAFF:]],$A32,Jan_Period_2_Tbl[[#All],[$ SALARY]])+
SUMIF(Feb_Period_2_Tbl[[#All],[STAFF:]],$A32,Feb_Period_2_Tbl[[#All],[$ SALARY]])+SUMIF(Mar_Period_2_Tbl[[#All],[STAFF:]],$A32,Mar_Period_2_Tbl[[#All],[$ SALARY]])+SUMIF(Apr_Period_2_Tbl[[#All],[STAFF:]],$A32,Apr_Period_2_Tbl[[#All],[$ SALARY]])+   SUMIF(May_Period_2_Tbl[[#All],[STAFF:]],$A32,May_Period_2_Tbl[[#All],[$ SALARY]])+   SUMIF(Jun_Period_2_Tbl[[#All],[STAFF:]],$A32,Jun_Period_2_Tbl[[#All],[$ SALARY]])+  SUMIF(Jul_Period_2_Tbl[[#All],[STAFF:]],$A32,Jul_Period_2_Tbl[[#All],[$ SALARY]])+  SUMIF(Aug_Period_2_Tbl[[#All],[STAFF:]],$A32,Aug_Period_2_Tbl[[#All],[$ SALARY]])+  SUMIF(Sep_Period_2_Tbl[[#All],[STAFF:]],$A32,Sep_Period_2_Tbl[[#All],[$ SALARY]])+  SUMIF(Oct_Period_2_Tbl[[#All],[STAFF:]],$A32,Oct_Period_2_Tbl[[#All],[$ SALARY]])+     SUMIF(Nov_Period_2_Tbl[[#All],[STAFF:]],$A32,Nov_Period_2_Tbl[[#All],[$ SALARY]])+  SUMIF(Dec_Period_2_Tbl[[#All],[STAFF:]],$A32,Dec_Period_2_Tbl[[#All],[$ SALARY]]))</f>
        <v>0</v>
      </c>
      <c r="I32" s="190">
        <f>(SUMIF(Jan_Period_1_Tbl[[#All],[STAFF:]],$A32,Jan_Period_1_Tbl[[#All],[$ SALARY PT]])+
SUMIF(Feb_Period_1_Tbl[[#All],[STAFF:]],$A32,Feb_Period_1_Tbl[[#All],[$ SALARY PT]])+SUMIF(Mar_Period_1_Tbl[[#All],[STAFF:]],$A32,Mar_Period_1_Tbl[[#All],[$ SALARY PT]])+SUMIF(Apr_Period_1_Tbl[[#All],[STAFF:]],$A32,Apr_Period_1_Tbl[[#All],[$ SALARY PT]])+   SUMIF(May_Period_1_Tbl[[#All],[STAFF:]],$A32,May_Period_1_Tbl[[#All],[$ SALARY PT]])+   SUMIF(Jun_Period_1_Tbl[[#All],[STAFF:]],$A32,Jun_Period_1_Tbl[[#All],[$ SALARY PT]])+  SUMIF(Jul_Period_1_Tbl[[#All],[STAFF:]],$A32,Jul_Period_1_Tbl[[#All],[$ SALARY PT]])+  SUMIF(Aug_Period_1_Tbl[[#All],[STAFF:]],$A32,Aug_Period_1_Tbl[[#All],[$ SALARY PT]])+  SUMIF(Sep_Period_1_Tbl[[#All],[STAFF:]],$A32,Sep_Period_1_Tbl[[#All],[$ SALARY PT]])+  SUMIF(Oct_Period_1_Tbl[[#All],[STAFF:]],$A32,Oct_Period_1_Tbl[[#All],[$ SALARY PT]])+     SUMIF(Nov_Period_1_Tbl[[#All],[STAFF:]],$A32,Nov_Period_1_Tbl[[#All],[$ SALARY PT]])+  SUMIF(Dec_Period_1_Tbl[[#All],[STAFF:]],$A32,Dec_Period_1_Tbl[[#All],[$ SALARY PT]]))+   (SUMIF(Jan_Period_2_Tbl[[#All],[STAFF:]],$A32,Jan_Period_2_Tbl[[#All],[$ SALARY PT]])+
SUMIF(Feb_Period_2_Tbl[[#All],[STAFF:]],$A32,Feb_Period_2_Tbl[[#All],[$ SALARY PT]])+SUMIF(Mar_Period_2_Tbl[[#All],[STAFF:]],$A32,Mar_Period_2_Tbl[[#All],[$ SALARY PT]])+SUMIF(Apr_Period_2_Tbl[[#All],[STAFF:]],$A32,Apr_Period_2_Tbl[[#All],[$ SALARY PT]])+   SUMIF(May_Period_2_Tbl[[#All],[STAFF:]],$A32,May_Period_2_Tbl[[#All],[$ SALARY PT]])+   SUMIF(Jun_Period_2_Tbl[[#All],[STAFF:]],$A32,Jun_Period_2_Tbl[[#All],[$ SALARY PT]])+  SUMIF(Jul_Period_2_Tbl[[#All],[STAFF:]],$A32,Jul_Period_2_Tbl[[#All],[$ SALARY PT]])+  SUMIF(Aug_Period_2_Tbl[[#All],[STAFF:]],$A32,Aug_Period_2_Tbl[[#All],[$ SALARY PT]])+  SUMIF(Sep_Period_2_Tbl[[#All],[STAFF:]],$A32,Sep_Period_2_Tbl[[#All],[$ SALARY PT]])+  SUMIF(Oct_Period_2_Tbl[[#All],[STAFF:]],$A32,Oct_Period_2_Tbl[[#All],[$ SALARY PT]])+     SUMIF(Nov_Period_2_Tbl[[#All],[STAFF:]],$A32,Nov_Period_2_Tbl[[#All],[$ SALARY PT]])+  SUMIF(Dec_Period_2_Tbl[[#All],[STAFF:]],$A32,Dec_Period_2_Tbl[[#All],[$ SALARY PT]]))</f>
        <v>0</v>
      </c>
      <c r="J32" s="190">
        <f>(SUMIF(Jan_Period_1_Tbl[[#All],[STAFF:]],$A32,Jan_Period_1_Tbl[[#All],[$ FREE PT]])+
SUMIF(Feb_Period_1_Tbl[[#All],[STAFF:]],$A32,Feb_Period_1_Tbl[[#All],[$ FREE PT]])+SUMIF(Mar_Period_1_Tbl[[#All],[STAFF:]],$A32,Mar_Period_1_Tbl[[#All],[$ FREE PT]])+SUMIF(Apr_Period_1_Tbl[[#All],[STAFF:]],$A32,Apr_Period_1_Tbl[[#All],[$ FREE PT]])+   SUMIF(May_Period_1_Tbl[[#All],[STAFF:]],$A32,May_Period_1_Tbl[[#All],[$ FREE PT]])+   SUMIF(Jun_Period_1_Tbl[[#All],[STAFF:]],$A32,Jun_Period_1_Tbl[[#All],[$ FREE PT]])+  SUMIF(Jul_Period_1_Tbl[[#All],[STAFF:]],$A32,Jul_Period_1_Tbl[[#All],[$ FREE PT]])+  SUMIF(Aug_Period_1_Tbl[[#All],[STAFF:]],$A32,Aug_Period_1_Tbl[[#All],[$ FREE PT]])+  SUMIF(Sep_Period_1_Tbl[[#All],[STAFF:]],$A32,Sep_Period_1_Tbl[[#All],[$ FREE PT]])+  SUMIF(Oct_Period_1_Tbl[[#All],[STAFF:]],$A32,Oct_Period_1_Tbl[[#All],[$ FREE PT]])+     SUMIF(Nov_Period_1_Tbl[[#All],[STAFF:]],$A32,Nov_Period_1_Tbl[[#All],[$ FREE PT]])+  SUMIF(Dec_Period_1_Tbl[[#All],[STAFF:]],$A32,Dec_Period_1_Tbl[[#All],[$ FREE PT]]))+   (SUMIF(Jan_Period_2_Tbl[[#All],[STAFF:]],$A32,Jan_Period_2_Tbl[[#All],[$ FREE PT]])+
SUMIF(Feb_Period_2_Tbl[[#All],[STAFF:]],$A32,Feb_Period_2_Tbl[[#All],[$ FREE PT]])+SUMIF(Mar_Period_2_Tbl[[#All],[STAFF:]],$A32,Mar_Period_2_Tbl[[#All],[$ FREE PT]])+SUMIF(Apr_Period_2_Tbl[[#All],[STAFF:]],$A32,Apr_Period_2_Tbl[[#All],[$ FREE PT]])+   SUMIF(May_Period_2_Tbl[[#All],[STAFF:]],$A32,May_Period_2_Tbl[[#All],[$ FREE PT]])+   SUMIF(Jun_Period_2_Tbl[[#All],[STAFF:]],$A32,Jun_Period_2_Tbl[[#All],[$ FREE PT]])+  SUMIF(Jul_Period_2_Tbl[[#All],[STAFF:]],$A32,Jul_Period_2_Tbl[[#All],[$ FREE PT]])+  SUMIF(Aug_Period_2_Tbl[[#All],[STAFF:]],$A32,Aug_Period_2_Tbl[[#All],[$ FREE PT]])+  SUMIF(Sep_Period_2_Tbl[[#All],[STAFF:]],$A32,Sep_Period_2_Tbl[[#All],[$ FREE PT]])+  SUMIF(Oct_Period_2_Tbl[[#All],[STAFF:]],$A32,Oct_Period_2_Tbl[[#All],[$ FREE PT]])+     SUMIF(Nov_Period_2_Tbl[[#All],[STAFF:]],$A32,Nov_Period_2_Tbl[[#All],[$ FREE PT]])+  SUMIF(Dec_Period_2_Tbl[[#All],[STAFF:]],$A32,Dec_Period_2_Tbl[[#All],[$ FREE PT]]))</f>
        <v>0</v>
      </c>
      <c r="K32" s="190">
        <f>(SUMIF(Jan_Period_1_Tbl[[#All],[STAFF:]],$A32,Jan_Period_1_Tbl[[#All],[$ PAID PT]])+
SUMIF(Feb_Period_1_Tbl[[#All],[STAFF:]],$A32,Feb_Period_1_Tbl[[#All],[$ PAID PT]])+SUMIF(Mar_Period_1_Tbl[[#All],[STAFF:]],$A32,Mar_Period_1_Tbl[[#All],[$ PAID PT]])+SUMIF(Apr_Period_1_Tbl[[#All],[STAFF:]],$A32,Apr_Period_1_Tbl[[#All],[$ PAID PT]])+   SUMIF(May_Period_1_Tbl[[#All],[STAFF:]],$A32,May_Period_1_Tbl[[#All],[$ PAID PT]])+   SUMIF(Jun_Period_1_Tbl[[#All],[STAFF:]],$A32,Jun_Period_1_Tbl[[#All],[$ PAID PT]])+  SUMIF(Jul_Period_1_Tbl[[#All],[STAFF:]],$A32,Jul_Period_1_Tbl[[#All],[$ PAID PT]])+  SUMIF(Aug_Period_1_Tbl[[#All],[STAFF:]],$A32,Aug_Period_1_Tbl[[#All],[$ PAID PT]])+  SUMIF(Sep_Period_1_Tbl[[#All],[STAFF:]],$A32,Sep_Period_1_Tbl[[#All],[$ PAID PT]])+  SUMIF(Oct_Period_1_Tbl[[#All],[STAFF:]],$A32,Oct_Period_1_Tbl[[#All],[$ PAID PT]])+     SUMIF(Nov_Period_1_Tbl[[#All],[STAFF:]],$A32,Nov_Period_1_Tbl[[#All],[$ PAID PT]])+  SUMIF(Dec_Period_1_Tbl[[#All],[STAFF:]],$A32,Dec_Period_1_Tbl[[#All],[$ PAID PT]]))+   (SUMIF(Jan_Period_2_Tbl[[#All],[STAFF:]],$A32,Jan_Period_2_Tbl[[#All],[$ PAID PT]])+
SUMIF(Feb_Period_2_Tbl[[#All],[STAFF:]],$A32,Feb_Period_2_Tbl[[#All],[$ PAID PT]])+SUMIF(Mar_Period_2_Tbl[[#All],[STAFF:]],$A32,Mar_Period_2_Tbl[[#All],[$ PAID PT]])+SUMIF(Apr_Period_2_Tbl[[#All],[STAFF:]],$A32,Apr_Period_2_Tbl[[#All],[$ PAID PT]])+   SUMIF(May_Period_2_Tbl[[#All],[STAFF:]],$A32,May_Period_2_Tbl[[#All],[$ PAID PT]])+   SUMIF(Jun_Period_2_Tbl[[#All],[STAFF:]],$A32,Jun_Period_2_Tbl[[#All],[$ PAID PT]])+  SUMIF(Jul_Period_2_Tbl[[#All],[STAFF:]],$A32,Jul_Period_2_Tbl[[#All],[$ PAID PT]])+  SUMIF(Aug_Period_2_Tbl[[#All],[STAFF:]],$A32,Aug_Period_2_Tbl[[#All],[$ PAID PT]])+  SUMIF(Sep_Period_2_Tbl[[#All],[STAFF:]],$A32,Sep_Period_2_Tbl[[#All],[$ PAID PT]])+  SUMIF(Oct_Period_2_Tbl[[#All],[STAFF:]],$A32,Oct_Period_2_Tbl[[#All],[$ PAID PT]])+     SUMIF(Nov_Period_2_Tbl[[#All],[STAFF:]],$A32,Nov_Period_2_Tbl[[#All],[$ PAID PT]])+  SUMIF(Dec_Period_2_Tbl[[#All],[STAFF:]],$A32,Dec_Period_2_Tbl[[#All],[$ PAID PT]]))</f>
        <v>0</v>
      </c>
      <c r="L32" s="190">
        <f>(SUMIF(Jan_Period_1_Tbl[[#All],[STAFF:]],$A32,Jan_Period_1_Tbl[[#All],[$ PT COMM]])+
SUMIF(Feb_Period_1_Tbl[[#All],[STAFF:]],$A32,Feb_Period_1_Tbl[[#All],[$ PT COMM]])+SUMIF(Mar_Period_1_Tbl[[#All],[STAFF:]],$A32,Mar_Period_1_Tbl[[#All],[$ PT COMM]])+SUMIF(Apr_Period_1_Tbl[[#All],[STAFF:]],$A32,Apr_Period_1_Tbl[[#All],[$ PT COMM]])+   SUMIF(May_Period_1_Tbl[[#All],[STAFF:]],$A32,May_Period_1_Tbl[[#All],[$ PT COMM]])+   SUMIF(Jun_Period_1_Tbl[[#All],[STAFF:]],$A32,Jun_Period_1_Tbl[[#All],[$ PT COMM]])+  SUMIF(Jul_Period_1_Tbl[[#All],[STAFF:]],$A32,Jul_Period_1_Tbl[[#All],[$ PT COMM]])+  SUMIF(Aug_Period_1_Tbl[[#All],[STAFF:]],$A32,Aug_Period_1_Tbl[[#All],[$ PT COMM]])+  SUMIF(Sep_Period_1_Tbl[[#All],[STAFF:]],$A32,Sep_Period_1_Tbl[[#All],[$ PT COMM]])+  SUMIF(Oct_Period_1_Tbl[[#All],[STAFF:]],$A32,Oct_Period_1_Tbl[[#All],[$ PT COMM]])+     SUMIF(Nov_Period_1_Tbl[[#All],[STAFF:]],$A32,Nov_Period_1_Tbl[[#All],[$ PT COMM]])+  SUMIF(Dec_Period_1_Tbl[[#All],[STAFF:]],$A32,Dec_Period_1_Tbl[[#All],[$ PT COMM]]))+   (SUMIF(Jan_Period_2_Tbl[[#All],[STAFF:]],$A32,Jan_Period_2_Tbl[[#All],[$ PT COMM]])+
SUMIF(Feb_Period_2_Tbl[[#All],[STAFF:]],$A32,Feb_Period_2_Tbl[[#All],[$ PT COMM]])+SUMIF(Mar_Period_2_Tbl[[#All],[STAFF:]],$A32,Mar_Period_2_Tbl[[#All],[$ PT COMM]])+SUMIF(Apr_Period_2_Tbl[[#All],[STAFF:]],$A32,Apr_Period_2_Tbl[[#All],[$ PT COMM]])+   SUMIF(May_Period_2_Tbl[[#All],[STAFF:]],$A32,May_Period_2_Tbl[[#All],[$ PT COMM]])+   SUMIF(Jun_Period_2_Tbl[[#All],[STAFF:]],$A32,Jun_Period_2_Tbl[[#All],[$ PT COMM]])+  SUMIF(Jul_Period_2_Tbl[[#All],[STAFF:]],$A32,Jul_Period_2_Tbl[[#All],[$ PT COMM]])+  SUMIF(Aug_Period_2_Tbl[[#All],[STAFF:]],$A32,Aug_Period_2_Tbl[[#All],[$ PT COMM]])+  SUMIF(Sep_Period_2_Tbl[[#All],[STAFF:]],$A32,Sep_Period_2_Tbl[[#All],[$ PT COMM]])+  SUMIF(Oct_Period_2_Tbl[[#All],[STAFF:]],$A32,Oct_Period_2_Tbl[[#All],[$ PT COMM]])+     SUMIF(Nov_Period_2_Tbl[[#All],[STAFF:]],$A32,Nov_Period_2_Tbl[[#All],[$ PT COMM]])+  SUMIF(Dec_Period_2_Tbl[[#All],[STAFF:]],$A32,Dec_Period_2_Tbl[[#All],[$ PT COMM]]))</f>
        <v>0</v>
      </c>
      <c r="M32" s="190">
        <f>(SUMIF(Jan_Period_1_Tbl[[#All],[STAFF:]],$A32,Jan_Period_1_Tbl[[#All],[$ EFT COMM]])+
SUMIF(Feb_Period_1_Tbl[[#All],[STAFF:]],$A32,Feb_Period_1_Tbl[[#All],[$ EFT COMM]])+SUMIF(Mar_Period_1_Tbl[[#All],[STAFF:]],$A32,Mar_Period_1_Tbl[[#All],[$ EFT COMM]])+SUMIF(Apr_Period_1_Tbl[[#All],[STAFF:]],$A32,Apr_Period_1_Tbl[[#All],[$ EFT COMM]])+   SUMIF(May_Period_1_Tbl[[#All],[STAFF:]],$A32,May_Period_1_Tbl[[#All],[$ EFT COMM]])+   SUMIF(Jun_Period_1_Tbl[[#All],[STAFF:]],$A32,Jun_Period_1_Tbl[[#All],[$ EFT COMM]])+  SUMIF(Jul_Period_1_Tbl[[#All],[STAFF:]],$A32,Jul_Period_1_Tbl[[#All],[$ EFT COMM]])+  SUMIF(Aug_Period_1_Tbl[[#All],[STAFF:]],$A32,Aug_Period_1_Tbl[[#All],[$ EFT COMM]])+  SUMIF(Sep_Period_1_Tbl[[#All],[STAFF:]],$A32,Sep_Period_1_Tbl[[#All],[$ EFT COMM]])+  SUMIF(Oct_Period_1_Tbl[[#All],[STAFF:]],$A32,Oct_Period_1_Tbl[[#All],[$ EFT COMM]])+     SUMIF(Nov_Period_1_Tbl[[#All],[STAFF:]],$A32,Nov_Period_1_Tbl[[#All],[$ EFT COMM]])+  SUMIF(Dec_Period_1_Tbl[[#All],[STAFF:]],$A32,Dec_Period_1_Tbl[[#All],[$ EFT COMM]]))+   (SUMIF(Jan_Period_2_Tbl[[#All],[STAFF:]],$A32,Jan_Period_2_Tbl[[#All],[$ EFT COMM]])+
SUMIF(Feb_Period_2_Tbl[[#All],[STAFF:]],$A32,Feb_Period_2_Tbl[[#All],[$ EFT COMM]])+SUMIF(Mar_Period_2_Tbl[[#All],[STAFF:]],$A32,Mar_Period_2_Tbl[[#All],[$ EFT COMM]])+SUMIF(Apr_Period_2_Tbl[[#All],[STAFF:]],$A32,Apr_Period_2_Tbl[[#All],[$ EFT COMM]])+   SUMIF(May_Period_2_Tbl[[#All],[STAFF:]],$A32,May_Period_2_Tbl[[#All],[$ EFT COMM]])+   SUMIF(Jun_Period_2_Tbl[[#All],[STAFF:]],$A32,Jun_Period_2_Tbl[[#All],[$ EFT COMM]])+  SUMIF(Jul_Period_2_Tbl[[#All],[STAFF:]],$A32,Jul_Period_2_Tbl[[#All],[$ EFT COMM]])+  SUMIF(Aug_Period_2_Tbl[[#All],[STAFF:]],$A32,Aug_Period_2_Tbl[[#All],[$ EFT COMM]])+  SUMIF(Sep_Period_2_Tbl[[#All],[STAFF:]],$A32,Sep_Period_2_Tbl[[#All],[$ EFT COMM]])+  SUMIF(Oct_Period_2_Tbl[[#All],[STAFF:]],$A32,Oct_Period_2_Tbl[[#All],[$ EFT COMM]])+     SUMIF(Nov_Period_2_Tbl[[#All],[STAFF:]],$A32,Nov_Period_2_Tbl[[#All],[$ EFT COMM]])+  SUMIF(Dec_Period_2_Tbl[[#All],[STAFF:]],$A32,Dec_Period_2_Tbl[[#All],[$ EFT COMM]]))</f>
        <v>0</v>
      </c>
      <c r="N32" s="190">
        <f>(SUMIF(Jan_Period_1_Tbl[[#All],[STAFF:]],$A32,Jan_Period_1_Tbl[[#All],[$ CLASS PAY]])+
SUMIF(Feb_Period_1_Tbl[[#All],[STAFF:]],$A32,Feb_Period_1_Tbl[[#All],[$ CLASS PAY]])+SUMIF(Mar_Period_1_Tbl[[#All],[STAFF:]],$A32,Mar_Period_1_Tbl[[#All],[$ CLASS PAY]])+SUMIF(Apr_Period_1_Tbl[[#All],[STAFF:]],$A32,Apr_Period_1_Tbl[[#All],[$ CLASS PAY]])+   SUMIF(May_Period_1_Tbl[[#All],[STAFF:]],$A32,May_Period_1_Tbl[[#All],[$ CLASS PAY]])+   SUMIF(Jun_Period_1_Tbl[[#All],[STAFF:]],$A32,Jun_Period_1_Tbl[[#All],[$ CLASS PAY]])+  SUMIF(Jul_Period_1_Tbl[[#All],[STAFF:]],$A32,Jul_Period_1_Tbl[[#All],[$ CLASS PAY]])+  SUMIF(Aug_Period_1_Tbl[[#All],[STAFF:]],$A32,Aug_Period_1_Tbl[[#All],[$ CLASS PAY]])+  SUMIF(Sep_Period_1_Tbl[[#All],[STAFF:]],$A32,Sep_Period_1_Tbl[[#All],[$ CLASS PAY]])+  SUMIF(Oct_Period_1_Tbl[[#All],[STAFF:]],$A32,Oct_Period_1_Tbl[[#All],[$ CLASS PAY]])+     SUMIF(Nov_Period_1_Tbl[[#All],[STAFF:]],$A32,Nov_Period_1_Tbl[[#All],[$ CLASS PAY]])+  SUMIF(Dec_Period_1_Tbl[[#All],[STAFF:]],$A32,Dec_Period_1_Tbl[[#All],[$ CLASS PAY]]))+   (SUMIF(Jan_Period_2_Tbl[[#All],[STAFF:]],$A32,Jan_Period_2_Tbl[[#All],[$ CLASS PAY]])+
SUMIF(Feb_Period_2_Tbl[[#All],[STAFF:]],$A32,Feb_Period_2_Tbl[[#All],[$ CLASS PAY]])+SUMIF(Mar_Period_2_Tbl[[#All],[STAFF:]],$A32,Mar_Period_2_Tbl[[#All],[$ CLASS PAY]])+SUMIF(Apr_Period_2_Tbl[[#All],[STAFF:]],$A32,Apr_Period_2_Tbl[[#All],[$ CLASS PAY]])+   SUMIF(May_Period_2_Tbl[[#All],[STAFF:]],$A32,May_Period_2_Tbl[[#All],[$ CLASS PAY]])+   SUMIF(Jun_Period_2_Tbl[[#All],[STAFF:]],$A32,Jun_Period_2_Tbl[[#All],[$ CLASS PAY]])+  SUMIF(Jul_Period_2_Tbl[[#All],[STAFF:]],$A32,Jul_Period_2_Tbl[[#All],[$ CLASS PAY]])+  SUMIF(Aug_Period_2_Tbl[[#All],[STAFF:]],$A32,Aug_Period_2_Tbl[[#All],[$ CLASS PAY]])+  SUMIF(Sep_Period_2_Tbl[[#All],[STAFF:]],$A32,Sep_Period_2_Tbl[[#All],[$ CLASS PAY]])+  SUMIF(Oct_Period_2_Tbl[[#All],[STAFF:]],$A32,Oct_Period_2_Tbl[[#All],[$ CLASS PAY]])+     SUMIF(Nov_Period_2_Tbl[[#All],[STAFF:]],$A32,Nov_Period_2_Tbl[[#All],[$ CLASS PAY]])+  SUMIF(Dec_Period_2_Tbl[[#All],[STAFF:]],$A32,Dec_Period_2_Tbl[[#All],[$ CLASS PAY]]))</f>
        <v>0</v>
      </c>
      <c r="O32" s="191">
        <f>(SUMIF(Jan_Period_1_Tbl[[#All],[STAFF:]],$A32,Jan_Period_1_Tbl[[#All],[$ BONUS PAY]])+
SUMIF(Feb_Period_1_Tbl[[#All],[STAFF:]],$A32,Feb_Period_1_Tbl[[#All],[$ BONUS PAY]])+SUMIF(Mar_Period_1_Tbl[[#All],[STAFF:]],$A32,Mar_Period_1_Tbl[[#All],[$ BONUS PAY]])+SUMIF(Apr_Period_1_Tbl[[#All],[STAFF:]],$A32,Apr_Period_1_Tbl[[#All],[$ BONUS PAY]])+   SUMIF(May_Period_1_Tbl[[#All],[STAFF:]],$A32,May_Period_1_Tbl[[#All],[$ BONUS PAY]])+   SUMIF(Jun_Period_1_Tbl[[#All],[STAFF:]],$A32,Jun_Period_1_Tbl[[#All],[$ BONUS PAY]])+  SUMIF(Jul_Period_1_Tbl[[#All],[STAFF:]],$A32,Jul_Period_1_Tbl[[#All],[$ BONUS PAY]])+  SUMIF(Aug_Period_1_Tbl[[#All],[STAFF:]],$A32,Aug_Period_1_Tbl[[#All],[$ BONUS PAY]])+  SUMIF(Sep_Period_1_Tbl[[#All],[STAFF:]],$A32,Sep_Period_1_Tbl[[#All],[$ BONUS PAY]])+  SUMIF(Oct_Period_1_Tbl[[#All],[STAFF:]],$A32,Oct_Period_1_Tbl[[#All],[$ BONUS PAY]])+     SUMIF(Nov_Period_1_Tbl[[#All],[STAFF:]],$A32,Nov_Period_1_Tbl[[#All],[$ BONUS PAY]])+  SUMIF(Dec_Period_1_Tbl[[#All],[STAFF:]],$A32,Dec_Period_1_Tbl[[#All],[$ BONUS PAY]]))+   (SUMIF(Jan_Period_2_Tbl[[#All],[STAFF:]],$A32,Jan_Period_2_Tbl[[#All],[$ BONUS PAY]])+
SUMIF(Feb_Period_2_Tbl[[#All],[STAFF:]],$A32,Feb_Period_2_Tbl[[#All],[$ BONUS PAY]])+SUMIF(Mar_Period_2_Tbl[[#All],[STAFF:]],$A32,Mar_Period_2_Tbl[[#All],[$ BONUS PAY]])+SUMIF(Apr_Period_2_Tbl[[#All],[STAFF:]],$A32,Apr_Period_2_Tbl[[#All],[$ BONUS PAY]])+   SUMIF(May_Period_2_Tbl[[#All],[STAFF:]],$A32,May_Period_2_Tbl[[#All],[$ BONUS PAY]])+   SUMIF(Jun_Period_2_Tbl[[#All],[STAFF:]],$A32,Jun_Period_2_Tbl[[#All],[$ BONUS PAY]])+  SUMIF(Jul_Period_2_Tbl[[#All],[STAFF:]],$A32,Jul_Period_2_Tbl[[#All],[$ BONUS PAY]])+  SUMIF(Aug_Period_2_Tbl[[#All],[STAFF:]],$A32,Aug_Period_2_Tbl[[#All],[$ BONUS PAY]])+  SUMIF(Sep_Period_2_Tbl[[#All],[STAFF:]],$A32,Sep_Period_2_Tbl[[#All],[$ BONUS PAY]])+  SUMIF(Oct_Period_2_Tbl[[#All],[STAFF:]],$A32,Oct_Period_2_Tbl[[#All],[$ BONUS PAY]])+     SUMIF(Nov_Period_2_Tbl[[#All],[STAFF:]],$A32,Nov_Period_2_Tbl[[#All],[$ BONUS PAY]])+  SUMIF(Dec_Period_2_Tbl[[#All],[STAFF:]],$A32,Dec_Period_2_Tbl[[#All],[$ BONUS PAY]]))</f>
        <v>0</v>
      </c>
      <c r="P32" s="179">
        <f t="shared" si="0"/>
        <v>0</v>
      </c>
      <c r="Q32" s="149"/>
      <c r="R32" s="152">
        <f>(SUMIF(Jan_Period_1_Tbl[[#All],[STAFF:]],$A32,Jan_Period_1_Tbl[[#All],['# POINTS EARNED]])+
SUMIF(Feb_Period_1_Tbl[[#All],[STAFF:]],$A32,Feb_Period_1_Tbl[[#All],['# POINTS EARNED]])+SUMIF(Mar_Period_1_Tbl[[#All],[STAFF:]],$A32,Mar_Period_1_Tbl[[#All],['# POINTS EARNED]])+SUMIF(Apr_Period_1_Tbl[[#All],[STAFF:]],$A32,Apr_Period_1_Tbl[[#All],['# POINTS EARNED]])+   SUMIF(May_Period_1_Tbl[[#All],[STAFF:]],$A32,May_Period_1_Tbl[[#All],['# POINTS EARNED]])+   SUMIF(Jun_Period_1_Tbl[[#All],[STAFF:]],$A32,Jun_Period_1_Tbl[[#All],['# POINTS EARNED]])+  SUMIF(Jul_Period_1_Tbl[[#All],[STAFF:]],$A32,Jul_Period_1_Tbl[[#All],['# POINTS EARNED]])+  SUMIF(Aug_Period_1_Tbl[[#All],[STAFF:]],$A32,Aug_Period_1_Tbl[[#All],['# POINTS EARNED]])+  SUMIF(Sep_Period_1_Tbl[[#All],[STAFF:]],$A32,Sep_Period_1_Tbl[[#All],['# POINTS EARNED]])+  SUMIF(Oct_Period_1_Tbl[[#All],[STAFF:]],$A32,Oct_Period_1_Tbl[[#All],['# POINTS EARNED]])+     SUMIF(Nov_Period_1_Tbl[[#All],[STAFF:]],$A32,Nov_Period_1_Tbl[[#All],['# POINTS EARNED]])+  SUMIF(Dec_Period_1_Tbl[[#All],[STAFF:]],$A32,Dec_Period_1_Tbl[[#All],['# POINTS EARNED]]))+   (SUMIF(Jan_Period_2_Tbl[[#All],[STAFF:]],$A32,Jan_Period_2_Tbl[[#All],['# POINTS EARNED]])+
SUMIF(Feb_Period_2_Tbl[[#All],[STAFF:]],$A32,Feb_Period_2_Tbl[[#All],['# POINTS EARNED]])+SUMIF(Mar_Period_2_Tbl[[#All],[STAFF:]],$A32,Mar_Period_2_Tbl[[#All],['# POINTS EARNED]])+SUMIF(Apr_Period_2_Tbl[[#All],[STAFF:]],$A32,Apr_Period_2_Tbl[[#All],['# POINTS EARNED]])+   SUMIF(May_Period_2_Tbl[[#All],[STAFF:]],$A32,May_Period_2_Tbl[[#All],['# POINTS EARNED]])+   SUMIF(Jun_Period_2_Tbl[[#All],[STAFF:]],$A32,Jun_Period_2_Tbl[[#All],['# POINTS EARNED]])+  SUMIF(Jul_Period_2_Tbl[[#All],[STAFF:]],$A32,Jul_Period_2_Tbl[[#All],['# POINTS EARNED]])+  SUMIF(Aug_Period_2_Tbl[[#All],[STAFF:]],$A32,Aug_Period_2_Tbl[[#All],['# POINTS EARNED]])+  SUMIF(Sep_Period_2_Tbl[[#All],[STAFF:]],$A32,Sep_Period_2_Tbl[[#All],['# POINTS EARNED]])+  SUMIF(Oct_Period_2_Tbl[[#All],[STAFF:]],$A32,Oct_Period_2_Tbl[[#All],['# POINTS EARNED]])+     SUMIF(Nov_Period_2_Tbl[[#All],[STAFF:]],$A32,Nov_Period_2_Tbl[[#All],['# POINTS EARNED]])+  SUMIF(Dec_Period_2_Tbl[[#All],[STAFF:]],$A32,Dec_Period_2_Tbl[[#All],['# POINTS EARNED]]))</f>
        <v>0</v>
      </c>
      <c r="S32" s="152">
        <f>(SUMIF(Jan_Period_1_Tbl[[#All],[STAFF:]],$A32,Jan_Period_1_Tbl[[#All],['# POINTS USED]])+
SUMIF(Feb_Period_1_Tbl[[#All],[STAFF:]],$A32,Feb_Period_1_Tbl[[#All],['# POINTS USED]])+SUMIF(Mar_Period_1_Tbl[[#All],[STAFF:]],$A32,Mar_Period_1_Tbl[[#All],['# POINTS USED]])+SUMIF(Apr_Period_1_Tbl[[#All],[STAFF:]],$A32,Apr_Period_1_Tbl[[#All],['# POINTS USED]])+   SUMIF(May_Period_1_Tbl[[#All],[STAFF:]],$A32,May_Period_1_Tbl[[#All],['# POINTS USED]])+   SUMIF(Jun_Period_1_Tbl[[#All],[STAFF:]],$A32,Jun_Period_1_Tbl[[#All],['# POINTS USED]])+  SUMIF(Jul_Period_1_Tbl[[#All],[STAFF:]],$A32,Jul_Period_1_Tbl[[#All],['# POINTS USED]])+  SUMIF(Aug_Period_1_Tbl[[#All],[STAFF:]],$A32,Aug_Period_1_Tbl[[#All],['# POINTS USED]])+  SUMIF(Sep_Period_1_Tbl[[#All],[STAFF:]],$A32,Sep_Period_1_Tbl[[#All],['# POINTS USED]])+  SUMIF(Oct_Period_1_Tbl[[#All],[STAFF:]],$A32,Oct_Period_1_Tbl[[#All],['# POINTS USED]])+     SUMIF(Nov_Period_1_Tbl[[#All],[STAFF:]],$A32,Nov_Period_1_Tbl[[#All],['# POINTS USED]])+  SUMIF(Dec_Period_1_Tbl[[#All],[STAFF:]],$A32,Dec_Period_1_Tbl[[#All],['# POINTS USED]]))+   (SUMIF(Jan_Period_2_Tbl[[#All],[STAFF:]],$A32,Jan_Period_2_Tbl[[#All],['# POINTS USED]])+
SUMIF(Feb_Period_2_Tbl[[#All],[STAFF:]],$A32,Feb_Period_2_Tbl[[#All],['# POINTS USED]])+SUMIF(Mar_Period_2_Tbl[[#All],[STAFF:]],$A32,Mar_Period_2_Tbl[[#All],['# POINTS USED]])+SUMIF(Apr_Period_2_Tbl[[#All],[STAFF:]],$A32,Apr_Period_2_Tbl[[#All],['# POINTS USED]])+   SUMIF(May_Period_2_Tbl[[#All],[STAFF:]],$A32,May_Period_2_Tbl[[#All],['# POINTS USED]])+   SUMIF(Jun_Period_2_Tbl[[#All],[STAFF:]],$A32,Jun_Period_2_Tbl[[#All],['# POINTS USED]])+  SUMIF(Jul_Period_2_Tbl[[#All],[STAFF:]],$A32,Jul_Period_2_Tbl[[#All],['# POINTS USED]])+  SUMIF(Aug_Period_2_Tbl[[#All],[STAFF:]],$A32,Aug_Period_2_Tbl[[#All],['# POINTS USED]])+  SUMIF(Sep_Period_2_Tbl[[#All],[STAFF:]],$A32,Sep_Period_2_Tbl[[#All],['# POINTS USED]])+  SUMIF(Oct_Period_2_Tbl[[#All],[STAFF:]],$A32,Oct_Period_2_Tbl[[#All],['# POINTS USED]])+     SUMIF(Nov_Period_2_Tbl[[#All],[STAFF:]],$A32,Nov_Period_2_Tbl[[#All],['# POINTS USED]])+  SUMIF(Dec_Period_2_Tbl[[#All],[STAFF:]],$A32,Dec_Period_2_Tbl[[#All],['# POINTS USED]]))</f>
        <v>0</v>
      </c>
      <c r="T32" s="152">
        <f>(SUMIF(Jan_Period_1_Tbl[[#All],[STAFF:]],$A32,Jan_Period_1_Tbl[[#All],['# CLASSES LEAD]])+
SUMIF(Feb_Period_1_Tbl[[#All],[STAFF:]],$A32,Feb_Period_1_Tbl[[#All],['# CLASSES LEAD]])+SUMIF(Mar_Period_1_Tbl[[#All],[STAFF:]],$A32,Mar_Period_1_Tbl[[#All],['# CLASSES LEAD]])+SUMIF(Apr_Period_1_Tbl[[#All],[STAFF:]],$A32,Apr_Period_1_Tbl[[#All],['# CLASSES LEAD]])+   SUMIF(May_Period_1_Tbl[[#All],[STAFF:]],$A32,May_Period_1_Tbl[[#All],['# CLASSES LEAD]])+   SUMIF(Jun_Period_1_Tbl[[#All],[STAFF:]],$A32,Jun_Period_1_Tbl[[#All],['# CLASSES LEAD]])+  SUMIF(Jul_Period_1_Tbl[[#All],[STAFF:]],$A32,Jul_Period_1_Tbl[[#All],['# CLASSES LEAD]])+  SUMIF(Aug_Period_1_Tbl[[#All],[STAFF:]],$A32,Aug_Period_1_Tbl[[#All],['# CLASSES LEAD]])+  SUMIF(Sep_Period_1_Tbl[[#All],[STAFF:]],$A32,Sep_Period_1_Tbl[[#All],['# CLASSES LEAD]])+  SUMIF(Oct_Period_1_Tbl[[#All],[STAFF:]],$A32,Oct_Period_1_Tbl[[#All],['# CLASSES LEAD]])+     SUMIF(Nov_Period_1_Tbl[[#All],[STAFF:]],$A32,Nov_Period_1_Tbl[[#All],['# CLASSES LEAD]])+  SUMIF(Dec_Period_1_Tbl[[#All],[STAFF:]],$A32,Dec_Period_1_Tbl[[#All],['# CLASSES LEAD]]))+   (SUMIF(Jan_Period_2_Tbl[[#All],[STAFF:]],$A32,Jan_Period_2_Tbl[[#All],['# CLASSES LEAD]])+
SUMIF(Feb_Period_2_Tbl[[#All],[STAFF:]],$A32,Feb_Period_2_Tbl[[#All],['# CLASSES LEAD]])+SUMIF(Mar_Period_2_Tbl[[#All],[STAFF:]],$A32,Mar_Period_2_Tbl[[#All],['# CLASSES LEAD]])+SUMIF(Apr_Period_2_Tbl[[#All],[STAFF:]],$A32,Apr_Period_2_Tbl[[#All],['# CLASSES LEAD]])+   SUMIF(May_Period_2_Tbl[[#All],[STAFF:]],$A32,May_Period_2_Tbl[[#All],['# CLASSES LEAD]])+   SUMIF(Jun_Period_2_Tbl[[#All],[STAFF:]],$A32,Jun_Period_2_Tbl[[#All],['# CLASSES LEAD]])+  SUMIF(Jul_Period_2_Tbl[[#All],[STAFF:]],$A32,Jul_Period_2_Tbl[[#All],['# CLASSES LEAD]])+  SUMIF(Aug_Period_2_Tbl[[#All],[STAFF:]],$A32,Aug_Period_2_Tbl[[#All],['# CLASSES LEAD]])+  SUMIF(Sep_Period_2_Tbl[[#All],[STAFF:]],$A32,Sep_Period_2_Tbl[[#All],['# CLASSES LEAD]])+  SUMIF(Oct_Period_2_Tbl[[#All],[STAFF:]],$A32,Oct_Period_2_Tbl[[#All],['# CLASSES LEAD]])+     SUMIF(Nov_Period_2_Tbl[[#All],[STAFF:]],$A32,Nov_Period_2_Tbl[[#All],['# CLASSES LEAD]])+  SUMIF(Dec_Period_2_Tbl[[#All],[STAFF:]],$A32,Dec_Period_2_Tbl[[#All],['# CLASSES LEAD]]))</f>
        <v>0</v>
      </c>
      <c r="U32" s="152">
        <f>(SUMIF(Jan_Period_1_Tbl[[#All],[STAFF:]],$A32,Jan_Period_1_Tbl[[#All],['# CLASSES SHOW]])+
SUMIF(Feb_Period_1_Tbl[[#All],[STAFF:]],$A32,Feb_Period_1_Tbl[[#All],['# CLASSES SHOW]])+SUMIF(Mar_Period_1_Tbl[[#All],[STAFF:]],$A32,Mar_Period_1_Tbl[[#All],['# CLASSES SHOW]])+SUMIF(Apr_Period_1_Tbl[[#All],[STAFF:]],$A32,Apr_Period_1_Tbl[[#All],['# CLASSES SHOW]])+   SUMIF(May_Period_1_Tbl[[#All],[STAFF:]],$A32,May_Period_1_Tbl[[#All],['# CLASSES SHOW]])+   SUMIF(Jun_Period_1_Tbl[[#All],[STAFF:]],$A32,Jun_Period_1_Tbl[[#All],['# CLASSES SHOW]])+  SUMIF(Jul_Period_1_Tbl[[#All],[STAFF:]],$A32,Jul_Period_1_Tbl[[#All],['# CLASSES SHOW]])+  SUMIF(Aug_Period_1_Tbl[[#All],[STAFF:]],$A32,Aug_Period_1_Tbl[[#All],['# CLASSES SHOW]])+  SUMIF(Sep_Period_1_Tbl[[#All],[STAFF:]],$A32,Sep_Period_1_Tbl[[#All],['# CLASSES SHOW]])+  SUMIF(Oct_Period_1_Tbl[[#All],[STAFF:]],$A32,Oct_Period_1_Tbl[[#All],['# CLASSES SHOW]])+     SUMIF(Nov_Period_1_Tbl[[#All],[STAFF:]],$A32,Nov_Period_1_Tbl[[#All],['# CLASSES SHOW]])+  SUMIF(Dec_Period_1_Tbl[[#All],[STAFF:]],$A32,Dec_Period_1_Tbl[[#All],['# CLASSES SHOW]]))+   (SUMIF(Jan_Period_2_Tbl[[#All],[STAFF:]],$A32,Jan_Period_2_Tbl[[#All],['# CLASSES SHOW]])+
SUMIF(Feb_Period_2_Tbl[[#All],[STAFF:]],$A32,Feb_Period_2_Tbl[[#All],['# CLASSES SHOW]])+SUMIF(Mar_Period_2_Tbl[[#All],[STAFF:]],$A32,Mar_Period_2_Tbl[[#All],['# CLASSES SHOW]])+SUMIF(Apr_Period_2_Tbl[[#All],[STAFF:]],$A32,Apr_Period_2_Tbl[[#All],['# CLASSES SHOW]])+   SUMIF(May_Period_2_Tbl[[#All],[STAFF:]],$A32,May_Period_2_Tbl[[#All],['# CLASSES SHOW]])+   SUMIF(Jun_Period_2_Tbl[[#All],[STAFF:]],$A32,Jun_Period_2_Tbl[[#All],['# CLASSES SHOW]])+  SUMIF(Jul_Period_2_Tbl[[#All],[STAFF:]],$A32,Jul_Period_2_Tbl[[#All],['# CLASSES SHOW]])+  SUMIF(Aug_Period_2_Tbl[[#All],[STAFF:]],$A32,Aug_Period_2_Tbl[[#All],['# CLASSES SHOW]])+  SUMIF(Sep_Period_2_Tbl[[#All],[STAFF:]],$A32,Sep_Period_2_Tbl[[#All],['# CLASSES SHOW]])+  SUMIF(Oct_Period_2_Tbl[[#All],[STAFF:]],$A32,Oct_Period_2_Tbl[[#All],['# CLASSES SHOW]])+     SUMIF(Nov_Period_2_Tbl[[#All],[STAFF:]],$A32,Nov_Period_2_Tbl[[#All],['# CLASSES SHOW]])+  SUMIF(Dec_Period_2_Tbl[[#All],[STAFF:]],$A32,Dec_Period_2_Tbl[[#All],['# CLASSES SHOW]]))</f>
        <v>0</v>
      </c>
      <c r="V32" s="156"/>
      <c r="W32" s="156"/>
      <c r="X32" s="154">
        <f t="shared" si="1"/>
        <v>0</v>
      </c>
      <c r="Y32" s="154">
        <f t="shared" si="2"/>
        <v>0</v>
      </c>
      <c r="Z32" s="154">
        <f t="shared" si="3"/>
        <v>0</v>
      </c>
      <c r="AA32" s="154">
        <f t="shared" si="4"/>
        <v>0</v>
      </c>
      <c r="AB32" s="154">
        <f t="shared" si="5"/>
        <v>0</v>
      </c>
      <c r="AC32" s="154">
        <f t="shared" si="6"/>
        <v>0</v>
      </c>
      <c r="AD32" s="154">
        <f t="shared" si="7"/>
        <v>0</v>
      </c>
      <c r="AE32" s="149"/>
      <c r="AF32" s="149"/>
      <c r="AG32" s="149"/>
      <c r="AH32" s="149"/>
      <c r="AJ32" s="75" t="str">
        <f t="shared" si="8"/>
        <v>zBlank</v>
      </c>
      <c r="AK32" s="210"/>
      <c r="AL32" s="168">
        <f>IFERROR(VLOOKUP(B32,List!$A:$B,2,FALSE),-1)</f>
        <v>-1</v>
      </c>
      <c r="AM32" s="168">
        <f>IFERROR(VLOOKUP(C32,List!$A:$B,2,FALSE),-1)</f>
        <v>-1</v>
      </c>
    </row>
    <row r="33" spans="1:39" ht="15" hidden="1" customHeight="1" x14ac:dyDescent="0.25">
      <c r="A33" s="20"/>
      <c r="B33" s="186"/>
      <c r="C33" s="186"/>
      <c r="D33" s="187"/>
      <c r="E33" s="188">
        <f>(SUMIF(Jan_Period_1_Tbl[[#All],[STAFF:]],$A33,Jan_Period_1_Tbl[[#All],['# PTO USED]])+
SUMIF(Feb_Period_1_Tbl[[#All],[STAFF:]],$A33,Feb_Period_1_Tbl[[#All],['# PTO USED]])+SUMIF(Mar_Period_1_Tbl[[#All],[STAFF:]],$A33,Mar_Period_1_Tbl[[#All],['# PTO USED]])+SUMIF(Apr_Period_1_Tbl[[#All],[STAFF:]],$A33,Apr_Period_1_Tbl[[#All],['# PTO USED]])+   SUMIF(May_Period_1_Tbl[[#All],[STAFF:]],$A33,May_Period_1_Tbl[[#All],['# PTO USED]])+   SUMIF(Jun_Period_1_Tbl[[#All],[STAFF:]],$A33,Jun_Period_1_Tbl[[#All],['# PTO USED]])+  SUMIF(Jul_Period_1_Tbl[[#All],[STAFF:]],$A33,Jul_Period_1_Tbl[[#All],['# PTO USED]])+  SUMIF(Aug_Period_1_Tbl[[#All],[STAFF:]],$A33,Aug_Period_1_Tbl[[#All],['# PTO USED]])+  SUMIF(Sep_Period_1_Tbl[[#All],[STAFF:]],$A33,Sep_Period_1_Tbl[[#All],['# PTO USED]])+  SUMIF(Oct_Period_1_Tbl[[#All],[STAFF:]],$A33,Oct_Period_1_Tbl[[#All],['# PTO USED]])+     SUMIF(Nov_Period_1_Tbl[[#All],[STAFF:]],$A33,Nov_Period_1_Tbl[[#All],['# PTO USED]])+  SUMIF(Dec_Period_1_Tbl[[#All],[STAFF:]],$A33,Dec_Period_1_Tbl[[#All],['# PTO USED]]))+   (SUMIF(Jan_Period_2_Tbl[[#All],[STAFF:]],$A33,Jan_Period_2_Tbl[[#All],['# PTO USED]])+
SUMIF(Feb_Period_2_Tbl[[#All],[STAFF:]],$A33,Feb_Period_2_Tbl[[#All],['# PTO USED]])+SUMIF(Mar_Period_2_Tbl[[#All],[STAFF:]],$A33,Mar_Period_2_Tbl[[#All],['# PTO USED]])+SUMIF(Apr_Period_2_Tbl[[#All],[STAFF:]],$A33,Apr_Period_2_Tbl[[#All],['# PTO USED]])+   SUMIF(May_Period_2_Tbl[[#All],[STAFF:]],$A33,May_Period_2_Tbl[[#All],['# PTO USED]])+   SUMIF(Jun_Period_2_Tbl[[#All],[STAFF:]],$A33,Jun_Period_2_Tbl[[#All],['# PTO USED]])+  SUMIF(Jul_Period_2_Tbl[[#All],[STAFF:]],$A33,Jul_Period_2_Tbl[[#All],['# PTO USED]])+  SUMIF(Aug_Period_2_Tbl[[#All],[STAFF:]],$A33,Aug_Period_2_Tbl[[#All],['# PTO USED]])+  SUMIF(Sep_Period_2_Tbl[[#All],[STAFF:]],$A33,Sep_Period_2_Tbl[[#All],['# PTO USED]])+  SUMIF(Oct_Period_2_Tbl[[#All],[STAFF:]],$A33,Oct_Period_2_Tbl[[#All],['# PTO USED]])+     SUMIF(Nov_Period_2_Tbl[[#All],[STAFF:]],$A33,Nov_Period_2_Tbl[[#All],['# PTO USED]])+  SUMIF(Dec_Period_2_Tbl[[#All],[STAFF:]],$A33,Dec_Period_2_Tbl[[#All],['# PTO USED]]))</f>
        <v>0</v>
      </c>
      <c r="F33" s="189">
        <f>(SUMIF(Jan_Period_1_Tbl[[#All],[STAFF:]],$A33,Jan_Period_1_Tbl[[#All],['# HRS WORKED]])+
SUMIF(Feb_Period_1_Tbl[[#All],[STAFF:]],$A33,Feb_Period_1_Tbl[[#All],['# HRS WORKED]])+SUMIF(Mar_Period_1_Tbl[[#All],[STAFF:]],$A33,Mar_Period_1_Tbl[[#All],['# HRS WORKED]])+SUMIF(Apr_Period_1_Tbl[[#All],[STAFF:]],$A33,Apr_Period_1_Tbl[[#All],['# HRS WORKED]])+   SUMIF(May_Period_1_Tbl[[#All],[STAFF:]],$A33,May_Period_1_Tbl[[#All],['# HRS WORKED]])+   SUMIF(Jun_Period_1_Tbl[[#All],[STAFF:]],$A33,Jun_Period_1_Tbl[[#All],['# HRS WORKED]])+  SUMIF(Jul_Period_1_Tbl[[#All],[STAFF:]],$A33,Jul_Period_1_Tbl[[#All],['# HRS WORKED]])+  SUMIF(Aug_Period_1_Tbl[[#All],[STAFF:]],$A33,Aug_Period_1_Tbl[[#All],['# HRS WORKED]])+  SUMIF(Sep_Period_1_Tbl[[#All],[STAFF:]],$A33,Sep_Period_1_Tbl[[#All],['# HRS WORKED]])+  SUMIF(Oct_Period_1_Tbl[[#All],[STAFF:]],$A33,Oct_Period_1_Tbl[[#All],['# HRS WORKED]])+     SUMIF(Nov_Period_1_Tbl[[#All],[STAFF:]],$A33,Nov_Period_1_Tbl[[#All],['# HRS WORKED]])+  SUMIF(Dec_Period_1_Tbl[[#All],[STAFF:]],$A33,Dec_Period_1_Tbl[[#All],['# HRS WORKED]]))+   (SUMIF(Jan_Period_2_Tbl[[#All],[STAFF:]],$A33,Jan_Period_2_Tbl[[#All],['# HRS WORKED]])+
SUMIF(Feb_Period_2_Tbl[[#All],[STAFF:]],$A33,Feb_Period_2_Tbl[[#All],['# HRS WORKED]])+SUMIF(Mar_Period_2_Tbl[[#All],[STAFF:]],$A33,Mar_Period_2_Tbl[[#All],['# HRS WORKED]])+SUMIF(Apr_Period_2_Tbl[[#All],[STAFF:]],$A33,Apr_Period_2_Tbl[[#All],['# HRS WORKED]])+   SUMIF(May_Period_2_Tbl[[#All],[STAFF:]],$A33,May_Period_2_Tbl[[#All],['# HRS WORKED]])+   SUMIF(Jun_Period_2_Tbl[[#All],[STAFF:]],$A33,Jun_Period_2_Tbl[[#All],['# HRS WORKED]])+  SUMIF(Jul_Period_2_Tbl[[#All],[STAFF:]],$A33,Jul_Period_2_Tbl[[#All],['# HRS WORKED]])+  SUMIF(Aug_Period_2_Tbl[[#All],[STAFF:]],$A33,Aug_Period_2_Tbl[[#All],['# HRS WORKED]])+  SUMIF(Sep_Period_2_Tbl[[#All],[STAFF:]],$A33,Sep_Period_2_Tbl[[#All],['# HRS WORKED]])+  SUMIF(Oct_Period_2_Tbl[[#All],[STAFF:]],$A33,Oct_Period_2_Tbl[[#All],['# HRS WORKED]])+     SUMIF(Nov_Period_2_Tbl[[#All],[STAFF:]],$A33,Nov_Period_2_Tbl[[#All],['# HRS WORKED]])+  SUMIF(Dec_Period_2_Tbl[[#All],[STAFF:]],$A33,Dec_Period_2_Tbl[[#All],['# HRS WORKED]]))</f>
        <v>0</v>
      </c>
      <c r="G33" s="190">
        <f>(SUMIF(Jan_Period_1_Tbl[[#All],[STAFF:]],$A33,Jan_Period_1_Tbl[[#All],[$ Hourly WAGES]])+
SUMIF(Feb_Period_1_Tbl[[#All],[STAFF:]],$A33,Feb_Period_1_Tbl[[#All],[$ Hourly WAGES]])+SUMIF(Mar_Period_1_Tbl[[#All],[STAFF:]],$A33,Mar_Period_1_Tbl[[#All],[$ Hourly WAGES]])+SUMIF(Apr_Period_1_Tbl[[#All],[STAFF:]],$A33,Apr_Period_1_Tbl[[#All],[$ Hourly WAGES]])+   SUMIF(May_Period_1_Tbl[[#All],[STAFF:]],$A33,May_Period_1_Tbl[[#All],[$ Hourly WAGES]])+   SUMIF(Jun_Period_1_Tbl[[#All],[STAFF:]],$A33,Jun_Period_1_Tbl[[#All],[$ Hourly WAGES]])+  SUMIF(Jul_Period_1_Tbl[[#All],[STAFF:]],$A33,Jul_Period_1_Tbl[[#All],[$ Hourly WAGES]])+  SUMIF(Aug_Period_1_Tbl[[#All],[STAFF:]],$A33,Aug_Period_1_Tbl[[#All],[$ Hourly WAGES]])+  SUMIF(Sep_Period_1_Tbl[[#All],[STAFF:]],$A33,Sep_Period_1_Tbl[[#All],[$ Hourly WAGES]])+  SUMIF(Oct_Period_1_Tbl[[#All],[STAFF:]],$A33,Oct_Period_1_Tbl[[#All],[$ Hourly WAGES]])+     SUMIF(Nov_Period_1_Tbl[[#All],[STAFF:]],$A33,Nov_Period_1_Tbl[[#All],[$ Hourly WAGES]])+  SUMIF(Dec_Period_1_Tbl[[#All],[STAFF:]],$A33,Dec_Period_1_Tbl[[#All],[$ Hourly WAGES]]))+   (SUMIF(Jan_Period_2_Tbl[[#All],[STAFF:]],$A33,Jan_Period_2_Tbl[[#All],[$ Hourly WAGES]])+
SUMIF(Feb_Period_2_Tbl[[#All],[STAFF:]],$A33,Feb_Period_2_Tbl[[#All],[$ Hourly WAGES]])+SUMIF(Mar_Period_2_Tbl[[#All],[STAFF:]],$A33,Mar_Period_2_Tbl[[#All],[$ Hourly WAGES]])+SUMIF(Apr_Period_2_Tbl[[#All],[STAFF:]],$A33,Apr_Period_2_Tbl[[#All],[$ Hourly WAGES]])+   SUMIF(May_Period_2_Tbl[[#All],[STAFF:]],$A33,May_Period_2_Tbl[[#All],[$ Hourly WAGES]])+   SUMIF(Jun_Period_2_Tbl[[#All],[STAFF:]],$A33,Jun_Period_2_Tbl[[#All],[$ Hourly WAGES]])+  SUMIF(Jul_Period_2_Tbl[[#All],[STAFF:]],$A33,Jul_Period_2_Tbl[[#All],[$ Hourly WAGES]])+  SUMIF(Aug_Period_2_Tbl[[#All],[STAFF:]],$A33,Aug_Period_2_Tbl[[#All],[$ Hourly WAGES]])+  SUMIF(Sep_Period_2_Tbl[[#All],[STAFF:]],$A33,Sep_Period_2_Tbl[[#All],[$ Hourly WAGES]])+  SUMIF(Oct_Period_2_Tbl[[#All],[STAFF:]],$A33,Oct_Period_2_Tbl[[#All],[$ Hourly WAGES]])+     SUMIF(Nov_Period_2_Tbl[[#All],[STAFF:]],$A33,Nov_Period_2_Tbl[[#All],[$ Hourly WAGES]])+  SUMIF(Dec_Period_2_Tbl[[#All],[STAFF:]],$A33,Dec_Period_2_Tbl[[#All],[$ Hourly WAGES]]))</f>
        <v>0</v>
      </c>
      <c r="H33" s="190">
        <f>(SUMIF(Jan_Period_1_Tbl[[#All],[STAFF:]],$A33,Jan_Period_1_Tbl[[#All],[$ SALARY]])+
SUMIF(Feb_Period_1_Tbl[[#All],[STAFF:]],$A33,Feb_Period_1_Tbl[[#All],[$ SALARY]])+SUMIF(Mar_Period_1_Tbl[[#All],[STAFF:]],$A33,Mar_Period_1_Tbl[[#All],[$ SALARY]])+SUMIF(Apr_Period_1_Tbl[[#All],[STAFF:]],$A33,Apr_Period_1_Tbl[[#All],[$ SALARY]])+   SUMIF(May_Period_1_Tbl[[#All],[STAFF:]],$A33,May_Period_1_Tbl[[#All],[$ SALARY]])+   SUMIF(Jun_Period_1_Tbl[[#All],[STAFF:]],$A33,Jun_Period_1_Tbl[[#All],[$ SALARY]])+  SUMIF(Jul_Period_1_Tbl[[#All],[STAFF:]],$A33,Jul_Period_1_Tbl[[#All],[$ SALARY]])+  SUMIF(Aug_Period_1_Tbl[[#All],[STAFF:]],$A33,Aug_Period_1_Tbl[[#All],[$ SALARY]])+  SUMIF(Sep_Period_1_Tbl[[#All],[STAFF:]],$A33,Sep_Period_1_Tbl[[#All],[$ SALARY]])+  SUMIF(Oct_Period_1_Tbl[[#All],[STAFF:]],$A33,Oct_Period_1_Tbl[[#All],[$ SALARY]])+     SUMIF(Nov_Period_1_Tbl[[#All],[STAFF:]],$A33,Nov_Period_1_Tbl[[#All],[$ SALARY]])+  SUMIF(Dec_Period_1_Tbl[[#All],[STAFF:]],$A33,Dec_Period_1_Tbl[[#All],[$ SALARY]]))+   (SUMIF(Jan_Period_2_Tbl[[#All],[STAFF:]],$A33,Jan_Period_2_Tbl[[#All],[$ SALARY]])+
SUMIF(Feb_Period_2_Tbl[[#All],[STAFF:]],$A33,Feb_Period_2_Tbl[[#All],[$ SALARY]])+SUMIF(Mar_Period_2_Tbl[[#All],[STAFF:]],$A33,Mar_Period_2_Tbl[[#All],[$ SALARY]])+SUMIF(Apr_Period_2_Tbl[[#All],[STAFF:]],$A33,Apr_Period_2_Tbl[[#All],[$ SALARY]])+   SUMIF(May_Period_2_Tbl[[#All],[STAFF:]],$A33,May_Period_2_Tbl[[#All],[$ SALARY]])+   SUMIF(Jun_Period_2_Tbl[[#All],[STAFF:]],$A33,Jun_Period_2_Tbl[[#All],[$ SALARY]])+  SUMIF(Jul_Period_2_Tbl[[#All],[STAFF:]],$A33,Jul_Period_2_Tbl[[#All],[$ SALARY]])+  SUMIF(Aug_Period_2_Tbl[[#All],[STAFF:]],$A33,Aug_Period_2_Tbl[[#All],[$ SALARY]])+  SUMIF(Sep_Period_2_Tbl[[#All],[STAFF:]],$A33,Sep_Period_2_Tbl[[#All],[$ SALARY]])+  SUMIF(Oct_Period_2_Tbl[[#All],[STAFF:]],$A33,Oct_Period_2_Tbl[[#All],[$ SALARY]])+     SUMIF(Nov_Period_2_Tbl[[#All],[STAFF:]],$A33,Nov_Period_2_Tbl[[#All],[$ SALARY]])+  SUMIF(Dec_Period_2_Tbl[[#All],[STAFF:]],$A33,Dec_Period_2_Tbl[[#All],[$ SALARY]]))</f>
        <v>0</v>
      </c>
      <c r="I33" s="190">
        <f>(SUMIF(Jan_Period_1_Tbl[[#All],[STAFF:]],$A33,Jan_Period_1_Tbl[[#All],[$ SALARY PT]])+
SUMIF(Feb_Period_1_Tbl[[#All],[STAFF:]],$A33,Feb_Period_1_Tbl[[#All],[$ SALARY PT]])+SUMIF(Mar_Period_1_Tbl[[#All],[STAFF:]],$A33,Mar_Period_1_Tbl[[#All],[$ SALARY PT]])+SUMIF(Apr_Period_1_Tbl[[#All],[STAFF:]],$A33,Apr_Period_1_Tbl[[#All],[$ SALARY PT]])+   SUMIF(May_Period_1_Tbl[[#All],[STAFF:]],$A33,May_Period_1_Tbl[[#All],[$ SALARY PT]])+   SUMIF(Jun_Period_1_Tbl[[#All],[STAFF:]],$A33,Jun_Period_1_Tbl[[#All],[$ SALARY PT]])+  SUMIF(Jul_Period_1_Tbl[[#All],[STAFF:]],$A33,Jul_Period_1_Tbl[[#All],[$ SALARY PT]])+  SUMIF(Aug_Period_1_Tbl[[#All],[STAFF:]],$A33,Aug_Period_1_Tbl[[#All],[$ SALARY PT]])+  SUMIF(Sep_Period_1_Tbl[[#All],[STAFF:]],$A33,Sep_Period_1_Tbl[[#All],[$ SALARY PT]])+  SUMIF(Oct_Period_1_Tbl[[#All],[STAFF:]],$A33,Oct_Period_1_Tbl[[#All],[$ SALARY PT]])+     SUMIF(Nov_Period_1_Tbl[[#All],[STAFF:]],$A33,Nov_Period_1_Tbl[[#All],[$ SALARY PT]])+  SUMIF(Dec_Period_1_Tbl[[#All],[STAFF:]],$A33,Dec_Period_1_Tbl[[#All],[$ SALARY PT]]))+   (SUMIF(Jan_Period_2_Tbl[[#All],[STAFF:]],$A33,Jan_Period_2_Tbl[[#All],[$ SALARY PT]])+
SUMIF(Feb_Period_2_Tbl[[#All],[STAFF:]],$A33,Feb_Period_2_Tbl[[#All],[$ SALARY PT]])+SUMIF(Mar_Period_2_Tbl[[#All],[STAFF:]],$A33,Mar_Period_2_Tbl[[#All],[$ SALARY PT]])+SUMIF(Apr_Period_2_Tbl[[#All],[STAFF:]],$A33,Apr_Period_2_Tbl[[#All],[$ SALARY PT]])+   SUMIF(May_Period_2_Tbl[[#All],[STAFF:]],$A33,May_Period_2_Tbl[[#All],[$ SALARY PT]])+   SUMIF(Jun_Period_2_Tbl[[#All],[STAFF:]],$A33,Jun_Period_2_Tbl[[#All],[$ SALARY PT]])+  SUMIF(Jul_Period_2_Tbl[[#All],[STAFF:]],$A33,Jul_Period_2_Tbl[[#All],[$ SALARY PT]])+  SUMIF(Aug_Period_2_Tbl[[#All],[STAFF:]],$A33,Aug_Period_2_Tbl[[#All],[$ SALARY PT]])+  SUMIF(Sep_Period_2_Tbl[[#All],[STAFF:]],$A33,Sep_Period_2_Tbl[[#All],[$ SALARY PT]])+  SUMIF(Oct_Period_2_Tbl[[#All],[STAFF:]],$A33,Oct_Period_2_Tbl[[#All],[$ SALARY PT]])+     SUMIF(Nov_Period_2_Tbl[[#All],[STAFF:]],$A33,Nov_Period_2_Tbl[[#All],[$ SALARY PT]])+  SUMIF(Dec_Period_2_Tbl[[#All],[STAFF:]],$A33,Dec_Period_2_Tbl[[#All],[$ SALARY PT]]))</f>
        <v>0</v>
      </c>
      <c r="J33" s="190">
        <f>(SUMIF(Jan_Period_1_Tbl[[#All],[STAFF:]],$A33,Jan_Period_1_Tbl[[#All],[$ FREE PT]])+
SUMIF(Feb_Period_1_Tbl[[#All],[STAFF:]],$A33,Feb_Period_1_Tbl[[#All],[$ FREE PT]])+SUMIF(Mar_Period_1_Tbl[[#All],[STAFF:]],$A33,Mar_Period_1_Tbl[[#All],[$ FREE PT]])+SUMIF(Apr_Period_1_Tbl[[#All],[STAFF:]],$A33,Apr_Period_1_Tbl[[#All],[$ FREE PT]])+   SUMIF(May_Period_1_Tbl[[#All],[STAFF:]],$A33,May_Period_1_Tbl[[#All],[$ FREE PT]])+   SUMIF(Jun_Period_1_Tbl[[#All],[STAFF:]],$A33,Jun_Period_1_Tbl[[#All],[$ FREE PT]])+  SUMIF(Jul_Period_1_Tbl[[#All],[STAFF:]],$A33,Jul_Period_1_Tbl[[#All],[$ FREE PT]])+  SUMIF(Aug_Period_1_Tbl[[#All],[STAFF:]],$A33,Aug_Period_1_Tbl[[#All],[$ FREE PT]])+  SUMIF(Sep_Period_1_Tbl[[#All],[STAFF:]],$A33,Sep_Period_1_Tbl[[#All],[$ FREE PT]])+  SUMIF(Oct_Period_1_Tbl[[#All],[STAFF:]],$A33,Oct_Period_1_Tbl[[#All],[$ FREE PT]])+     SUMIF(Nov_Period_1_Tbl[[#All],[STAFF:]],$A33,Nov_Period_1_Tbl[[#All],[$ FREE PT]])+  SUMIF(Dec_Period_1_Tbl[[#All],[STAFF:]],$A33,Dec_Period_1_Tbl[[#All],[$ FREE PT]]))+   (SUMIF(Jan_Period_2_Tbl[[#All],[STAFF:]],$A33,Jan_Period_2_Tbl[[#All],[$ FREE PT]])+
SUMIF(Feb_Period_2_Tbl[[#All],[STAFF:]],$A33,Feb_Period_2_Tbl[[#All],[$ FREE PT]])+SUMIF(Mar_Period_2_Tbl[[#All],[STAFF:]],$A33,Mar_Period_2_Tbl[[#All],[$ FREE PT]])+SUMIF(Apr_Period_2_Tbl[[#All],[STAFF:]],$A33,Apr_Period_2_Tbl[[#All],[$ FREE PT]])+   SUMIF(May_Period_2_Tbl[[#All],[STAFF:]],$A33,May_Period_2_Tbl[[#All],[$ FREE PT]])+   SUMIF(Jun_Period_2_Tbl[[#All],[STAFF:]],$A33,Jun_Period_2_Tbl[[#All],[$ FREE PT]])+  SUMIF(Jul_Period_2_Tbl[[#All],[STAFF:]],$A33,Jul_Period_2_Tbl[[#All],[$ FREE PT]])+  SUMIF(Aug_Period_2_Tbl[[#All],[STAFF:]],$A33,Aug_Period_2_Tbl[[#All],[$ FREE PT]])+  SUMIF(Sep_Period_2_Tbl[[#All],[STAFF:]],$A33,Sep_Period_2_Tbl[[#All],[$ FREE PT]])+  SUMIF(Oct_Period_2_Tbl[[#All],[STAFF:]],$A33,Oct_Period_2_Tbl[[#All],[$ FREE PT]])+     SUMIF(Nov_Period_2_Tbl[[#All],[STAFF:]],$A33,Nov_Period_2_Tbl[[#All],[$ FREE PT]])+  SUMIF(Dec_Period_2_Tbl[[#All],[STAFF:]],$A33,Dec_Period_2_Tbl[[#All],[$ FREE PT]]))</f>
        <v>0</v>
      </c>
      <c r="K33" s="190">
        <f>(SUMIF(Jan_Period_1_Tbl[[#All],[STAFF:]],$A33,Jan_Period_1_Tbl[[#All],[$ PAID PT]])+
SUMIF(Feb_Period_1_Tbl[[#All],[STAFF:]],$A33,Feb_Period_1_Tbl[[#All],[$ PAID PT]])+SUMIF(Mar_Period_1_Tbl[[#All],[STAFF:]],$A33,Mar_Period_1_Tbl[[#All],[$ PAID PT]])+SUMIF(Apr_Period_1_Tbl[[#All],[STAFF:]],$A33,Apr_Period_1_Tbl[[#All],[$ PAID PT]])+   SUMIF(May_Period_1_Tbl[[#All],[STAFF:]],$A33,May_Period_1_Tbl[[#All],[$ PAID PT]])+   SUMIF(Jun_Period_1_Tbl[[#All],[STAFF:]],$A33,Jun_Period_1_Tbl[[#All],[$ PAID PT]])+  SUMIF(Jul_Period_1_Tbl[[#All],[STAFF:]],$A33,Jul_Period_1_Tbl[[#All],[$ PAID PT]])+  SUMIF(Aug_Period_1_Tbl[[#All],[STAFF:]],$A33,Aug_Period_1_Tbl[[#All],[$ PAID PT]])+  SUMIF(Sep_Period_1_Tbl[[#All],[STAFF:]],$A33,Sep_Period_1_Tbl[[#All],[$ PAID PT]])+  SUMIF(Oct_Period_1_Tbl[[#All],[STAFF:]],$A33,Oct_Period_1_Tbl[[#All],[$ PAID PT]])+     SUMIF(Nov_Period_1_Tbl[[#All],[STAFF:]],$A33,Nov_Period_1_Tbl[[#All],[$ PAID PT]])+  SUMIF(Dec_Period_1_Tbl[[#All],[STAFF:]],$A33,Dec_Period_1_Tbl[[#All],[$ PAID PT]]))+   (SUMIF(Jan_Period_2_Tbl[[#All],[STAFF:]],$A33,Jan_Period_2_Tbl[[#All],[$ PAID PT]])+
SUMIF(Feb_Period_2_Tbl[[#All],[STAFF:]],$A33,Feb_Period_2_Tbl[[#All],[$ PAID PT]])+SUMIF(Mar_Period_2_Tbl[[#All],[STAFF:]],$A33,Mar_Period_2_Tbl[[#All],[$ PAID PT]])+SUMIF(Apr_Period_2_Tbl[[#All],[STAFF:]],$A33,Apr_Period_2_Tbl[[#All],[$ PAID PT]])+   SUMIF(May_Period_2_Tbl[[#All],[STAFF:]],$A33,May_Period_2_Tbl[[#All],[$ PAID PT]])+   SUMIF(Jun_Period_2_Tbl[[#All],[STAFF:]],$A33,Jun_Period_2_Tbl[[#All],[$ PAID PT]])+  SUMIF(Jul_Period_2_Tbl[[#All],[STAFF:]],$A33,Jul_Period_2_Tbl[[#All],[$ PAID PT]])+  SUMIF(Aug_Period_2_Tbl[[#All],[STAFF:]],$A33,Aug_Period_2_Tbl[[#All],[$ PAID PT]])+  SUMIF(Sep_Period_2_Tbl[[#All],[STAFF:]],$A33,Sep_Period_2_Tbl[[#All],[$ PAID PT]])+  SUMIF(Oct_Period_2_Tbl[[#All],[STAFF:]],$A33,Oct_Period_2_Tbl[[#All],[$ PAID PT]])+     SUMIF(Nov_Period_2_Tbl[[#All],[STAFF:]],$A33,Nov_Period_2_Tbl[[#All],[$ PAID PT]])+  SUMIF(Dec_Period_2_Tbl[[#All],[STAFF:]],$A33,Dec_Period_2_Tbl[[#All],[$ PAID PT]]))</f>
        <v>0</v>
      </c>
      <c r="L33" s="190">
        <f>(SUMIF(Jan_Period_1_Tbl[[#All],[STAFF:]],$A33,Jan_Period_1_Tbl[[#All],[$ PT COMM]])+
SUMIF(Feb_Period_1_Tbl[[#All],[STAFF:]],$A33,Feb_Period_1_Tbl[[#All],[$ PT COMM]])+SUMIF(Mar_Period_1_Tbl[[#All],[STAFF:]],$A33,Mar_Period_1_Tbl[[#All],[$ PT COMM]])+SUMIF(Apr_Period_1_Tbl[[#All],[STAFF:]],$A33,Apr_Period_1_Tbl[[#All],[$ PT COMM]])+   SUMIF(May_Period_1_Tbl[[#All],[STAFF:]],$A33,May_Period_1_Tbl[[#All],[$ PT COMM]])+   SUMIF(Jun_Period_1_Tbl[[#All],[STAFF:]],$A33,Jun_Period_1_Tbl[[#All],[$ PT COMM]])+  SUMIF(Jul_Period_1_Tbl[[#All],[STAFF:]],$A33,Jul_Period_1_Tbl[[#All],[$ PT COMM]])+  SUMIF(Aug_Period_1_Tbl[[#All],[STAFF:]],$A33,Aug_Period_1_Tbl[[#All],[$ PT COMM]])+  SUMIF(Sep_Period_1_Tbl[[#All],[STAFF:]],$A33,Sep_Period_1_Tbl[[#All],[$ PT COMM]])+  SUMIF(Oct_Period_1_Tbl[[#All],[STAFF:]],$A33,Oct_Period_1_Tbl[[#All],[$ PT COMM]])+     SUMIF(Nov_Period_1_Tbl[[#All],[STAFF:]],$A33,Nov_Period_1_Tbl[[#All],[$ PT COMM]])+  SUMIF(Dec_Period_1_Tbl[[#All],[STAFF:]],$A33,Dec_Period_1_Tbl[[#All],[$ PT COMM]]))+   (SUMIF(Jan_Period_2_Tbl[[#All],[STAFF:]],$A33,Jan_Period_2_Tbl[[#All],[$ PT COMM]])+
SUMIF(Feb_Period_2_Tbl[[#All],[STAFF:]],$A33,Feb_Period_2_Tbl[[#All],[$ PT COMM]])+SUMIF(Mar_Period_2_Tbl[[#All],[STAFF:]],$A33,Mar_Period_2_Tbl[[#All],[$ PT COMM]])+SUMIF(Apr_Period_2_Tbl[[#All],[STAFF:]],$A33,Apr_Period_2_Tbl[[#All],[$ PT COMM]])+   SUMIF(May_Period_2_Tbl[[#All],[STAFF:]],$A33,May_Period_2_Tbl[[#All],[$ PT COMM]])+   SUMIF(Jun_Period_2_Tbl[[#All],[STAFF:]],$A33,Jun_Period_2_Tbl[[#All],[$ PT COMM]])+  SUMIF(Jul_Period_2_Tbl[[#All],[STAFF:]],$A33,Jul_Period_2_Tbl[[#All],[$ PT COMM]])+  SUMIF(Aug_Period_2_Tbl[[#All],[STAFF:]],$A33,Aug_Period_2_Tbl[[#All],[$ PT COMM]])+  SUMIF(Sep_Period_2_Tbl[[#All],[STAFF:]],$A33,Sep_Period_2_Tbl[[#All],[$ PT COMM]])+  SUMIF(Oct_Period_2_Tbl[[#All],[STAFF:]],$A33,Oct_Period_2_Tbl[[#All],[$ PT COMM]])+     SUMIF(Nov_Period_2_Tbl[[#All],[STAFF:]],$A33,Nov_Period_2_Tbl[[#All],[$ PT COMM]])+  SUMIF(Dec_Period_2_Tbl[[#All],[STAFF:]],$A33,Dec_Period_2_Tbl[[#All],[$ PT COMM]]))</f>
        <v>0</v>
      </c>
      <c r="M33" s="190">
        <f>(SUMIF(Jan_Period_1_Tbl[[#All],[STAFF:]],$A33,Jan_Period_1_Tbl[[#All],[$ EFT COMM]])+
SUMIF(Feb_Period_1_Tbl[[#All],[STAFF:]],$A33,Feb_Period_1_Tbl[[#All],[$ EFT COMM]])+SUMIF(Mar_Period_1_Tbl[[#All],[STAFF:]],$A33,Mar_Period_1_Tbl[[#All],[$ EFT COMM]])+SUMIF(Apr_Period_1_Tbl[[#All],[STAFF:]],$A33,Apr_Period_1_Tbl[[#All],[$ EFT COMM]])+   SUMIF(May_Period_1_Tbl[[#All],[STAFF:]],$A33,May_Period_1_Tbl[[#All],[$ EFT COMM]])+   SUMIF(Jun_Period_1_Tbl[[#All],[STAFF:]],$A33,Jun_Period_1_Tbl[[#All],[$ EFT COMM]])+  SUMIF(Jul_Period_1_Tbl[[#All],[STAFF:]],$A33,Jul_Period_1_Tbl[[#All],[$ EFT COMM]])+  SUMIF(Aug_Period_1_Tbl[[#All],[STAFF:]],$A33,Aug_Period_1_Tbl[[#All],[$ EFT COMM]])+  SUMIF(Sep_Period_1_Tbl[[#All],[STAFF:]],$A33,Sep_Period_1_Tbl[[#All],[$ EFT COMM]])+  SUMIF(Oct_Period_1_Tbl[[#All],[STAFF:]],$A33,Oct_Period_1_Tbl[[#All],[$ EFT COMM]])+     SUMIF(Nov_Period_1_Tbl[[#All],[STAFF:]],$A33,Nov_Period_1_Tbl[[#All],[$ EFT COMM]])+  SUMIF(Dec_Period_1_Tbl[[#All],[STAFF:]],$A33,Dec_Period_1_Tbl[[#All],[$ EFT COMM]]))+   (SUMIF(Jan_Period_2_Tbl[[#All],[STAFF:]],$A33,Jan_Period_2_Tbl[[#All],[$ EFT COMM]])+
SUMIF(Feb_Period_2_Tbl[[#All],[STAFF:]],$A33,Feb_Period_2_Tbl[[#All],[$ EFT COMM]])+SUMIF(Mar_Period_2_Tbl[[#All],[STAFF:]],$A33,Mar_Period_2_Tbl[[#All],[$ EFT COMM]])+SUMIF(Apr_Period_2_Tbl[[#All],[STAFF:]],$A33,Apr_Period_2_Tbl[[#All],[$ EFT COMM]])+   SUMIF(May_Period_2_Tbl[[#All],[STAFF:]],$A33,May_Period_2_Tbl[[#All],[$ EFT COMM]])+   SUMIF(Jun_Period_2_Tbl[[#All],[STAFF:]],$A33,Jun_Period_2_Tbl[[#All],[$ EFT COMM]])+  SUMIF(Jul_Period_2_Tbl[[#All],[STAFF:]],$A33,Jul_Period_2_Tbl[[#All],[$ EFT COMM]])+  SUMIF(Aug_Period_2_Tbl[[#All],[STAFF:]],$A33,Aug_Period_2_Tbl[[#All],[$ EFT COMM]])+  SUMIF(Sep_Period_2_Tbl[[#All],[STAFF:]],$A33,Sep_Period_2_Tbl[[#All],[$ EFT COMM]])+  SUMIF(Oct_Period_2_Tbl[[#All],[STAFF:]],$A33,Oct_Period_2_Tbl[[#All],[$ EFT COMM]])+     SUMIF(Nov_Period_2_Tbl[[#All],[STAFF:]],$A33,Nov_Period_2_Tbl[[#All],[$ EFT COMM]])+  SUMIF(Dec_Period_2_Tbl[[#All],[STAFF:]],$A33,Dec_Period_2_Tbl[[#All],[$ EFT COMM]]))</f>
        <v>0</v>
      </c>
      <c r="N33" s="190">
        <f>(SUMIF(Jan_Period_1_Tbl[[#All],[STAFF:]],$A33,Jan_Period_1_Tbl[[#All],[$ CLASS PAY]])+
SUMIF(Feb_Period_1_Tbl[[#All],[STAFF:]],$A33,Feb_Period_1_Tbl[[#All],[$ CLASS PAY]])+SUMIF(Mar_Period_1_Tbl[[#All],[STAFF:]],$A33,Mar_Period_1_Tbl[[#All],[$ CLASS PAY]])+SUMIF(Apr_Period_1_Tbl[[#All],[STAFF:]],$A33,Apr_Period_1_Tbl[[#All],[$ CLASS PAY]])+   SUMIF(May_Period_1_Tbl[[#All],[STAFF:]],$A33,May_Period_1_Tbl[[#All],[$ CLASS PAY]])+   SUMIF(Jun_Period_1_Tbl[[#All],[STAFF:]],$A33,Jun_Period_1_Tbl[[#All],[$ CLASS PAY]])+  SUMIF(Jul_Period_1_Tbl[[#All],[STAFF:]],$A33,Jul_Period_1_Tbl[[#All],[$ CLASS PAY]])+  SUMIF(Aug_Period_1_Tbl[[#All],[STAFF:]],$A33,Aug_Period_1_Tbl[[#All],[$ CLASS PAY]])+  SUMIF(Sep_Period_1_Tbl[[#All],[STAFF:]],$A33,Sep_Period_1_Tbl[[#All],[$ CLASS PAY]])+  SUMIF(Oct_Period_1_Tbl[[#All],[STAFF:]],$A33,Oct_Period_1_Tbl[[#All],[$ CLASS PAY]])+     SUMIF(Nov_Period_1_Tbl[[#All],[STAFF:]],$A33,Nov_Period_1_Tbl[[#All],[$ CLASS PAY]])+  SUMIF(Dec_Period_1_Tbl[[#All],[STAFF:]],$A33,Dec_Period_1_Tbl[[#All],[$ CLASS PAY]]))+   (SUMIF(Jan_Period_2_Tbl[[#All],[STAFF:]],$A33,Jan_Period_2_Tbl[[#All],[$ CLASS PAY]])+
SUMIF(Feb_Period_2_Tbl[[#All],[STAFF:]],$A33,Feb_Period_2_Tbl[[#All],[$ CLASS PAY]])+SUMIF(Mar_Period_2_Tbl[[#All],[STAFF:]],$A33,Mar_Period_2_Tbl[[#All],[$ CLASS PAY]])+SUMIF(Apr_Period_2_Tbl[[#All],[STAFF:]],$A33,Apr_Period_2_Tbl[[#All],[$ CLASS PAY]])+   SUMIF(May_Period_2_Tbl[[#All],[STAFF:]],$A33,May_Period_2_Tbl[[#All],[$ CLASS PAY]])+   SUMIF(Jun_Period_2_Tbl[[#All],[STAFF:]],$A33,Jun_Period_2_Tbl[[#All],[$ CLASS PAY]])+  SUMIF(Jul_Period_2_Tbl[[#All],[STAFF:]],$A33,Jul_Period_2_Tbl[[#All],[$ CLASS PAY]])+  SUMIF(Aug_Period_2_Tbl[[#All],[STAFF:]],$A33,Aug_Period_2_Tbl[[#All],[$ CLASS PAY]])+  SUMIF(Sep_Period_2_Tbl[[#All],[STAFF:]],$A33,Sep_Period_2_Tbl[[#All],[$ CLASS PAY]])+  SUMIF(Oct_Period_2_Tbl[[#All],[STAFF:]],$A33,Oct_Period_2_Tbl[[#All],[$ CLASS PAY]])+     SUMIF(Nov_Period_2_Tbl[[#All],[STAFF:]],$A33,Nov_Period_2_Tbl[[#All],[$ CLASS PAY]])+  SUMIF(Dec_Period_2_Tbl[[#All],[STAFF:]],$A33,Dec_Period_2_Tbl[[#All],[$ CLASS PAY]]))</f>
        <v>0</v>
      </c>
      <c r="O33" s="191">
        <f>(SUMIF(Jan_Period_1_Tbl[[#All],[STAFF:]],$A33,Jan_Period_1_Tbl[[#All],[$ BONUS PAY]])+
SUMIF(Feb_Period_1_Tbl[[#All],[STAFF:]],$A33,Feb_Period_1_Tbl[[#All],[$ BONUS PAY]])+SUMIF(Mar_Period_1_Tbl[[#All],[STAFF:]],$A33,Mar_Period_1_Tbl[[#All],[$ BONUS PAY]])+SUMIF(Apr_Period_1_Tbl[[#All],[STAFF:]],$A33,Apr_Period_1_Tbl[[#All],[$ BONUS PAY]])+   SUMIF(May_Period_1_Tbl[[#All],[STAFF:]],$A33,May_Period_1_Tbl[[#All],[$ BONUS PAY]])+   SUMIF(Jun_Period_1_Tbl[[#All],[STAFF:]],$A33,Jun_Period_1_Tbl[[#All],[$ BONUS PAY]])+  SUMIF(Jul_Period_1_Tbl[[#All],[STAFF:]],$A33,Jul_Period_1_Tbl[[#All],[$ BONUS PAY]])+  SUMIF(Aug_Period_1_Tbl[[#All],[STAFF:]],$A33,Aug_Period_1_Tbl[[#All],[$ BONUS PAY]])+  SUMIF(Sep_Period_1_Tbl[[#All],[STAFF:]],$A33,Sep_Period_1_Tbl[[#All],[$ BONUS PAY]])+  SUMIF(Oct_Period_1_Tbl[[#All],[STAFF:]],$A33,Oct_Period_1_Tbl[[#All],[$ BONUS PAY]])+     SUMIF(Nov_Period_1_Tbl[[#All],[STAFF:]],$A33,Nov_Period_1_Tbl[[#All],[$ BONUS PAY]])+  SUMIF(Dec_Period_1_Tbl[[#All],[STAFF:]],$A33,Dec_Period_1_Tbl[[#All],[$ BONUS PAY]]))+   (SUMIF(Jan_Period_2_Tbl[[#All],[STAFF:]],$A33,Jan_Period_2_Tbl[[#All],[$ BONUS PAY]])+
SUMIF(Feb_Period_2_Tbl[[#All],[STAFF:]],$A33,Feb_Period_2_Tbl[[#All],[$ BONUS PAY]])+SUMIF(Mar_Period_2_Tbl[[#All],[STAFF:]],$A33,Mar_Period_2_Tbl[[#All],[$ BONUS PAY]])+SUMIF(Apr_Period_2_Tbl[[#All],[STAFF:]],$A33,Apr_Period_2_Tbl[[#All],[$ BONUS PAY]])+   SUMIF(May_Period_2_Tbl[[#All],[STAFF:]],$A33,May_Period_2_Tbl[[#All],[$ BONUS PAY]])+   SUMIF(Jun_Period_2_Tbl[[#All],[STAFF:]],$A33,Jun_Period_2_Tbl[[#All],[$ BONUS PAY]])+  SUMIF(Jul_Period_2_Tbl[[#All],[STAFF:]],$A33,Jul_Period_2_Tbl[[#All],[$ BONUS PAY]])+  SUMIF(Aug_Period_2_Tbl[[#All],[STAFF:]],$A33,Aug_Period_2_Tbl[[#All],[$ BONUS PAY]])+  SUMIF(Sep_Period_2_Tbl[[#All],[STAFF:]],$A33,Sep_Period_2_Tbl[[#All],[$ BONUS PAY]])+  SUMIF(Oct_Period_2_Tbl[[#All],[STAFF:]],$A33,Oct_Period_2_Tbl[[#All],[$ BONUS PAY]])+     SUMIF(Nov_Period_2_Tbl[[#All],[STAFF:]],$A33,Nov_Period_2_Tbl[[#All],[$ BONUS PAY]])+  SUMIF(Dec_Period_2_Tbl[[#All],[STAFF:]],$A33,Dec_Period_2_Tbl[[#All],[$ BONUS PAY]]))</f>
        <v>0</v>
      </c>
      <c r="P33" s="179">
        <f t="shared" si="0"/>
        <v>0</v>
      </c>
      <c r="Q33" s="149"/>
      <c r="R33" s="153">
        <f>(SUMIF(Jan_Period_1_Tbl[[#All],[STAFF:]],$A33,Jan_Period_1_Tbl[[#All],['# POINTS EARNED]])+
SUMIF(Feb_Period_1_Tbl[[#All],[STAFF:]],$A33,Feb_Period_1_Tbl[[#All],['# POINTS EARNED]])+SUMIF(Mar_Period_1_Tbl[[#All],[STAFF:]],$A33,Mar_Period_1_Tbl[[#All],['# POINTS EARNED]])+SUMIF(Apr_Period_1_Tbl[[#All],[STAFF:]],$A33,Apr_Period_1_Tbl[[#All],['# POINTS EARNED]])+   SUMIF(May_Period_1_Tbl[[#All],[STAFF:]],$A33,May_Period_1_Tbl[[#All],['# POINTS EARNED]])+   SUMIF(Jun_Period_1_Tbl[[#All],[STAFF:]],$A33,Jun_Period_1_Tbl[[#All],['# POINTS EARNED]])+  SUMIF(Jul_Period_1_Tbl[[#All],[STAFF:]],$A33,Jul_Period_1_Tbl[[#All],['# POINTS EARNED]])+  SUMIF(Aug_Period_1_Tbl[[#All],[STAFF:]],$A33,Aug_Period_1_Tbl[[#All],['# POINTS EARNED]])+  SUMIF(Sep_Period_1_Tbl[[#All],[STAFF:]],$A33,Sep_Period_1_Tbl[[#All],['# POINTS EARNED]])+  SUMIF(Oct_Period_1_Tbl[[#All],[STAFF:]],$A33,Oct_Period_1_Tbl[[#All],['# POINTS EARNED]])+     SUMIF(Nov_Period_1_Tbl[[#All],[STAFF:]],$A33,Nov_Period_1_Tbl[[#All],['# POINTS EARNED]])+  SUMIF(Dec_Period_1_Tbl[[#All],[STAFF:]],$A33,Dec_Period_1_Tbl[[#All],['# POINTS EARNED]]))+   (SUMIF(Jan_Period_2_Tbl[[#All],[STAFF:]],$A33,Jan_Period_2_Tbl[[#All],['# POINTS EARNED]])+
SUMIF(Feb_Period_2_Tbl[[#All],[STAFF:]],$A33,Feb_Period_2_Tbl[[#All],['# POINTS EARNED]])+SUMIF(Mar_Period_2_Tbl[[#All],[STAFF:]],$A33,Mar_Period_2_Tbl[[#All],['# POINTS EARNED]])+SUMIF(Apr_Period_2_Tbl[[#All],[STAFF:]],$A33,Apr_Period_2_Tbl[[#All],['# POINTS EARNED]])+   SUMIF(May_Period_2_Tbl[[#All],[STAFF:]],$A33,May_Period_2_Tbl[[#All],['# POINTS EARNED]])+   SUMIF(Jun_Period_2_Tbl[[#All],[STAFF:]],$A33,Jun_Period_2_Tbl[[#All],['# POINTS EARNED]])+  SUMIF(Jul_Period_2_Tbl[[#All],[STAFF:]],$A33,Jul_Period_2_Tbl[[#All],['# POINTS EARNED]])+  SUMIF(Aug_Period_2_Tbl[[#All],[STAFF:]],$A33,Aug_Period_2_Tbl[[#All],['# POINTS EARNED]])+  SUMIF(Sep_Period_2_Tbl[[#All],[STAFF:]],$A33,Sep_Period_2_Tbl[[#All],['# POINTS EARNED]])+  SUMIF(Oct_Period_2_Tbl[[#All],[STAFF:]],$A33,Oct_Period_2_Tbl[[#All],['# POINTS EARNED]])+     SUMIF(Nov_Period_2_Tbl[[#All],[STAFF:]],$A33,Nov_Period_2_Tbl[[#All],['# POINTS EARNED]])+  SUMIF(Dec_Period_2_Tbl[[#All],[STAFF:]],$A33,Dec_Period_2_Tbl[[#All],['# POINTS EARNED]]))</f>
        <v>0</v>
      </c>
      <c r="S33" s="153">
        <f>(SUMIF(Jan_Period_1_Tbl[[#All],[STAFF:]],$A33,Jan_Period_1_Tbl[[#All],['# POINTS USED]])+
SUMIF(Feb_Period_1_Tbl[[#All],[STAFF:]],$A33,Feb_Period_1_Tbl[[#All],['# POINTS USED]])+SUMIF(Mar_Period_1_Tbl[[#All],[STAFF:]],$A33,Mar_Period_1_Tbl[[#All],['# POINTS USED]])+SUMIF(Apr_Period_1_Tbl[[#All],[STAFF:]],$A33,Apr_Period_1_Tbl[[#All],['# POINTS USED]])+   SUMIF(May_Period_1_Tbl[[#All],[STAFF:]],$A33,May_Period_1_Tbl[[#All],['# POINTS USED]])+   SUMIF(Jun_Period_1_Tbl[[#All],[STAFF:]],$A33,Jun_Period_1_Tbl[[#All],['# POINTS USED]])+  SUMIF(Jul_Period_1_Tbl[[#All],[STAFF:]],$A33,Jul_Period_1_Tbl[[#All],['# POINTS USED]])+  SUMIF(Aug_Period_1_Tbl[[#All],[STAFF:]],$A33,Aug_Period_1_Tbl[[#All],['# POINTS USED]])+  SUMIF(Sep_Period_1_Tbl[[#All],[STAFF:]],$A33,Sep_Period_1_Tbl[[#All],['# POINTS USED]])+  SUMIF(Oct_Period_1_Tbl[[#All],[STAFF:]],$A33,Oct_Period_1_Tbl[[#All],['# POINTS USED]])+     SUMIF(Nov_Period_1_Tbl[[#All],[STAFF:]],$A33,Nov_Period_1_Tbl[[#All],['# POINTS USED]])+  SUMIF(Dec_Period_1_Tbl[[#All],[STAFF:]],$A33,Dec_Period_1_Tbl[[#All],['# POINTS USED]]))+   (SUMIF(Jan_Period_2_Tbl[[#All],[STAFF:]],$A33,Jan_Period_2_Tbl[[#All],['# POINTS USED]])+
SUMIF(Feb_Period_2_Tbl[[#All],[STAFF:]],$A33,Feb_Period_2_Tbl[[#All],['# POINTS USED]])+SUMIF(Mar_Period_2_Tbl[[#All],[STAFF:]],$A33,Mar_Period_2_Tbl[[#All],['# POINTS USED]])+SUMIF(Apr_Period_2_Tbl[[#All],[STAFF:]],$A33,Apr_Period_2_Tbl[[#All],['# POINTS USED]])+   SUMIF(May_Period_2_Tbl[[#All],[STAFF:]],$A33,May_Period_2_Tbl[[#All],['# POINTS USED]])+   SUMIF(Jun_Period_2_Tbl[[#All],[STAFF:]],$A33,Jun_Period_2_Tbl[[#All],['# POINTS USED]])+  SUMIF(Jul_Period_2_Tbl[[#All],[STAFF:]],$A33,Jul_Period_2_Tbl[[#All],['# POINTS USED]])+  SUMIF(Aug_Period_2_Tbl[[#All],[STAFF:]],$A33,Aug_Period_2_Tbl[[#All],['# POINTS USED]])+  SUMIF(Sep_Period_2_Tbl[[#All],[STAFF:]],$A33,Sep_Period_2_Tbl[[#All],['# POINTS USED]])+  SUMIF(Oct_Period_2_Tbl[[#All],[STAFF:]],$A33,Oct_Period_2_Tbl[[#All],['# POINTS USED]])+     SUMIF(Nov_Period_2_Tbl[[#All],[STAFF:]],$A33,Nov_Period_2_Tbl[[#All],['# POINTS USED]])+  SUMIF(Dec_Period_2_Tbl[[#All],[STAFF:]],$A33,Dec_Period_2_Tbl[[#All],['# POINTS USED]]))</f>
        <v>0</v>
      </c>
      <c r="T33" s="153">
        <f>(SUMIF(Jan_Period_1_Tbl[[#All],[STAFF:]],$A33,Jan_Period_1_Tbl[[#All],['# CLASSES LEAD]])+
SUMIF(Feb_Period_1_Tbl[[#All],[STAFF:]],$A33,Feb_Period_1_Tbl[[#All],['# CLASSES LEAD]])+SUMIF(Mar_Period_1_Tbl[[#All],[STAFF:]],$A33,Mar_Period_1_Tbl[[#All],['# CLASSES LEAD]])+SUMIF(Apr_Period_1_Tbl[[#All],[STAFF:]],$A33,Apr_Period_1_Tbl[[#All],['# CLASSES LEAD]])+   SUMIF(May_Period_1_Tbl[[#All],[STAFF:]],$A33,May_Period_1_Tbl[[#All],['# CLASSES LEAD]])+   SUMIF(Jun_Period_1_Tbl[[#All],[STAFF:]],$A33,Jun_Period_1_Tbl[[#All],['# CLASSES LEAD]])+  SUMIF(Jul_Period_1_Tbl[[#All],[STAFF:]],$A33,Jul_Period_1_Tbl[[#All],['# CLASSES LEAD]])+  SUMIF(Aug_Period_1_Tbl[[#All],[STAFF:]],$A33,Aug_Period_1_Tbl[[#All],['# CLASSES LEAD]])+  SUMIF(Sep_Period_1_Tbl[[#All],[STAFF:]],$A33,Sep_Period_1_Tbl[[#All],['# CLASSES LEAD]])+  SUMIF(Oct_Period_1_Tbl[[#All],[STAFF:]],$A33,Oct_Period_1_Tbl[[#All],['# CLASSES LEAD]])+     SUMIF(Nov_Period_1_Tbl[[#All],[STAFF:]],$A33,Nov_Period_1_Tbl[[#All],['# CLASSES LEAD]])+  SUMIF(Dec_Period_1_Tbl[[#All],[STAFF:]],$A33,Dec_Period_1_Tbl[[#All],['# CLASSES LEAD]]))+   (SUMIF(Jan_Period_2_Tbl[[#All],[STAFF:]],$A33,Jan_Period_2_Tbl[[#All],['# CLASSES LEAD]])+
SUMIF(Feb_Period_2_Tbl[[#All],[STAFF:]],$A33,Feb_Period_2_Tbl[[#All],['# CLASSES LEAD]])+SUMIF(Mar_Period_2_Tbl[[#All],[STAFF:]],$A33,Mar_Period_2_Tbl[[#All],['# CLASSES LEAD]])+SUMIF(Apr_Period_2_Tbl[[#All],[STAFF:]],$A33,Apr_Period_2_Tbl[[#All],['# CLASSES LEAD]])+   SUMIF(May_Period_2_Tbl[[#All],[STAFF:]],$A33,May_Period_2_Tbl[[#All],['# CLASSES LEAD]])+   SUMIF(Jun_Period_2_Tbl[[#All],[STAFF:]],$A33,Jun_Period_2_Tbl[[#All],['# CLASSES LEAD]])+  SUMIF(Jul_Period_2_Tbl[[#All],[STAFF:]],$A33,Jul_Period_2_Tbl[[#All],['# CLASSES LEAD]])+  SUMIF(Aug_Period_2_Tbl[[#All],[STAFF:]],$A33,Aug_Period_2_Tbl[[#All],['# CLASSES LEAD]])+  SUMIF(Sep_Period_2_Tbl[[#All],[STAFF:]],$A33,Sep_Period_2_Tbl[[#All],['# CLASSES LEAD]])+  SUMIF(Oct_Period_2_Tbl[[#All],[STAFF:]],$A33,Oct_Period_2_Tbl[[#All],['# CLASSES LEAD]])+     SUMIF(Nov_Period_2_Tbl[[#All],[STAFF:]],$A33,Nov_Period_2_Tbl[[#All],['# CLASSES LEAD]])+  SUMIF(Dec_Period_2_Tbl[[#All],[STAFF:]],$A33,Dec_Period_2_Tbl[[#All],['# CLASSES LEAD]]))</f>
        <v>0</v>
      </c>
      <c r="U33" s="153">
        <f>(SUMIF(Jan_Period_1_Tbl[[#All],[STAFF:]],$A33,Jan_Period_1_Tbl[[#All],['# CLASSES SHOW]])+
SUMIF(Feb_Period_1_Tbl[[#All],[STAFF:]],$A33,Feb_Period_1_Tbl[[#All],['# CLASSES SHOW]])+SUMIF(Mar_Period_1_Tbl[[#All],[STAFF:]],$A33,Mar_Period_1_Tbl[[#All],['# CLASSES SHOW]])+SUMIF(Apr_Period_1_Tbl[[#All],[STAFF:]],$A33,Apr_Period_1_Tbl[[#All],['# CLASSES SHOW]])+   SUMIF(May_Period_1_Tbl[[#All],[STAFF:]],$A33,May_Period_1_Tbl[[#All],['# CLASSES SHOW]])+   SUMIF(Jun_Period_1_Tbl[[#All],[STAFF:]],$A33,Jun_Period_1_Tbl[[#All],['# CLASSES SHOW]])+  SUMIF(Jul_Period_1_Tbl[[#All],[STAFF:]],$A33,Jul_Period_1_Tbl[[#All],['# CLASSES SHOW]])+  SUMIF(Aug_Period_1_Tbl[[#All],[STAFF:]],$A33,Aug_Period_1_Tbl[[#All],['# CLASSES SHOW]])+  SUMIF(Sep_Period_1_Tbl[[#All],[STAFF:]],$A33,Sep_Period_1_Tbl[[#All],['# CLASSES SHOW]])+  SUMIF(Oct_Period_1_Tbl[[#All],[STAFF:]],$A33,Oct_Period_1_Tbl[[#All],['# CLASSES SHOW]])+     SUMIF(Nov_Period_1_Tbl[[#All],[STAFF:]],$A33,Nov_Period_1_Tbl[[#All],['# CLASSES SHOW]])+  SUMIF(Dec_Period_1_Tbl[[#All],[STAFF:]],$A33,Dec_Period_1_Tbl[[#All],['# CLASSES SHOW]]))+   (SUMIF(Jan_Period_2_Tbl[[#All],[STAFF:]],$A33,Jan_Period_2_Tbl[[#All],['# CLASSES SHOW]])+
SUMIF(Feb_Period_2_Tbl[[#All],[STAFF:]],$A33,Feb_Period_2_Tbl[[#All],['# CLASSES SHOW]])+SUMIF(Mar_Period_2_Tbl[[#All],[STAFF:]],$A33,Mar_Period_2_Tbl[[#All],['# CLASSES SHOW]])+SUMIF(Apr_Period_2_Tbl[[#All],[STAFF:]],$A33,Apr_Period_2_Tbl[[#All],['# CLASSES SHOW]])+   SUMIF(May_Period_2_Tbl[[#All],[STAFF:]],$A33,May_Period_2_Tbl[[#All],['# CLASSES SHOW]])+   SUMIF(Jun_Period_2_Tbl[[#All],[STAFF:]],$A33,Jun_Period_2_Tbl[[#All],['# CLASSES SHOW]])+  SUMIF(Jul_Period_2_Tbl[[#All],[STAFF:]],$A33,Jul_Period_2_Tbl[[#All],['# CLASSES SHOW]])+  SUMIF(Aug_Period_2_Tbl[[#All],[STAFF:]],$A33,Aug_Period_2_Tbl[[#All],['# CLASSES SHOW]])+  SUMIF(Sep_Period_2_Tbl[[#All],[STAFF:]],$A33,Sep_Period_2_Tbl[[#All],['# CLASSES SHOW]])+  SUMIF(Oct_Period_2_Tbl[[#All],[STAFF:]],$A33,Oct_Period_2_Tbl[[#All],['# CLASSES SHOW]])+     SUMIF(Nov_Period_2_Tbl[[#All],[STAFF:]],$A33,Nov_Period_2_Tbl[[#All],['# CLASSES SHOW]])+  SUMIF(Dec_Period_2_Tbl[[#All],[STAFF:]],$A33,Dec_Period_2_Tbl[[#All],['# CLASSES SHOW]]))</f>
        <v>0</v>
      </c>
      <c r="V33" s="156"/>
      <c r="W33" s="156"/>
      <c r="X33" s="155">
        <f t="shared" si="1"/>
        <v>0</v>
      </c>
      <c r="Y33" s="155">
        <f t="shared" si="2"/>
        <v>0</v>
      </c>
      <c r="Z33" s="155">
        <f t="shared" si="3"/>
        <v>0</v>
      </c>
      <c r="AA33" s="155">
        <f t="shared" si="4"/>
        <v>0</v>
      </c>
      <c r="AB33" s="155">
        <f t="shared" si="5"/>
        <v>0</v>
      </c>
      <c r="AC33" s="155">
        <f t="shared" si="6"/>
        <v>0</v>
      </c>
      <c r="AD33" s="155">
        <f t="shared" si="7"/>
        <v>0</v>
      </c>
      <c r="AE33" s="149"/>
      <c r="AF33" s="149"/>
      <c r="AG33" s="149"/>
      <c r="AH33" s="149"/>
      <c r="AJ33" s="75" t="str">
        <f t="shared" si="8"/>
        <v>zBlank</v>
      </c>
      <c r="AK33" s="210"/>
      <c r="AL33" s="168">
        <f>IFERROR(VLOOKUP(B33,List!$A:$B,2,FALSE),-1)</f>
        <v>-1</v>
      </c>
      <c r="AM33" s="168">
        <f>IFERROR(VLOOKUP(C33,List!$A:$B,2,FALSE),-1)</f>
        <v>-1</v>
      </c>
    </row>
    <row r="34" spans="1:39" ht="15" hidden="1" customHeight="1" x14ac:dyDescent="0.25">
      <c r="A34" s="20"/>
      <c r="B34" s="186"/>
      <c r="C34" s="186"/>
      <c r="D34" s="187"/>
      <c r="E34" s="188">
        <f>(SUMIF(Jan_Period_1_Tbl[[#All],[STAFF:]],$A34,Jan_Period_1_Tbl[[#All],['# PTO USED]])+
SUMIF(Feb_Period_1_Tbl[[#All],[STAFF:]],$A34,Feb_Period_1_Tbl[[#All],['# PTO USED]])+SUMIF(Mar_Period_1_Tbl[[#All],[STAFF:]],$A34,Mar_Period_1_Tbl[[#All],['# PTO USED]])+SUMIF(Apr_Period_1_Tbl[[#All],[STAFF:]],$A34,Apr_Period_1_Tbl[[#All],['# PTO USED]])+   SUMIF(May_Period_1_Tbl[[#All],[STAFF:]],$A34,May_Period_1_Tbl[[#All],['# PTO USED]])+   SUMIF(Jun_Period_1_Tbl[[#All],[STAFF:]],$A34,Jun_Period_1_Tbl[[#All],['# PTO USED]])+  SUMIF(Jul_Period_1_Tbl[[#All],[STAFF:]],$A34,Jul_Period_1_Tbl[[#All],['# PTO USED]])+  SUMIF(Aug_Period_1_Tbl[[#All],[STAFF:]],$A34,Aug_Period_1_Tbl[[#All],['# PTO USED]])+  SUMIF(Sep_Period_1_Tbl[[#All],[STAFF:]],$A34,Sep_Period_1_Tbl[[#All],['# PTO USED]])+  SUMIF(Oct_Period_1_Tbl[[#All],[STAFF:]],$A34,Oct_Period_1_Tbl[[#All],['# PTO USED]])+     SUMIF(Nov_Period_1_Tbl[[#All],[STAFF:]],$A34,Nov_Period_1_Tbl[[#All],['# PTO USED]])+  SUMIF(Dec_Period_1_Tbl[[#All],[STAFF:]],$A34,Dec_Period_1_Tbl[[#All],['# PTO USED]]))+   (SUMIF(Jan_Period_2_Tbl[[#All],[STAFF:]],$A34,Jan_Period_2_Tbl[[#All],['# PTO USED]])+
SUMIF(Feb_Period_2_Tbl[[#All],[STAFF:]],$A34,Feb_Period_2_Tbl[[#All],['# PTO USED]])+SUMIF(Mar_Period_2_Tbl[[#All],[STAFF:]],$A34,Mar_Period_2_Tbl[[#All],['# PTO USED]])+SUMIF(Apr_Period_2_Tbl[[#All],[STAFF:]],$A34,Apr_Period_2_Tbl[[#All],['# PTO USED]])+   SUMIF(May_Period_2_Tbl[[#All],[STAFF:]],$A34,May_Period_2_Tbl[[#All],['# PTO USED]])+   SUMIF(Jun_Period_2_Tbl[[#All],[STAFF:]],$A34,Jun_Period_2_Tbl[[#All],['# PTO USED]])+  SUMIF(Jul_Period_2_Tbl[[#All],[STAFF:]],$A34,Jul_Period_2_Tbl[[#All],['# PTO USED]])+  SUMIF(Aug_Period_2_Tbl[[#All],[STAFF:]],$A34,Aug_Period_2_Tbl[[#All],['# PTO USED]])+  SUMIF(Sep_Period_2_Tbl[[#All],[STAFF:]],$A34,Sep_Period_2_Tbl[[#All],['# PTO USED]])+  SUMIF(Oct_Period_2_Tbl[[#All],[STAFF:]],$A34,Oct_Period_2_Tbl[[#All],['# PTO USED]])+     SUMIF(Nov_Period_2_Tbl[[#All],[STAFF:]],$A34,Nov_Period_2_Tbl[[#All],['# PTO USED]])+  SUMIF(Dec_Period_2_Tbl[[#All],[STAFF:]],$A34,Dec_Period_2_Tbl[[#All],['# PTO USED]]))</f>
        <v>0</v>
      </c>
      <c r="F34" s="189">
        <f>(SUMIF(Jan_Period_1_Tbl[[#All],[STAFF:]],$A34,Jan_Period_1_Tbl[[#All],['# HRS WORKED]])+
SUMIF(Feb_Period_1_Tbl[[#All],[STAFF:]],$A34,Feb_Period_1_Tbl[[#All],['# HRS WORKED]])+SUMIF(Mar_Period_1_Tbl[[#All],[STAFF:]],$A34,Mar_Period_1_Tbl[[#All],['# HRS WORKED]])+SUMIF(Apr_Period_1_Tbl[[#All],[STAFF:]],$A34,Apr_Period_1_Tbl[[#All],['# HRS WORKED]])+   SUMIF(May_Period_1_Tbl[[#All],[STAFF:]],$A34,May_Period_1_Tbl[[#All],['# HRS WORKED]])+   SUMIF(Jun_Period_1_Tbl[[#All],[STAFF:]],$A34,Jun_Period_1_Tbl[[#All],['# HRS WORKED]])+  SUMIF(Jul_Period_1_Tbl[[#All],[STAFF:]],$A34,Jul_Period_1_Tbl[[#All],['# HRS WORKED]])+  SUMIF(Aug_Period_1_Tbl[[#All],[STAFF:]],$A34,Aug_Period_1_Tbl[[#All],['# HRS WORKED]])+  SUMIF(Sep_Period_1_Tbl[[#All],[STAFF:]],$A34,Sep_Period_1_Tbl[[#All],['# HRS WORKED]])+  SUMIF(Oct_Period_1_Tbl[[#All],[STAFF:]],$A34,Oct_Period_1_Tbl[[#All],['# HRS WORKED]])+     SUMIF(Nov_Period_1_Tbl[[#All],[STAFF:]],$A34,Nov_Period_1_Tbl[[#All],['# HRS WORKED]])+  SUMIF(Dec_Period_1_Tbl[[#All],[STAFF:]],$A34,Dec_Period_1_Tbl[[#All],['# HRS WORKED]]))+   (SUMIF(Jan_Period_2_Tbl[[#All],[STAFF:]],$A34,Jan_Period_2_Tbl[[#All],['# HRS WORKED]])+
SUMIF(Feb_Period_2_Tbl[[#All],[STAFF:]],$A34,Feb_Period_2_Tbl[[#All],['# HRS WORKED]])+SUMIF(Mar_Period_2_Tbl[[#All],[STAFF:]],$A34,Mar_Period_2_Tbl[[#All],['# HRS WORKED]])+SUMIF(Apr_Period_2_Tbl[[#All],[STAFF:]],$A34,Apr_Period_2_Tbl[[#All],['# HRS WORKED]])+   SUMIF(May_Period_2_Tbl[[#All],[STAFF:]],$A34,May_Period_2_Tbl[[#All],['# HRS WORKED]])+   SUMIF(Jun_Period_2_Tbl[[#All],[STAFF:]],$A34,Jun_Period_2_Tbl[[#All],['# HRS WORKED]])+  SUMIF(Jul_Period_2_Tbl[[#All],[STAFF:]],$A34,Jul_Period_2_Tbl[[#All],['# HRS WORKED]])+  SUMIF(Aug_Period_2_Tbl[[#All],[STAFF:]],$A34,Aug_Period_2_Tbl[[#All],['# HRS WORKED]])+  SUMIF(Sep_Period_2_Tbl[[#All],[STAFF:]],$A34,Sep_Period_2_Tbl[[#All],['# HRS WORKED]])+  SUMIF(Oct_Period_2_Tbl[[#All],[STAFF:]],$A34,Oct_Period_2_Tbl[[#All],['# HRS WORKED]])+     SUMIF(Nov_Period_2_Tbl[[#All],[STAFF:]],$A34,Nov_Period_2_Tbl[[#All],['# HRS WORKED]])+  SUMIF(Dec_Period_2_Tbl[[#All],[STAFF:]],$A34,Dec_Period_2_Tbl[[#All],['# HRS WORKED]]))</f>
        <v>0</v>
      </c>
      <c r="G34" s="190">
        <f>(SUMIF(Jan_Period_1_Tbl[[#All],[STAFF:]],$A34,Jan_Period_1_Tbl[[#All],[$ Hourly WAGES]])+
SUMIF(Feb_Period_1_Tbl[[#All],[STAFF:]],$A34,Feb_Period_1_Tbl[[#All],[$ Hourly WAGES]])+SUMIF(Mar_Period_1_Tbl[[#All],[STAFF:]],$A34,Mar_Period_1_Tbl[[#All],[$ Hourly WAGES]])+SUMIF(Apr_Period_1_Tbl[[#All],[STAFF:]],$A34,Apr_Period_1_Tbl[[#All],[$ Hourly WAGES]])+   SUMIF(May_Period_1_Tbl[[#All],[STAFF:]],$A34,May_Period_1_Tbl[[#All],[$ Hourly WAGES]])+   SUMIF(Jun_Period_1_Tbl[[#All],[STAFF:]],$A34,Jun_Period_1_Tbl[[#All],[$ Hourly WAGES]])+  SUMIF(Jul_Period_1_Tbl[[#All],[STAFF:]],$A34,Jul_Period_1_Tbl[[#All],[$ Hourly WAGES]])+  SUMIF(Aug_Period_1_Tbl[[#All],[STAFF:]],$A34,Aug_Period_1_Tbl[[#All],[$ Hourly WAGES]])+  SUMIF(Sep_Period_1_Tbl[[#All],[STAFF:]],$A34,Sep_Period_1_Tbl[[#All],[$ Hourly WAGES]])+  SUMIF(Oct_Period_1_Tbl[[#All],[STAFF:]],$A34,Oct_Period_1_Tbl[[#All],[$ Hourly WAGES]])+     SUMIF(Nov_Period_1_Tbl[[#All],[STAFF:]],$A34,Nov_Period_1_Tbl[[#All],[$ Hourly WAGES]])+  SUMIF(Dec_Period_1_Tbl[[#All],[STAFF:]],$A34,Dec_Period_1_Tbl[[#All],[$ Hourly WAGES]]))+   (SUMIF(Jan_Period_2_Tbl[[#All],[STAFF:]],$A34,Jan_Period_2_Tbl[[#All],[$ Hourly WAGES]])+
SUMIF(Feb_Period_2_Tbl[[#All],[STAFF:]],$A34,Feb_Period_2_Tbl[[#All],[$ Hourly WAGES]])+SUMIF(Mar_Period_2_Tbl[[#All],[STAFF:]],$A34,Mar_Period_2_Tbl[[#All],[$ Hourly WAGES]])+SUMIF(Apr_Period_2_Tbl[[#All],[STAFF:]],$A34,Apr_Period_2_Tbl[[#All],[$ Hourly WAGES]])+   SUMIF(May_Period_2_Tbl[[#All],[STAFF:]],$A34,May_Period_2_Tbl[[#All],[$ Hourly WAGES]])+   SUMIF(Jun_Period_2_Tbl[[#All],[STAFF:]],$A34,Jun_Period_2_Tbl[[#All],[$ Hourly WAGES]])+  SUMIF(Jul_Period_2_Tbl[[#All],[STAFF:]],$A34,Jul_Period_2_Tbl[[#All],[$ Hourly WAGES]])+  SUMIF(Aug_Period_2_Tbl[[#All],[STAFF:]],$A34,Aug_Period_2_Tbl[[#All],[$ Hourly WAGES]])+  SUMIF(Sep_Period_2_Tbl[[#All],[STAFF:]],$A34,Sep_Period_2_Tbl[[#All],[$ Hourly WAGES]])+  SUMIF(Oct_Period_2_Tbl[[#All],[STAFF:]],$A34,Oct_Period_2_Tbl[[#All],[$ Hourly WAGES]])+     SUMIF(Nov_Period_2_Tbl[[#All],[STAFF:]],$A34,Nov_Period_2_Tbl[[#All],[$ Hourly WAGES]])+  SUMIF(Dec_Period_2_Tbl[[#All],[STAFF:]],$A34,Dec_Period_2_Tbl[[#All],[$ Hourly WAGES]]))</f>
        <v>0</v>
      </c>
      <c r="H34" s="190">
        <f>(SUMIF(Jan_Period_1_Tbl[[#All],[STAFF:]],$A34,Jan_Period_1_Tbl[[#All],[$ SALARY]])+
SUMIF(Feb_Period_1_Tbl[[#All],[STAFF:]],$A34,Feb_Period_1_Tbl[[#All],[$ SALARY]])+SUMIF(Mar_Period_1_Tbl[[#All],[STAFF:]],$A34,Mar_Period_1_Tbl[[#All],[$ SALARY]])+SUMIF(Apr_Period_1_Tbl[[#All],[STAFF:]],$A34,Apr_Period_1_Tbl[[#All],[$ SALARY]])+   SUMIF(May_Period_1_Tbl[[#All],[STAFF:]],$A34,May_Period_1_Tbl[[#All],[$ SALARY]])+   SUMIF(Jun_Period_1_Tbl[[#All],[STAFF:]],$A34,Jun_Period_1_Tbl[[#All],[$ SALARY]])+  SUMIF(Jul_Period_1_Tbl[[#All],[STAFF:]],$A34,Jul_Period_1_Tbl[[#All],[$ SALARY]])+  SUMIF(Aug_Period_1_Tbl[[#All],[STAFF:]],$A34,Aug_Period_1_Tbl[[#All],[$ SALARY]])+  SUMIF(Sep_Period_1_Tbl[[#All],[STAFF:]],$A34,Sep_Period_1_Tbl[[#All],[$ SALARY]])+  SUMIF(Oct_Period_1_Tbl[[#All],[STAFF:]],$A34,Oct_Period_1_Tbl[[#All],[$ SALARY]])+     SUMIF(Nov_Period_1_Tbl[[#All],[STAFF:]],$A34,Nov_Period_1_Tbl[[#All],[$ SALARY]])+  SUMIF(Dec_Period_1_Tbl[[#All],[STAFF:]],$A34,Dec_Period_1_Tbl[[#All],[$ SALARY]]))+   (SUMIF(Jan_Period_2_Tbl[[#All],[STAFF:]],$A34,Jan_Period_2_Tbl[[#All],[$ SALARY]])+
SUMIF(Feb_Period_2_Tbl[[#All],[STAFF:]],$A34,Feb_Period_2_Tbl[[#All],[$ SALARY]])+SUMIF(Mar_Period_2_Tbl[[#All],[STAFF:]],$A34,Mar_Period_2_Tbl[[#All],[$ SALARY]])+SUMIF(Apr_Period_2_Tbl[[#All],[STAFF:]],$A34,Apr_Period_2_Tbl[[#All],[$ SALARY]])+   SUMIF(May_Period_2_Tbl[[#All],[STAFF:]],$A34,May_Period_2_Tbl[[#All],[$ SALARY]])+   SUMIF(Jun_Period_2_Tbl[[#All],[STAFF:]],$A34,Jun_Period_2_Tbl[[#All],[$ SALARY]])+  SUMIF(Jul_Period_2_Tbl[[#All],[STAFF:]],$A34,Jul_Period_2_Tbl[[#All],[$ SALARY]])+  SUMIF(Aug_Period_2_Tbl[[#All],[STAFF:]],$A34,Aug_Period_2_Tbl[[#All],[$ SALARY]])+  SUMIF(Sep_Period_2_Tbl[[#All],[STAFF:]],$A34,Sep_Period_2_Tbl[[#All],[$ SALARY]])+  SUMIF(Oct_Period_2_Tbl[[#All],[STAFF:]],$A34,Oct_Period_2_Tbl[[#All],[$ SALARY]])+     SUMIF(Nov_Period_2_Tbl[[#All],[STAFF:]],$A34,Nov_Period_2_Tbl[[#All],[$ SALARY]])+  SUMIF(Dec_Period_2_Tbl[[#All],[STAFF:]],$A34,Dec_Period_2_Tbl[[#All],[$ SALARY]]))</f>
        <v>0</v>
      </c>
      <c r="I34" s="190">
        <f>(SUMIF(Jan_Period_1_Tbl[[#All],[STAFF:]],$A34,Jan_Period_1_Tbl[[#All],[$ SALARY PT]])+
SUMIF(Feb_Period_1_Tbl[[#All],[STAFF:]],$A34,Feb_Period_1_Tbl[[#All],[$ SALARY PT]])+SUMIF(Mar_Period_1_Tbl[[#All],[STAFF:]],$A34,Mar_Period_1_Tbl[[#All],[$ SALARY PT]])+SUMIF(Apr_Period_1_Tbl[[#All],[STAFF:]],$A34,Apr_Period_1_Tbl[[#All],[$ SALARY PT]])+   SUMIF(May_Period_1_Tbl[[#All],[STAFF:]],$A34,May_Period_1_Tbl[[#All],[$ SALARY PT]])+   SUMIF(Jun_Period_1_Tbl[[#All],[STAFF:]],$A34,Jun_Period_1_Tbl[[#All],[$ SALARY PT]])+  SUMIF(Jul_Period_1_Tbl[[#All],[STAFF:]],$A34,Jul_Period_1_Tbl[[#All],[$ SALARY PT]])+  SUMIF(Aug_Period_1_Tbl[[#All],[STAFF:]],$A34,Aug_Period_1_Tbl[[#All],[$ SALARY PT]])+  SUMIF(Sep_Period_1_Tbl[[#All],[STAFF:]],$A34,Sep_Period_1_Tbl[[#All],[$ SALARY PT]])+  SUMIF(Oct_Period_1_Tbl[[#All],[STAFF:]],$A34,Oct_Period_1_Tbl[[#All],[$ SALARY PT]])+     SUMIF(Nov_Period_1_Tbl[[#All],[STAFF:]],$A34,Nov_Period_1_Tbl[[#All],[$ SALARY PT]])+  SUMIF(Dec_Period_1_Tbl[[#All],[STAFF:]],$A34,Dec_Period_1_Tbl[[#All],[$ SALARY PT]]))+   (SUMIF(Jan_Period_2_Tbl[[#All],[STAFF:]],$A34,Jan_Period_2_Tbl[[#All],[$ SALARY PT]])+
SUMIF(Feb_Period_2_Tbl[[#All],[STAFF:]],$A34,Feb_Period_2_Tbl[[#All],[$ SALARY PT]])+SUMIF(Mar_Period_2_Tbl[[#All],[STAFF:]],$A34,Mar_Period_2_Tbl[[#All],[$ SALARY PT]])+SUMIF(Apr_Period_2_Tbl[[#All],[STAFF:]],$A34,Apr_Period_2_Tbl[[#All],[$ SALARY PT]])+   SUMIF(May_Period_2_Tbl[[#All],[STAFF:]],$A34,May_Period_2_Tbl[[#All],[$ SALARY PT]])+   SUMIF(Jun_Period_2_Tbl[[#All],[STAFF:]],$A34,Jun_Period_2_Tbl[[#All],[$ SALARY PT]])+  SUMIF(Jul_Period_2_Tbl[[#All],[STAFF:]],$A34,Jul_Period_2_Tbl[[#All],[$ SALARY PT]])+  SUMIF(Aug_Period_2_Tbl[[#All],[STAFF:]],$A34,Aug_Period_2_Tbl[[#All],[$ SALARY PT]])+  SUMIF(Sep_Period_2_Tbl[[#All],[STAFF:]],$A34,Sep_Period_2_Tbl[[#All],[$ SALARY PT]])+  SUMIF(Oct_Period_2_Tbl[[#All],[STAFF:]],$A34,Oct_Period_2_Tbl[[#All],[$ SALARY PT]])+     SUMIF(Nov_Period_2_Tbl[[#All],[STAFF:]],$A34,Nov_Period_2_Tbl[[#All],[$ SALARY PT]])+  SUMIF(Dec_Period_2_Tbl[[#All],[STAFF:]],$A34,Dec_Period_2_Tbl[[#All],[$ SALARY PT]]))</f>
        <v>0</v>
      </c>
      <c r="J34" s="190">
        <f>(SUMIF(Jan_Period_1_Tbl[[#All],[STAFF:]],$A34,Jan_Period_1_Tbl[[#All],[$ FREE PT]])+
SUMIF(Feb_Period_1_Tbl[[#All],[STAFF:]],$A34,Feb_Period_1_Tbl[[#All],[$ FREE PT]])+SUMIF(Mar_Period_1_Tbl[[#All],[STAFF:]],$A34,Mar_Period_1_Tbl[[#All],[$ FREE PT]])+SUMIF(Apr_Period_1_Tbl[[#All],[STAFF:]],$A34,Apr_Period_1_Tbl[[#All],[$ FREE PT]])+   SUMIF(May_Period_1_Tbl[[#All],[STAFF:]],$A34,May_Period_1_Tbl[[#All],[$ FREE PT]])+   SUMIF(Jun_Period_1_Tbl[[#All],[STAFF:]],$A34,Jun_Period_1_Tbl[[#All],[$ FREE PT]])+  SUMIF(Jul_Period_1_Tbl[[#All],[STAFF:]],$A34,Jul_Period_1_Tbl[[#All],[$ FREE PT]])+  SUMIF(Aug_Period_1_Tbl[[#All],[STAFF:]],$A34,Aug_Period_1_Tbl[[#All],[$ FREE PT]])+  SUMIF(Sep_Period_1_Tbl[[#All],[STAFF:]],$A34,Sep_Period_1_Tbl[[#All],[$ FREE PT]])+  SUMIF(Oct_Period_1_Tbl[[#All],[STAFF:]],$A34,Oct_Period_1_Tbl[[#All],[$ FREE PT]])+     SUMIF(Nov_Period_1_Tbl[[#All],[STAFF:]],$A34,Nov_Period_1_Tbl[[#All],[$ FREE PT]])+  SUMIF(Dec_Period_1_Tbl[[#All],[STAFF:]],$A34,Dec_Period_1_Tbl[[#All],[$ FREE PT]]))+   (SUMIF(Jan_Period_2_Tbl[[#All],[STAFF:]],$A34,Jan_Period_2_Tbl[[#All],[$ FREE PT]])+
SUMIF(Feb_Period_2_Tbl[[#All],[STAFF:]],$A34,Feb_Period_2_Tbl[[#All],[$ FREE PT]])+SUMIF(Mar_Period_2_Tbl[[#All],[STAFF:]],$A34,Mar_Period_2_Tbl[[#All],[$ FREE PT]])+SUMIF(Apr_Period_2_Tbl[[#All],[STAFF:]],$A34,Apr_Period_2_Tbl[[#All],[$ FREE PT]])+   SUMIF(May_Period_2_Tbl[[#All],[STAFF:]],$A34,May_Period_2_Tbl[[#All],[$ FREE PT]])+   SUMIF(Jun_Period_2_Tbl[[#All],[STAFF:]],$A34,Jun_Period_2_Tbl[[#All],[$ FREE PT]])+  SUMIF(Jul_Period_2_Tbl[[#All],[STAFF:]],$A34,Jul_Period_2_Tbl[[#All],[$ FREE PT]])+  SUMIF(Aug_Period_2_Tbl[[#All],[STAFF:]],$A34,Aug_Period_2_Tbl[[#All],[$ FREE PT]])+  SUMIF(Sep_Period_2_Tbl[[#All],[STAFF:]],$A34,Sep_Period_2_Tbl[[#All],[$ FREE PT]])+  SUMIF(Oct_Period_2_Tbl[[#All],[STAFF:]],$A34,Oct_Period_2_Tbl[[#All],[$ FREE PT]])+     SUMIF(Nov_Period_2_Tbl[[#All],[STAFF:]],$A34,Nov_Period_2_Tbl[[#All],[$ FREE PT]])+  SUMIF(Dec_Period_2_Tbl[[#All],[STAFF:]],$A34,Dec_Period_2_Tbl[[#All],[$ FREE PT]]))</f>
        <v>0</v>
      </c>
      <c r="K34" s="190">
        <f>(SUMIF(Jan_Period_1_Tbl[[#All],[STAFF:]],$A34,Jan_Period_1_Tbl[[#All],[$ PAID PT]])+
SUMIF(Feb_Period_1_Tbl[[#All],[STAFF:]],$A34,Feb_Period_1_Tbl[[#All],[$ PAID PT]])+SUMIF(Mar_Period_1_Tbl[[#All],[STAFF:]],$A34,Mar_Period_1_Tbl[[#All],[$ PAID PT]])+SUMIF(Apr_Period_1_Tbl[[#All],[STAFF:]],$A34,Apr_Period_1_Tbl[[#All],[$ PAID PT]])+   SUMIF(May_Period_1_Tbl[[#All],[STAFF:]],$A34,May_Period_1_Tbl[[#All],[$ PAID PT]])+   SUMIF(Jun_Period_1_Tbl[[#All],[STAFF:]],$A34,Jun_Period_1_Tbl[[#All],[$ PAID PT]])+  SUMIF(Jul_Period_1_Tbl[[#All],[STAFF:]],$A34,Jul_Period_1_Tbl[[#All],[$ PAID PT]])+  SUMIF(Aug_Period_1_Tbl[[#All],[STAFF:]],$A34,Aug_Period_1_Tbl[[#All],[$ PAID PT]])+  SUMIF(Sep_Period_1_Tbl[[#All],[STAFF:]],$A34,Sep_Period_1_Tbl[[#All],[$ PAID PT]])+  SUMIF(Oct_Period_1_Tbl[[#All],[STAFF:]],$A34,Oct_Period_1_Tbl[[#All],[$ PAID PT]])+     SUMIF(Nov_Period_1_Tbl[[#All],[STAFF:]],$A34,Nov_Period_1_Tbl[[#All],[$ PAID PT]])+  SUMIF(Dec_Period_1_Tbl[[#All],[STAFF:]],$A34,Dec_Period_1_Tbl[[#All],[$ PAID PT]]))+   (SUMIF(Jan_Period_2_Tbl[[#All],[STAFF:]],$A34,Jan_Period_2_Tbl[[#All],[$ PAID PT]])+
SUMIF(Feb_Period_2_Tbl[[#All],[STAFF:]],$A34,Feb_Period_2_Tbl[[#All],[$ PAID PT]])+SUMIF(Mar_Period_2_Tbl[[#All],[STAFF:]],$A34,Mar_Period_2_Tbl[[#All],[$ PAID PT]])+SUMIF(Apr_Period_2_Tbl[[#All],[STAFF:]],$A34,Apr_Period_2_Tbl[[#All],[$ PAID PT]])+   SUMIF(May_Period_2_Tbl[[#All],[STAFF:]],$A34,May_Period_2_Tbl[[#All],[$ PAID PT]])+   SUMIF(Jun_Period_2_Tbl[[#All],[STAFF:]],$A34,Jun_Period_2_Tbl[[#All],[$ PAID PT]])+  SUMIF(Jul_Period_2_Tbl[[#All],[STAFF:]],$A34,Jul_Period_2_Tbl[[#All],[$ PAID PT]])+  SUMIF(Aug_Period_2_Tbl[[#All],[STAFF:]],$A34,Aug_Period_2_Tbl[[#All],[$ PAID PT]])+  SUMIF(Sep_Period_2_Tbl[[#All],[STAFF:]],$A34,Sep_Period_2_Tbl[[#All],[$ PAID PT]])+  SUMIF(Oct_Period_2_Tbl[[#All],[STAFF:]],$A34,Oct_Period_2_Tbl[[#All],[$ PAID PT]])+     SUMIF(Nov_Period_2_Tbl[[#All],[STAFF:]],$A34,Nov_Period_2_Tbl[[#All],[$ PAID PT]])+  SUMIF(Dec_Period_2_Tbl[[#All],[STAFF:]],$A34,Dec_Period_2_Tbl[[#All],[$ PAID PT]]))</f>
        <v>0</v>
      </c>
      <c r="L34" s="190">
        <f>(SUMIF(Jan_Period_1_Tbl[[#All],[STAFF:]],$A34,Jan_Period_1_Tbl[[#All],[$ PT COMM]])+
SUMIF(Feb_Period_1_Tbl[[#All],[STAFF:]],$A34,Feb_Period_1_Tbl[[#All],[$ PT COMM]])+SUMIF(Mar_Period_1_Tbl[[#All],[STAFF:]],$A34,Mar_Period_1_Tbl[[#All],[$ PT COMM]])+SUMIF(Apr_Period_1_Tbl[[#All],[STAFF:]],$A34,Apr_Period_1_Tbl[[#All],[$ PT COMM]])+   SUMIF(May_Period_1_Tbl[[#All],[STAFF:]],$A34,May_Period_1_Tbl[[#All],[$ PT COMM]])+   SUMIF(Jun_Period_1_Tbl[[#All],[STAFF:]],$A34,Jun_Period_1_Tbl[[#All],[$ PT COMM]])+  SUMIF(Jul_Period_1_Tbl[[#All],[STAFF:]],$A34,Jul_Period_1_Tbl[[#All],[$ PT COMM]])+  SUMIF(Aug_Period_1_Tbl[[#All],[STAFF:]],$A34,Aug_Period_1_Tbl[[#All],[$ PT COMM]])+  SUMIF(Sep_Period_1_Tbl[[#All],[STAFF:]],$A34,Sep_Period_1_Tbl[[#All],[$ PT COMM]])+  SUMIF(Oct_Period_1_Tbl[[#All],[STAFF:]],$A34,Oct_Period_1_Tbl[[#All],[$ PT COMM]])+     SUMIF(Nov_Period_1_Tbl[[#All],[STAFF:]],$A34,Nov_Period_1_Tbl[[#All],[$ PT COMM]])+  SUMIF(Dec_Period_1_Tbl[[#All],[STAFF:]],$A34,Dec_Period_1_Tbl[[#All],[$ PT COMM]]))+   (SUMIF(Jan_Period_2_Tbl[[#All],[STAFF:]],$A34,Jan_Period_2_Tbl[[#All],[$ PT COMM]])+
SUMIF(Feb_Period_2_Tbl[[#All],[STAFF:]],$A34,Feb_Period_2_Tbl[[#All],[$ PT COMM]])+SUMIF(Mar_Period_2_Tbl[[#All],[STAFF:]],$A34,Mar_Period_2_Tbl[[#All],[$ PT COMM]])+SUMIF(Apr_Period_2_Tbl[[#All],[STAFF:]],$A34,Apr_Period_2_Tbl[[#All],[$ PT COMM]])+   SUMIF(May_Period_2_Tbl[[#All],[STAFF:]],$A34,May_Period_2_Tbl[[#All],[$ PT COMM]])+   SUMIF(Jun_Period_2_Tbl[[#All],[STAFF:]],$A34,Jun_Period_2_Tbl[[#All],[$ PT COMM]])+  SUMIF(Jul_Period_2_Tbl[[#All],[STAFF:]],$A34,Jul_Period_2_Tbl[[#All],[$ PT COMM]])+  SUMIF(Aug_Period_2_Tbl[[#All],[STAFF:]],$A34,Aug_Period_2_Tbl[[#All],[$ PT COMM]])+  SUMIF(Sep_Period_2_Tbl[[#All],[STAFF:]],$A34,Sep_Period_2_Tbl[[#All],[$ PT COMM]])+  SUMIF(Oct_Period_2_Tbl[[#All],[STAFF:]],$A34,Oct_Period_2_Tbl[[#All],[$ PT COMM]])+     SUMIF(Nov_Period_2_Tbl[[#All],[STAFF:]],$A34,Nov_Period_2_Tbl[[#All],[$ PT COMM]])+  SUMIF(Dec_Period_2_Tbl[[#All],[STAFF:]],$A34,Dec_Period_2_Tbl[[#All],[$ PT COMM]]))</f>
        <v>0</v>
      </c>
      <c r="M34" s="190">
        <f>(SUMIF(Jan_Period_1_Tbl[[#All],[STAFF:]],$A34,Jan_Period_1_Tbl[[#All],[$ EFT COMM]])+
SUMIF(Feb_Period_1_Tbl[[#All],[STAFF:]],$A34,Feb_Period_1_Tbl[[#All],[$ EFT COMM]])+SUMIF(Mar_Period_1_Tbl[[#All],[STAFF:]],$A34,Mar_Period_1_Tbl[[#All],[$ EFT COMM]])+SUMIF(Apr_Period_1_Tbl[[#All],[STAFF:]],$A34,Apr_Period_1_Tbl[[#All],[$ EFT COMM]])+   SUMIF(May_Period_1_Tbl[[#All],[STAFF:]],$A34,May_Period_1_Tbl[[#All],[$ EFT COMM]])+   SUMIF(Jun_Period_1_Tbl[[#All],[STAFF:]],$A34,Jun_Period_1_Tbl[[#All],[$ EFT COMM]])+  SUMIF(Jul_Period_1_Tbl[[#All],[STAFF:]],$A34,Jul_Period_1_Tbl[[#All],[$ EFT COMM]])+  SUMIF(Aug_Period_1_Tbl[[#All],[STAFF:]],$A34,Aug_Period_1_Tbl[[#All],[$ EFT COMM]])+  SUMIF(Sep_Period_1_Tbl[[#All],[STAFF:]],$A34,Sep_Period_1_Tbl[[#All],[$ EFT COMM]])+  SUMIF(Oct_Period_1_Tbl[[#All],[STAFF:]],$A34,Oct_Period_1_Tbl[[#All],[$ EFT COMM]])+     SUMIF(Nov_Period_1_Tbl[[#All],[STAFF:]],$A34,Nov_Period_1_Tbl[[#All],[$ EFT COMM]])+  SUMIF(Dec_Period_1_Tbl[[#All],[STAFF:]],$A34,Dec_Period_1_Tbl[[#All],[$ EFT COMM]]))+   (SUMIF(Jan_Period_2_Tbl[[#All],[STAFF:]],$A34,Jan_Period_2_Tbl[[#All],[$ EFT COMM]])+
SUMIF(Feb_Period_2_Tbl[[#All],[STAFF:]],$A34,Feb_Period_2_Tbl[[#All],[$ EFT COMM]])+SUMIF(Mar_Period_2_Tbl[[#All],[STAFF:]],$A34,Mar_Period_2_Tbl[[#All],[$ EFT COMM]])+SUMIF(Apr_Period_2_Tbl[[#All],[STAFF:]],$A34,Apr_Period_2_Tbl[[#All],[$ EFT COMM]])+   SUMIF(May_Period_2_Tbl[[#All],[STAFF:]],$A34,May_Period_2_Tbl[[#All],[$ EFT COMM]])+   SUMIF(Jun_Period_2_Tbl[[#All],[STAFF:]],$A34,Jun_Period_2_Tbl[[#All],[$ EFT COMM]])+  SUMIF(Jul_Period_2_Tbl[[#All],[STAFF:]],$A34,Jul_Period_2_Tbl[[#All],[$ EFT COMM]])+  SUMIF(Aug_Period_2_Tbl[[#All],[STAFF:]],$A34,Aug_Period_2_Tbl[[#All],[$ EFT COMM]])+  SUMIF(Sep_Period_2_Tbl[[#All],[STAFF:]],$A34,Sep_Period_2_Tbl[[#All],[$ EFT COMM]])+  SUMIF(Oct_Period_2_Tbl[[#All],[STAFF:]],$A34,Oct_Period_2_Tbl[[#All],[$ EFT COMM]])+     SUMIF(Nov_Period_2_Tbl[[#All],[STAFF:]],$A34,Nov_Period_2_Tbl[[#All],[$ EFT COMM]])+  SUMIF(Dec_Period_2_Tbl[[#All],[STAFF:]],$A34,Dec_Period_2_Tbl[[#All],[$ EFT COMM]]))</f>
        <v>0</v>
      </c>
      <c r="N34" s="190">
        <f>(SUMIF(Jan_Period_1_Tbl[[#All],[STAFF:]],$A34,Jan_Period_1_Tbl[[#All],[$ CLASS PAY]])+
SUMIF(Feb_Period_1_Tbl[[#All],[STAFF:]],$A34,Feb_Period_1_Tbl[[#All],[$ CLASS PAY]])+SUMIF(Mar_Period_1_Tbl[[#All],[STAFF:]],$A34,Mar_Period_1_Tbl[[#All],[$ CLASS PAY]])+SUMIF(Apr_Period_1_Tbl[[#All],[STAFF:]],$A34,Apr_Period_1_Tbl[[#All],[$ CLASS PAY]])+   SUMIF(May_Period_1_Tbl[[#All],[STAFF:]],$A34,May_Period_1_Tbl[[#All],[$ CLASS PAY]])+   SUMIF(Jun_Period_1_Tbl[[#All],[STAFF:]],$A34,Jun_Period_1_Tbl[[#All],[$ CLASS PAY]])+  SUMIF(Jul_Period_1_Tbl[[#All],[STAFF:]],$A34,Jul_Period_1_Tbl[[#All],[$ CLASS PAY]])+  SUMIF(Aug_Period_1_Tbl[[#All],[STAFF:]],$A34,Aug_Period_1_Tbl[[#All],[$ CLASS PAY]])+  SUMIF(Sep_Period_1_Tbl[[#All],[STAFF:]],$A34,Sep_Period_1_Tbl[[#All],[$ CLASS PAY]])+  SUMIF(Oct_Period_1_Tbl[[#All],[STAFF:]],$A34,Oct_Period_1_Tbl[[#All],[$ CLASS PAY]])+     SUMIF(Nov_Period_1_Tbl[[#All],[STAFF:]],$A34,Nov_Period_1_Tbl[[#All],[$ CLASS PAY]])+  SUMIF(Dec_Period_1_Tbl[[#All],[STAFF:]],$A34,Dec_Period_1_Tbl[[#All],[$ CLASS PAY]]))+   (SUMIF(Jan_Period_2_Tbl[[#All],[STAFF:]],$A34,Jan_Period_2_Tbl[[#All],[$ CLASS PAY]])+
SUMIF(Feb_Period_2_Tbl[[#All],[STAFF:]],$A34,Feb_Period_2_Tbl[[#All],[$ CLASS PAY]])+SUMIF(Mar_Period_2_Tbl[[#All],[STAFF:]],$A34,Mar_Period_2_Tbl[[#All],[$ CLASS PAY]])+SUMIF(Apr_Period_2_Tbl[[#All],[STAFF:]],$A34,Apr_Period_2_Tbl[[#All],[$ CLASS PAY]])+   SUMIF(May_Period_2_Tbl[[#All],[STAFF:]],$A34,May_Period_2_Tbl[[#All],[$ CLASS PAY]])+   SUMIF(Jun_Period_2_Tbl[[#All],[STAFF:]],$A34,Jun_Period_2_Tbl[[#All],[$ CLASS PAY]])+  SUMIF(Jul_Period_2_Tbl[[#All],[STAFF:]],$A34,Jul_Period_2_Tbl[[#All],[$ CLASS PAY]])+  SUMIF(Aug_Period_2_Tbl[[#All],[STAFF:]],$A34,Aug_Period_2_Tbl[[#All],[$ CLASS PAY]])+  SUMIF(Sep_Period_2_Tbl[[#All],[STAFF:]],$A34,Sep_Period_2_Tbl[[#All],[$ CLASS PAY]])+  SUMIF(Oct_Period_2_Tbl[[#All],[STAFF:]],$A34,Oct_Period_2_Tbl[[#All],[$ CLASS PAY]])+     SUMIF(Nov_Period_2_Tbl[[#All],[STAFF:]],$A34,Nov_Period_2_Tbl[[#All],[$ CLASS PAY]])+  SUMIF(Dec_Period_2_Tbl[[#All],[STAFF:]],$A34,Dec_Period_2_Tbl[[#All],[$ CLASS PAY]]))</f>
        <v>0</v>
      </c>
      <c r="O34" s="191">
        <f>(SUMIF(Jan_Period_1_Tbl[[#All],[STAFF:]],$A34,Jan_Period_1_Tbl[[#All],[$ BONUS PAY]])+
SUMIF(Feb_Period_1_Tbl[[#All],[STAFF:]],$A34,Feb_Period_1_Tbl[[#All],[$ BONUS PAY]])+SUMIF(Mar_Period_1_Tbl[[#All],[STAFF:]],$A34,Mar_Period_1_Tbl[[#All],[$ BONUS PAY]])+SUMIF(Apr_Period_1_Tbl[[#All],[STAFF:]],$A34,Apr_Period_1_Tbl[[#All],[$ BONUS PAY]])+   SUMIF(May_Period_1_Tbl[[#All],[STAFF:]],$A34,May_Period_1_Tbl[[#All],[$ BONUS PAY]])+   SUMIF(Jun_Period_1_Tbl[[#All],[STAFF:]],$A34,Jun_Period_1_Tbl[[#All],[$ BONUS PAY]])+  SUMIF(Jul_Period_1_Tbl[[#All],[STAFF:]],$A34,Jul_Period_1_Tbl[[#All],[$ BONUS PAY]])+  SUMIF(Aug_Period_1_Tbl[[#All],[STAFF:]],$A34,Aug_Period_1_Tbl[[#All],[$ BONUS PAY]])+  SUMIF(Sep_Period_1_Tbl[[#All],[STAFF:]],$A34,Sep_Period_1_Tbl[[#All],[$ BONUS PAY]])+  SUMIF(Oct_Period_1_Tbl[[#All],[STAFF:]],$A34,Oct_Period_1_Tbl[[#All],[$ BONUS PAY]])+     SUMIF(Nov_Period_1_Tbl[[#All],[STAFF:]],$A34,Nov_Period_1_Tbl[[#All],[$ BONUS PAY]])+  SUMIF(Dec_Period_1_Tbl[[#All],[STAFF:]],$A34,Dec_Period_1_Tbl[[#All],[$ BONUS PAY]]))+   (SUMIF(Jan_Period_2_Tbl[[#All],[STAFF:]],$A34,Jan_Period_2_Tbl[[#All],[$ BONUS PAY]])+
SUMIF(Feb_Period_2_Tbl[[#All],[STAFF:]],$A34,Feb_Period_2_Tbl[[#All],[$ BONUS PAY]])+SUMIF(Mar_Period_2_Tbl[[#All],[STAFF:]],$A34,Mar_Period_2_Tbl[[#All],[$ BONUS PAY]])+SUMIF(Apr_Period_2_Tbl[[#All],[STAFF:]],$A34,Apr_Period_2_Tbl[[#All],[$ BONUS PAY]])+   SUMIF(May_Period_2_Tbl[[#All],[STAFF:]],$A34,May_Period_2_Tbl[[#All],[$ BONUS PAY]])+   SUMIF(Jun_Period_2_Tbl[[#All],[STAFF:]],$A34,Jun_Period_2_Tbl[[#All],[$ BONUS PAY]])+  SUMIF(Jul_Period_2_Tbl[[#All],[STAFF:]],$A34,Jul_Period_2_Tbl[[#All],[$ BONUS PAY]])+  SUMIF(Aug_Period_2_Tbl[[#All],[STAFF:]],$A34,Aug_Period_2_Tbl[[#All],[$ BONUS PAY]])+  SUMIF(Sep_Period_2_Tbl[[#All],[STAFF:]],$A34,Sep_Period_2_Tbl[[#All],[$ BONUS PAY]])+  SUMIF(Oct_Period_2_Tbl[[#All],[STAFF:]],$A34,Oct_Period_2_Tbl[[#All],[$ BONUS PAY]])+     SUMIF(Nov_Period_2_Tbl[[#All],[STAFF:]],$A34,Nov_Period_2_Tbl[[#All],[$ BONUS PAY]])+  SUMIF(Dec_Period_2_Tbl[[#All],[STAFF:]],$A34,Dec_Period_2_Tbl[[#All],[$ BONUS PAY]]))</f>
        <v>0</v>
      </c>
      <c r="P34" s="179">
        <f t="shared" si="0"/>
        <v>0</v>
      </c>
      <c r="Q34" s="149"/>
      <c r="R34" s="152">
        <f>(SUMIF(Jan_Period_1_Tbl[[#All],[STAFF:]],$A34,Jan_Period_1_Tbl[[#All],['# POINTS EARNED]])+
SUMIF(Feb_Period_1_Tbl[[#All],[STAFF:]],$A34,Feb_Period_1_Tbl[[#All],['# POINTS EARNED]])+SUMIF(Mar_Period_1_Tbl[[#All],[STAFF:]],$A34,Mar_Period_1_Tbl[[#All],['# POINTS EARNED]])+SUMIF(Apr_Period_1_Tbl[[#All],[STAFF:]],$A34,Apr_Period_1_Tbl[[#All],['# POINTS EARNED]])+   SUMIF(May_Period_1_Tbl[[#All],[STAFF:]],$A34,May_Period_1_Tbl[[#All],['# POINTS EARNED]])+   SUMIF(Jun_Period_1_Tbl[[#All],[STAFF:]],$A34,Jun_Period_1_Tbl[[#All],['# POINTS EARNED]])+  SUMIF(Jul_Period_1_Tbl[[#All],[STAFF:]],$A34,Jul_Period_1_Tbl[[#All],['# POINTS EARNED]])+  SUMIF(Aug_Period_1_Tbl[[#All],[STAFF:]],$A34,Aug_Period_1_Tbl[[#All],['# POINTS EARNED]])+  SUMIF(Sep_Period_1_Tbl[[#All],[STAFF:]],$A34,Sep_Period_1_Tbl[[#All],['# POINTS EARNED]])+  SUMIF(Oct_Period_1_Tbl[[#All],[STAFF:]],$A34,Oct_Period_1_Tbl[[#All],['# POINTS EARNED]])+     SUMIF(Nov_Period_1_Tbl[[#All],[STAFF:]],$A34,Nov_Period_1_Tbl[[#All],['# POINTS EARNED]])+  SUMIF(Dec_Period_1_Tbl[[#All],[STAFF:]],$A34,Dec_Period_1_Tbl[[#All],['# POINTS EARNED]]))+   (SUMIF(Jan_Period_2_Tbl[[#All],[STAFF:]],$A34,Jan_Period_2_Tbl[[#All],['# POINTS EARNED]])+
SUMIF(Feb_Period_2_Tbl[[#All],[STAFF:]],$A34,Feb_Period_2_Tbl[[#All],['# POINTS EARNED]])+SUMIF(Mar_Period_2_Tbl[[#All],[STAFF:]],$A34,Mar_Period_2_Tbl[[#All],['# POINTS EARNED]])+SUMIF(Apr_Period_2_Tbl[[#All],[STAFF:]],$A34,Apr_Period_2_Tbl[[#All],['# POINTS EARNED]])+   SUMIF(May_Period_2_Tbl[[#All],[STAFF:]],$A34,May_Period_2_Tbl[[#All],['# POINTS EARNED]])+   SUMIF(Jun_Period_2_Tbl[[#All],[STAFF:]],$A34,Jun_Period_2_Tbl[[#All],['# POINTS EARNED]])+  SUMIF(Jul_Period_2_Tbl[[#All],[STAFF:]],$A34,Jul_Period_2_Tbl[[#All],['# POINTS EARNED]])+  SUMIF(Aug_Period_2_Tbl[[#All],[STAFF:]],$A34,Aug_Period_2_Tbl[[#All],['# POINTS EARNED]])+  SUMIF(Sep_Period_2_Tbl[[#All],[STAFF:]],$A34,Sep_Period_2_Tbl[[#All],['# POINTS EARNED]])+  SUMIF(Oct_Period_2_Tbl[[#All],[STAFF:]],$A34,Oct_Period_2_Tbl[[#All],['# POINTS EARNED]])+     SUMIF(Nov_Period_2_Tbl[[#All],[STAFF:]],$A34,Nov_Period_2_Tbl[[#All],['# POINTS EARNED]])+  SUMIF(Dec_Period_2_Tbl[[#All],[STAFF:]],$A34,Dec_Period_2_Tbl[[#All],['# POINTS EARNED]]))</f>
        <v>0</v>
      </c>
      <c r="S34" s="152">
        <f>(SUMIF(Jan_Period_1_Tbl[[#All],[STAFF:]],$A34,Jan_Period_1_Tbl[[#All],['# POINTS USED]])+
SUMIF(Feb_Period_1_Tbl[[#All],[STAFF:]],$A34,Feb_Period_1_Tbl[[#All],['# POINTS USED]])+SUMIF(Mar_Period_1_Tbl[[#All],[STAFF:]],$A34,Mar_Period_1_Tbl[[#All],['# POINTS USED]])+SUMIF(Apr_Period_1_Tbl[[#All],[STAFF:]],$A34,Apr_Period_1_Tbl[[#All],['# POINTS USED]])+   SUMIF(May_Period_1_Tbl[[#All],[STAFF:]],$A34,May_Period_1_Tbl[[#All],['# POINTS USED]])+   SUMIF(Jun_Period_1_Tbl[[#All],[STAFF:]],$A34,Jun_Period_1_Tbl[[#All],['# POINTS USED]])+  SUMIF(Jul_Period_1_Tbl[[#All],[STAFF:]],$A34,Jul_Period_1_Tbl[[#All],['# POINTS USED]])+  SUMIF(Aug_Period_1_Tbl[[#All],[STAFF:]],$A34,Aug_Period_1_Tbl[[#All],['# POINTS USED]])+  SUMIF(Sep_Period_1_Tbl[[#All],[STAFF:]],$A34,Sep_Period_1_Tbl[[#All],['# POINTS USED]])+  SUMIF(Oct_Period_1_Tbl[[#All],[STAFF:]],$A34,Oct_Period_1_Tbl[[#All],['# POINTS USED]])+     SUMIF(Nov_Period_1_Tbl[[#All],[STAFF:]],$A34,Nov_Period_1_Tbl[[#All],['# POINTS USED]])+  SUMIF(Dec_Period_1_Tbl[[#All],[STAFF:]],$A34,Dec_Period_1_Tbl[[#All],['# POINTS USED]]))+   (SUMIF(Jan_Period_2_Tbl[[#All],[STAFF:]],$A34,Jan_Period_2_Tbl[[#All],['# POINTS USED]])+
SUMIF(Feb_Period_2_Tbl[[#All],[STAFF:]],$A34,Feb_Period_2_Tbl[[#All],['# POINTS USED]])+SUMIF(Mar_Period_2_Tbl[[#All],[STAFF:]],$A34,Mar_Period_2_Tbl[[#All],['# POINTS USED]])+SUMIF(Apr_Period_2_Tbl[[#All],[STAFF:]],$A34,Apr_Period_2_Tbl[[#All],['# POINTS USED]])+   SUMIF(May_Period_2_Tbl[[#All],[STAFF:]],$A34,May_Period_2_Tbl[[#All],['# POINTS USED]])+   SUMIF(Jun_Period_2_Tbl[[#All],[STAFF:]],$A34,Jun_Period_2_Tbl[[#All],['# POINTS USED]])+  SUMIF(Jul_Period_2_Tbl[[#All],[STAFF:]],$A34,Jul_Period_2_Tbl[[#All],['# POINTS USED]])+  SUMIF(Aug_Period_2_Tbl[[#All],[STAFF:]],$A34,Aug_Period_2_Tbl[[#All],['# POINTS USED]])+  SUMIF(Sep_Period_2_Tbl[[#All],[STAFF:]],$A34,Sep_Period_2_Tbl[[#All],['# POINTS USED]])+  SUMIF(Oct_Period_2_Tbl[[#All],[STAFF:]],$A34,Oct_Period_2_Tbl[[#All],['# POINTS USED]])+     SUMIF(Nov_Period_2_Tbl[[#All],[STAFF:]],$A34,Nov_Period_2_Tbl[[#All],['# POINTS USED]])+  SUMIF(Dec_Period_2_Tbl[[#All],[STAFF:]],$A34,Dec_Period_2_Tbl[[#All],['# POINTS USED]]))</f>
        <v>0</v>
      </c>
      <c r="T34" s="152">
        <f>(SUMIF(Jan_Period_1_Tbl[[#All],[STAFF:]],$A34,Jan_Period_1_Tbl[[#All],['# CLASSES LEAD]])+
SUMIF(Feb_Period_1_Tbl[[#All],[STAFF:]],$A34,Feb_Period_1_Tbl[[#All],['# CLASSES LEAD]])+SUMIF(Mar_Period_1_Tbl[[#All],[STAFF:]],$A34,Mar_Period_1_Tbl[[#All],['# CLASSES LEAD]])+SUMIF(Apr_Period_1_Tbl[[#All],[STAFF:]],$A34,Apr_Period_1_Tbl[[#All],['# CLASSES LEAD]])+   SUMIF(May_Period_1_Tbl[[#All],[STAFF:]],$A34,May_Period_1_Tbl[[#All],['# CLASSES LEAD]])+   SUMIF(Jun_Period_1_Tbl[[#All],[STAFF:]],$A34,Jun_Period_1_Tbl[[#All],['# CLASSES LEAD]])+  SUMIF(Jul_Period_1_Tbl[[#All],[STAFF:]],$A34,Jul_Period_1_Tbl[[#All],['# CLASSES LEAD]])+  SUMIF(Aug_Period_1_Tbl[[#All],[STAFF:]],$A34,Aug_Period_1_Tbl[[#All],['# CLASSES LEAD]])+  SUMIF(Sep_Period_1_Tbl[[#All],[STAFF:]],$A34,Sep_Period_1_Tbl[[#All],['# CLASSES LEAD]])+  SUMIF(Oct_Period_1_Tbl[[#All],[STAFF:]],$A34,Oct_Period_1_Tbl[[#All],['# CLASSES LEAD]])+     SUMIF(Nov_Period_1_Tbl[[#All],[STAFF:]],$A34,Nov_Period_1_Tbl[[#All],['# CLASSES LEAD]])+  SUMIF(Dec_Period_1_Tbl[[#All],[STAFF:]],$A34,Dec_Period_1_Tbl[[#All],['# CLASSES LEAD]]))+   (SUMIF(Jan_Period_2_Tbl[[#All],[STAFF:]],$A34,Jan_Period_2_Tbl[[#All],['# CLASSES LEAD]])+
SUMIF(Feb_Period_2_Tbl[[#All],[STAFF:]],$A34,Feb_Period_2_Tbl[[#All],['# CLASSES LEAD]])+SUMIF(Mar_Period_2_Tbl[[#All],[STAFF:]],$A34,Mar_Period_2_Tbl[[#All],['# CLASSES LEAD]])+SUMIF(Apr_Period_2_Tbl[[#All],[STAFF:]],$A34,Apr_Period_2_Tbl[[#All],['# CLASSES LEAD]])+   SUMIF(May_Period_2_Tbl[[#All],[STAFF:]],$A34,May_Period_2_Tbl[[#All],['# CLASSES LEAD]])+   SUMIF(Jun_Period_2_Tbl[[#All],[STAFF:]],$A34,Jun_Period_2_Tbl[[#All],['# CLASSES LEAD]])+  SUMIF(Jul_Period_2_Tbl[[#All],[STAFF:]],$A34,Jul_Period_2_Tbl[[#All],['# CLASSES LEAD]])+  SUMIF(Aug_Period_2_Tbl[[#All],[STAFF:]],$A34,Aug_Period_2_Tbl[[#All],['# CLASSES LEAD]])+  SUMIF(Sep_Period_2_Tbl[[#All],[STAFF:]],$A34,Sep_Period_2_Tbl[[#All],['# CLASSES LEAD]])+  SUMIF(Oct_Period_2_Tbl[[#All],[STAFF:]],$A34,Oct_Period_2_Tbl[[#All],['# CLASSES LEAD]])+     SUMIF(Nov_Period_2_Tbl[[#All],[STAFF:]],$A34,Nov_Period_2_Tbl[[#All],['# CLASSES LEAD]])+  SUMIF(Dec_Period_2_Tbl[[#All],[STAFF:]],$A34,Dec_Period_2_Tbl[[#All],['# CLASSES LEAD]]))</f>
        <v>0</v>
      </c>
      <c r="U34" s="152">
        <f>(SUMIF(Jan_Period_1_Tbl[[#All],[STAFF:]],$A34,Jan_Period_1_Tbl[[#All],['# CLASSES SHOW]])+
SUMIF(Feb_Period_1_Tbl[[#All],[STAFF:]],$A34,Feb_Period_1_Tbl[[#All],['# CLASSES SHOW]])+SUMIF(Mar_Period_1_Tbl[[#All],[STAFF:]],$A34,Mar_Period_1_Tbl[[#All],['# CLASSES SHOW]])+SUMIF(Apr_Period_1_Tbl[[#All],[STAFF:]],$A34,Apr_Period_1_Tbl[[#All],['# CLASSES SHOW]])+   SUMIF(May_Period_1_Tbl[[#All],[STAFF:]],$A34,May_Period_1_Tbl[[#All],['# CLASSES SHOW]])+   SUMIF(Jun_Period_1_Tbl[[#All],[STAFF:]],$A34,Jun_Period_1_Tbl[[#All],['# CLASSES SHOW]])+  SUMIF(Jul_Period_1_Tbl[[#All],[STAFF:]],$A34,Jul_Period_1_Tbl[[#All],['# CLASSES SHOW]])+  SUMIF(Aug_Period_1_Tbl[[#All],[STAFF:]],$A34,Aug_Period_1_Tbl[[#All],['# CLASSES SHOW]])+  SUMIF(Sep_Period_1_Tbl[[#All],[STAFF:]],$A34,Sep_Period_1_Tbl[[#All],['# CLASSES SHOW]])+  SUMIF(Oct_Period_1_Tbl[[#All],[STAFF:]],$A34,Oct_Period_1_Tbl[[#All],['# CLASSES SHOW]])+     SUMIF(Nov_Period_1_Tbl[[#All],[STAFF:]],$A34,Nov_Period_1_Tbl[[#All],['# CLASSES SHOW]])+  SUMIF(Dec_Period_1_Tbl[[#All],[STAFF:]],$A34,Dec_Period_1_Tbl[[#All],['# CLASSES SHOW]]))+   (SUMIF(Jan_Period_2_Tbl[[#All],[STAFF:]],$A34,Jan_Period_2_Tbl[[#All],['# CLASSES SHOW]])+
SUMIF(Feb_Period_2_Tbl[[#All],[STAFF:]],$A34,Feb_Period_2_Tbl[[#All],['# CLASSES SHOW]])+SUMIF(Mar_Period_2_Tbl[[#All],[STAFF:]],$A34,Mar_Period_2_Tbl[[#All],['# CLASSES SHOW]])+SUMIF(Apr_Period_2_Tbl[[#All],[STAFF:]],$A34,Apr_Period_2_Tbl[[#All],['# CLASSES SHOW]])+   SUMIF(May_Period_2_Tbl[[#All],[STAFF:]],$A34,May_Period_2_Tbl[[#All],['# CLASSES SHOW]])+   SUMIF(Jun_Period_2_Tbl[[#All],[STAFF:]],$A34,Jun_Period_2_Tbl[[#All],['# CLASSES SHOW]])+  SUMIF(Jul_Period_2_Tbl[[#All],[STAFF:]],$A34,Jul_Period_2_Tbl[[#All],['# CLASSES SHOW]])+  SUMIF(Aug_Period_2_Tbl[[#All],[STAFF:]],$A34,Aug_Period_2_Tbl[[#All],['# CLASSES SHOW]])+  SUMIF(Sep_Period_2_Tbl[[#All],[STAFF:]],$A34,Sep_Period_2_Tbl[[#All],['# CLASSES SHOW]])+  SUMIF(Oct_Period_2_Tbl[[#All],[STAFF:]],$A34,Oct_Period_2_Tbl[[#All],['# CLASSES SHOW]])+     SUMIF(Nov_Period_2_Tbl[[#All],[STAFF:]],$A34,Nov_Period_2_Tbl[[#All],['# CLASSES SHOW]])+  SUMIF(Dec_Period_2_Tbl[[#All],[STAFF:]],$A34,Dec_Period_2_Tbl[[#All],['# CLASSES SHOW]]))</f>
        <v>0</v>
      </c>
      <c r="V34" s="156"/>
      <c r="W34" s="156"/>
      <c r="X34" s="154">
        <f t="shared" si="1"/>
        <v>0</v>
      </c>
      <c r="Y34" s="154">
        <f t="shared" si="2"/>
        <v>0</v>
      </c>
      <c r="Z34" s="154">
        <f t="shared" si="3"/>
        <v>0</v>
      </c>
      <c r="AA34" s="154">
        <f t="shared" si="4"/>
        <v>0</v>
      </c>
      <c r="AB34" s="154">
        <f t="shared" si="5"/>
        <v>0</v>
      </c>
      <c r="AC34" s="154">
        <f t="shared" si="6"/>
        <v>0</v>
      </c>
      <c r="AD34" s="154">
        <f t="shared" si="7"/>
        <v>0</v>
      </c>
      <c r="AE34" s="149"/>
      <c r="AF34" s="149"/>
      <c r="AG34" s="149"/>
      <c r="AH34" s="149"/>
      <c r="AJ34" s="75" t="str">
        <f t="shared" si="8"/>
        <v>zBlank</v>
      </c>
      <c r="AK34" s="210"/>
      <c r="AL34" s="168">
        <f>IFERROR(VLOOKUP(B34,List!$A:$B,2,FALSE),-1)</f>
        <v>-1</v>
      </c>
      <c r="AM34" s="168">
        <f>IFERROR(VLOOKUP(C34,List!$A:$B,2,FALSE),-1)</f>
        <v>-1</v>
      </c>
    </row>
    <row r="35" spans="1:39" ht="15" hidden="1" customHeight="1" x14ac:dyDescent="0.25">
      <c r="A35" s="20"/>
      <c r="B35" s="186"/>
      <c r="C35" s="186"/>
      <c r="D35" s="187"/>
      <c r="E35" s="188">
        <f>(SUMIF(Jan_Period_1_Tbl[[#All],[STAFF:]],$A35,Jan_Period_1_Tbl[[#All],['# PTO USED]])+
SUMIF(Feb_Period_1_Tbl[[#All],[STAFF:]],$A35,Feb_Period_1_Tbl[[#All],['# PTO USED]])+SUMIF(Mar_Period_1_Tbl[[#All],[STAFF:]],$A35,Mar_Period_1_Tbl[[#All],['# PTO USED]])+SUMIF(Apr_Period_1_Tbl[[#All],[STAFF:]],$A35,Apr_Period_1_Tbl[[#All],['# PTO USED]])+   SUMIF(May_Period_1_Tbl[[#All],[STAFF:]],$A35,May_Period_1_Tbl[[#All],['# PTO USED]])+   SUMIF(Jun_Period_1_Tbl[[#All],[STAFF:]],$A35,Jun_Period_1_Tbl[[#All],['# PTO USED]])+  SUMIF(Jul_Period_1_Tbl[[#All],[STAFF:]],$A35,Jul_Period_1_Tbl[[#All],['# PTO USED]])+  SUMIF(Aug_Period_1_Tbl[[#All],[STAFF:]],$A35,Aug_Period_1_Tbl[[#All],['# PTO USED]])+  SUMIF(Sep_Period_1_Tbl[[#All],[STAFF:]],$A35,Sep_Period_1_Tbl[[#All],['# PTO USED]])+  SUMIF(Oct_Period_1_Tbl[[#All],[STAFF:]],$A35,Oct_Period_1_Tbl[[#All],['# PTO USED]])+     SUMIF(Nov_Period_1_Tbl[[#All],[STAFF:]],$A35,Nov_Period_1_Tbl[[#All],['# PTO USED]])+  SUMIF(Dec_Period_1_Tbl[[#All],[STAFF:]],$A35,Dec_Period_1_Tbl[[#All],['# PTO USED]]))+   (SUMIF(Jan_Period_2_Tbl[[#All],[STAFF:]],$A35,Jan_Period_2_Tbl[[#All],['# PTO USED]])+
SUMIF(Feb_Period_2_Tbl[[#All],[STAFF:]],$A35,Feb_Period_2_Tbl[[#All],['# PTO USED]])+SUMIF(Mar_Period_2_Tbl[[#All],[STAFF:]],$A35,Mar_Period_2_Tbl[[#All],['# PTO USED]])+SUMIF(Apr_Period_2_Tbl[[#All],[STAFF:]],$A35,Apr_Period_2_Tbl[[#All],['# PTO USED]])+   SUMIF(May_Period_2_Tbl[[#All],[STAFF:]],$A35,May_Period_2_Tbl[[#All],['# PTO USED]])+   SUMIF(Jun_Period_2_Tbl[[#All],[STAFF:]],$A35,Jun_Period_2_Tbl[[#All],['# PTO USED]])+  SUMIF(Jul_Period_2_Tbl[[#All],[STAFF:]],$A35,Jul_Period_2_Tbl[[#All],['# PTO USED]])+  SUMIF(Aug_Period_2_Tbl[[#All],[STAFF:]],$A35,Aug_Period_2_Tbl[[#All],['# PTO USED]])+  SUMIF(Sep_Period_2_Tbl[[#All],[STAFF:]],$A35,Sep_Period_2_Tbl[[#All],['# PTO USED]])+  SUMIF(Oct_Period_2_Tbl[[#All],[STAFF:]],$A35,Oct_Period_2_Tbl[[#All],['# PTO USED]])+     SUMIF(Nov_Period_2_Tbl[[#All],[STAFF:]],$A35,Nov_Period_2_Tbl[[#All],['# PTO USED]])+  SUMIF(Dec_Period_2_Tbl[[#All],[STAFF:]],$A35,Dec_Period_2_Tbl[[#All],['# PTO USED]]))</f>
        <v>0</v>
      </c>
      <c r="F35" s="189">
        <f>(SUMIF(Jan_Period_1_Tbl[[#All],[STAFF:]],$A35,Jan_Period_1_Tbl[[#All],['# HRS WORKED]])+
SUMIF(Feb_Period_1_Tbl[[#All],[STAFF:]],$A35,Feb_Period_1_Tbl[[#All],['# HRS WORKED]])+SUMIF(Mar_Period_1_Tbl[[#All],[STAFF:]],$A35,Mar_Period_1_Tbl[[#All],['# HRS WORKED]])+SUMIF(Apr_Period_1_Tbl[[#All],[STAFF:]],$A35,Apr_Period_1_Tbl[[#All],['# HRS WORKED]])+   SUMIF(May_Period_1_Tbl[[#All],[STAFF:]],$A35,May_Period_1_Tbl[[#All],['# HRS WORKED]])+   SUMIF(Jun_Period_1_Tbl[[#All],[STAFF:]],$A35,Jun_Period_1_Tbl[[#All],['# HRS WORKED]])+  SUMIF(Jul_Period_1_Tbl[[#All],[STAFF:]],$A35,Jul_Period_1_Tbl[[#All],['# HRS WORKED]])+  SUMIF(Aug_Period_1_Tbl[[#All],[STAFF:]],$A35,Aug_Period_1_Tbl[[#All],['# HRS WORKED]])+  SUMIF(Sep_Period_1_Tbl[[#All],[STAFF:]],$A35,Sep_Period_1_Tbl[[#All],['# HRS WORKED]])+  SUMIF(Oct_Period_1_Tbl[[#All],[STAFF:]],$A35,Oct_Period_1_Tbl[[#All],['# HRS WORKED]])+     SUMIF(Nov_Period_1_Tbl[[#All],[STAFF:]],$A35,Nov_Period_1_Tbl[[#All],['# HRS WORKED]])+  SUMIF(Dec_Period_1_Tbl[[#All],[STAFF:]],$A35,Dec_Period_1_Tbl[[#All],['# HRS WORKED]]))+   (SUMIF(Jan_Period_2_Tbl[[#All],[STAFF:]],$A35,Jan_Period_2_Tbl[[#All],['# HRS WORKED]])+
SUMIF(Feb_Period_2_Tbl[[#All],[STAFF:]],$A35,Feb_Period_2_Tbl[[#All],['# HRS WORKED]])+SUMIF(Mar_Period_2_Tbl[[#All],[STAFF:]],$A35,Mar_Period_2_Tbl[[#All],['# HRS WORKED]])+SUMIF(Apr_Period_2_Tbl[[#All],[STAFF:]],$A35,Apr_Period_2_Tbl[[#All],['# HRS WORKED]])+   SUMIF(May_Period_2_Tbl[[#All],[STAFF:]],$A35,May_Period_2_Tbl[[#All],['# HRS WORKED]])+   SUMIF(Jun_Period_2_Tbl[[#All],[STAFF:]],$A35,Jun_Period_2_Tbl[[#All],['# HRS WORKED]])+  SUMIF(Jul_Period_2_Tbl[[#All],[STAFF:]],$A35,Jul_Period_2_Tbl[[#All],['# HRS WORKED]])+  SUMIF(Aug_Period_2_Tbl[[#All],[STAFF:]],$A35,Aug_Period_2_Tbl[[#All],['# HRS WORKED]])+  SUMIF(Sep_Period_2_Tbl[[#All],[STAFF:]],$A35,Sep_Period_2_Tbl[[#All],['# HRS WORKED]])+  SUMIF(Oct_Period_2_Tbl[[#All],[STAFF:]],$A35,Oct_Period_2_Tbl[[#All],['# HRS WORKED]])+     SUMIF(Nov_Period_2_Tbl[[#All],[STAFF:]],$A35,Nov_Period_2_Tbl[[#All],['# HRS WORKED]])+  SUMIF(Dec_Period_2_Tbl[[#All],[STAFF:]],$A35,Dec_Period_2_Tbl[[#All],['# HRS WORKED]]))</f>
        <v>0</v>
      </c>
      <c r="G35" s="190">
        <f>(SUMIF(Jan_Period_1_Tbl[[#All],[STAFF:]],$A35,Jan_Period_1_Tbl[[#All],[$ Hourly WAGES]])+
SUMIF(Feb_Period_1_Tbl[[#All],[STAFF:]],$A35,Feb_Period_1_Tbl[[#All],[$ Hourly WAGES]])+SUMIF(Mar_Period_1_Tbl[[#All],[STAFF:]],$A35,Mar_Period_1_Tbl[[#All],[$ Hourly WAGES]])+SUMIF(Apr_Period_1_Tbl[[#All],[STAFF:]],$A35,Apr_Period_1_Tbl[[#All],[$ Hourly WAGES]])+   SUMIF(May_Period_1_Tbl[[#All],[STAFF:]],$A35,May_Period_1_Tbl[[#All],[$ Hourly WAGES]])+   SUMIF(Jun_Period_1_Tbl[[#All],[STAFF:]],$A35,Jun_Period_1_Tbl[[#All],[$ Hourly WAGES]])+  SUMIF(Jul_Period_1_Tbl[[#All],[STAFF:]],$A35,Jul_Period_1_Tbl[[#All],[$ Hourly WAGES]])+  SUMIF(Aug_Period_1_Tbl[[#All],[STAFF:]],$A35,Aug_Period_1_Tbl[[#All],[$ Hourly WAGES]])+  SUMIF(Sep_Period_1_Tbl[[#All],[STAFF:]],$A35,Sep_Period_1_Tbl[[#All],[$ Hourly WAGES]])+  SUMIF(Oct_Period_1_Tbl[[#All],[STAFF:]],$A35,Oct_Period_1_Tbl[[#All],[$ Hourly WAGES]])+     SUMIF(Nov_Period_1_Tbl[[#All],[STAFF:]],$A35,Nov_Period_1_Tbl[[#All],[$ Hourly WAGES]])+  SUMIF(Dec_Period_1_Tbl[[#All],[STAFF:]],$A35,Dec_Period_1_Tbl[[#All],[$ Hourly WAGES]]))+   (SUMIF(Jan_Period_2_Tbl[[#All],[STAFF:]],$A35,Jan_Period_2_Tbl[[#All],[$ Hourly WAGES]])+
SUMIF(Feb_Period_2_Tbl[[#All],[STAFF:]],$A35,Feb_Period_2_Tbl[[#All],[$ Hourly WAGES]])+SUMIF(Mar_Period_2_Tbl[[#All],[STAFF:]],$A35,Mar_Period_2_Tbl[[#All],[$ Hourly WAGES]])+SUMIF(Apr_Period_2_Tbl[[#All],[STAFF:]],$A35,Apr_Period_2_Tbl[[#All],[$ Hourly WAGES]])+   SUMIF(May_Period_2_Tbl[[#All],[STAFF:]],$A35,May_Period_2_Tbl[[#All],[$ Hourly WAGES]])+   SUMIF(Jun_Period_2_Tbl[[#All],[STAFF:]],$A35,Jun_Period_2_Tbl[[#All],[$ Hourly WAGES]])+  SUMIF(Jul_Period_2_Tbl[[#All],[STAFF:]],$A35,Jul_Period_2_Tbl[[#All],[$ Hourly WAGES]])+  SUMIF(Aug_Period_2_Tbl[[#All],[STAFF:]],$A35,Aug_Period_2_Tbl[[#All],[$ Hourly WAGES]])+  SUMIF(Sep_Period_2_Tbl[[#All],[STAFF:]],$A35,Sep_Period_2_Tbl[[#All],[$ Hourly WAGES]])+  SUMIF(Oct_Period_2_Tbl[[#All],[STAFF:]],$A35,Oct_Period_2_Tbl[[#All],[$ Hourly WAGES]])+     SUMIF(Nov_Period_2_Tbl[[#All],[STAFF:]],$A35,Nov_Period_2_Tbl[[#All],[$ Hourly WAGES]])+  SUMIF(Dec_Period_2_Tbl[[#All],[STAFF:]],$A35,Dec_Period_2_Tbl[[#All],[$ Hourly WAGES]]))</f>
        <v>0</v>
      </c>
      <c r="H35" s="190">
        <f>(SUMIF(Jan_Period_1_Tbl[[#All],[STAFF:]],$A35,Jan_Period_1_Tbl[[#All],[$ SALARY]])+
SUMIF(Feb_Period_1_Tbl[[#All],[STAFF:]],$A35,Feb_Period_1_Tbl[[#All],[$ SALARY]])+SUMIF(Mar_Period_1_Tbl[[#All],[STAFF:]],$A35,Mar_Period_1_Tbl[[#All],[$ SALARY]])+SUMIF(Apr_Period_1_Tbl[[#All],[STAFF:]],$A35,Apr_Period_1_Tbl[[#All],[$ SALARY]])+   SUMIF(May_Period_1_Tbl[[#All],[STAFF:]],$A35,May_Period_1_Tbl[[#All],[$ SALARY]])+   SUMIF(Jun_Period_1_Tbl[[#All],[STAFF:]],$A35,Jun_Period_1_Tbl[[#All],[$ SALARY]])+  SUMIF(Jul_Period_1_Tbl[[#All],[STAFF:]],$A35,Jul_Period_1_Tbl[[#All],[$ SALARY]])+  SUMIF(Aug_Period_1_Tbl[[#All],[STAFF:]],$A35,Aug_Period_1_Tbl[[#All],[$ SALARY]])+  SUMIF(Sep_Period_1_Tbl[[#All],[STAFF:]],$A35,Sep_Period_1_Tbl[[#All],[$ SALARY]])+  SUMIF(Oct_Period_1_Tbl[[#All],[STAFF:]],$A35,Oct_Period_1_Tbl[[#All],[$ SALARY]])+     SUMIF(Nov_Period_1_Tbl[[#All],[STAFF:]],$A35,Nov_Period_1_Tbl[[#All],[$ SALARY]])+  SUMIF(Dec_Period_1_Tbl[[#All],[STAFF:]],$A35,Dec_Period_1_Tbl[[#All],[$ SALARY]]))+   (SUMIF(Jan_Period_2_Tbl[[#All],[STAFF:]],$A35,Jan_Period_2_Tbl[[#All],[$ SALARY]])+
SUMIF(Feb_Period_2_Tbl[[#All],[STAFF:]],$A35,Feb_Period_2_Tbl[[#All],[$ SALARY]])+SUMIF(Mar_Period_2_Tbl[[#All],[STAFF:]],$A35,Mar_Period_2_Tbl[[#All],[$ SALARY]])+SUMIF(Apr_Period_2_Tbl[[#All],[STAFF:]],$A35,Apr_Period_2_Tbl[[#All],[$ SALARY]])+   SUMIF(May_Period_2_Tbl[[#All],[STAFF:]],$A35,May_Period_2_Tbl[[#All],[$ SALARY]])+   SUMIF(Jun_Period_2_Tbl[[#All],[STAFF:]],$A35,Jun_Period_2_Tbl[[#All],[$ SALARY]])+  SUMIF(Jul_Period_2_Tbl[[#All],[STAFF:]],$A35,Jul_Period_2_Tbl[[#All],[$ SALARY]])+  SUMIF(Aug_Period_2_Tbl[[#All],[STAFF:]],$A35,Aug_Period_2_Tbl[[#All],[$ SALARY]])+  SUMIF(Sep_Period_2_Tbl[[#All],[STAFF:]],$A35,Sep_Period_2_Tbl[[#All],[$ SALARY]])+  SUMIF(Oct_Period_2_Tbl[[#All],[STAFF:]],$A35,Oct_Period_2_Tbl[[#All],[$ SALARY]])+     SUMIF(Nov_Period_2_Tbl[[#All],[STAFF:]],$A35,Nov_Period_2_Tbl[[#All],[$ SALARY]])+  SUMIF(Dec_Period_2_Tbl[[#All],[STAFF:]],$A35,Dec_Period_2_Tbl[[#All],[$ SALARY]]))</f>
        <v>0</v>
      </c>
      <c r="I35" s="190">
        <f>(SUMIF(Jan_Period_1_Tbl[[#All],[STAFF:]],$A35,Jan_Period_1_Tbl[[#All],[$ SALARY PT]])+
SUMIF(Feb_Period_1_Tbl[[#All],[STAFF:]],$A35,Feb_Period_1_Tbl[[#All],[$ SALARY PT]])+SUMIF(Mar_Period_1_Tbl[[#All],[STAFF:]],$A35,Mar_Period_1_Tbl[[#All],[$ SALARY PT]])+SUMIF(Apr_Period_1_Tbl[[#All],[STAFF:]],$A35,Apr_Period_1_Tbl[[#All],[$ SALARY PT]])+   SUMIF(May_Period_1_Tbl[[#All],[STAFF:]],$A35,May_Period_1_Tbl[[#All],[$ SALARY PT]])+   SUMIF(Jun_Period_1_Tbl[[#All],[STAFF:]],$A35,Jun_Period_1_Tbl[[#All],[$ SALARY PT]])+  SUMIF(Jul_Period_1_Tbl[[#All],[STAFF:]],$A35,Jul_Period_1_Tbl[[#All],[$ SALARY PT]])+  SUMIF(Aug_Period_1_Tbl[[#All],[STAFF:]],$A35,Aug_Period_1_Tbl[[#All],[$ SALARY PT]])+  SUMIF(Sep_Period_1_Tbl[[#All],[STAFF:]],$A35,Sep_Period_1_Tbl[[#All],[$ SALARY PT]])+  SUMIF(Oct_Period_1_Tbl[[#All],[STAFF:]],$A35,Oct_Period_1_Tbl[[#All],[$ SALARY PT]])+     SUMIF(Nov_Period_1_Tbl[[#All],[STAFF:]],$A35,Nov_Period_1_Tbl[[#All],[$ SALARY PT]])+  SUMIF(Dec_Period_1_Tbl[[#All],[STAFF:]],$A35,Dec_Period_1_Tbl[[#All],[$ SALARY PT]]))+   (SUMIF(Jan_Period_2_Tbl[[#All],[STAFF:]],$A35,Jan_Period_2_Tbl[[#All],[$ SALARY PT]])+
SUMIF(Feb_Period_2_Tbl[[#All],[STAFF:]],$A35,Feb_Period_2_Tbl[[#All],[$ SALARY PT]])+SUMIF(Mar_Period_2_Tbl[[#All],[STAFF:]],$A35,Mar_Period_2_Tbl[[#All],[$ SALARY PT]])+SUMIF(Apr_Period_2_Tbl[[#All],[STAFF:]],$A35,Apr_Period_2_Tbl[[#All],[$ SALARY PT]])+   SUMIF(May_Period_2_Tbl[[#All],[STAFF:]],$A35,May_Period_2_Tbl[[#All],[$ SALARY PT]])+   SUMIF(Jun_Period_2_Tbl[[#All],[STAFF:]],$A35,Jun_Period_2_Tbl[[#All],[$ SALARY PT]])+  SUMIF(Jul_Period_2_Tbl[[#All],[STAFF:]],$A35,Jul_Period_2_Tbl[[#All],[$ SALARY PT]])+  SUMIF(Aug_Period_2_Tbl[[#All],[STAFF:]],$A35,Aug_Period_2_Tbl[[#All],[$ SALARY PT]])+  SUMIF(Sep_Period_2_Tbl[[#All],[STAFF:]],$A35,Sep_Period_2_Tbl[[#All],[$ SALARY PT]])+  SUMIF(Oct_Period_2_Tbl[[#All],[STAFF:]],$A35,Oct_Period_2_Tbl[[#All],[$ SALARY PT]])+     SUMIF(Nov_Period_2_Tbl[[#All],[STAFF:]],$A35,Nov_Period_2_Tbl[[#All],[$ SALARY PT]])+  SUMIF(Dec_Period_2_Tbl[[#All],[STAFF:]],$A35,Dec_Period_2_Tbl[[#All],[$ SALARY PT]]))</f>
        <v>0</v>
      </c>
      <c r="J35" s="190">
        <f>(SUMIF(Jan_Period_1_Tbl[[#All],[STAFF:]],$A35,Jan_Period_1_Tbl[[#All],[$ FREE PT]])+
SUMIF(Feb_Period_1_Tbl[[#All],[STAFF:]],$A35,Feb_Period_1_Tbl[[#All],[$ FREE PT]])+SUMIF(Mar_Period_1_Tbl[[#All],[STAFF:]],$A35,Mar_Period_1_Tbl[[#All],[$ FREE PT]])+SUMIF(Apr_Period_1_Tbl[[#All],[STAFF:]],$A35,Apr_Period_1_Tbl[[#All],[$ FREE PT]])+   SUMIF(May_Period_1_Tbl[[#All],[STAFF:]],$A35,May_Period_1_Tbl[[#All],[$ FREE PT]])+   SUMIF(Jun_Period_1_Tbl[[#All],[STAFF:]],$A35,Jun_Period_1_Tbl[[#All],[$ FREE PT]])+  SUMIF(Jul_Period_1_Tbl[[#All],[STAFF:]],$A35,Jul_Period_1_Tbl[[#All],[$ FREE PT]])+  SUMIF(Aug_Period_1_Tbl[[#All],[STAFF:]],$A35,Aug_Period_1_Tbl[[#All],[$ FREE PT]])+  SUMIF(Sep_Period_1_Tbl[[#All],[STAFF:]],$A35,Sep_Period_1_Tbl[[#All],[$ FREE PT]])+  SUMIF(Oct_Period_1_Tbl[[#All],[STAFF:]],$A35,Oct_Period_1_Tbl[[#All],[$ FREE PT]])+     SUMIF(Nov_Period_1_Tbl[[#All],[STAFF:]],$A35,Nov_Period_1_Tbl[[#All],[$ FREE PT]])+  SUMIF(Dec_Period_1_Tbl[[#All],[STAFF:]],$A35,Dec_Period_1_Tbl[[#All],[$ FREE PT]]))+   (SUMIF(Jan_Period_2_Tbl[[#All],[STAFF:]],$A35,Jan_Period_2_Tbl[[#All],[$ FREE PT]])+
SUMIF(Feb_Period_2_Tbl[[#All],[STAFF:]],$A35,Feb_Period_2_Tbl[[#All],[$ FREE PT]])+SUMIF(Mar_Period_2_Tbl[[#All],[STAFF:]],$A35,Mar_Period_2_Tbl[[#All],[$ FREE PT]])+SUMIF(Apr_Period_2_Tbl[[#All],[STAFF:]],$A35,Apr_Period_2_Tbl[[#All],[$ FREE PT]])+   SUMIF(May_Period_2_Tbl[[#All],[STAFF:]],$A35,May_Period_2_Tbl[[#All],[$ FREE PT]])+   SUMIF(Jun_Period_2_Tbl[[#All],[STAFF:]],$A35,Jun_Period_2_Tbl[[#All],[$ FREE PT]])+  SUMIF(Jul_Period_2_Tbl[[#All],[STAFF:]],$A35,Jul_Period_2_Tbl[[#All],[$ FREE PT]])+  SUMIF(Aug_Period_2_Tbl[[#All],[STAFF:]],$A35,Aug_Period_2_Tbl[[#All],[$ FREE PT]])+  SUMIF(Sep_Period_2_Tbl[[#All],[STAFF:]],$A35,Sep_Period_2_Tbl[[#All],[$ FREE PT]])+  SUMIF(Oct_Period_2_Tbl[[#All],[STAFF:]],$A35,Oct_Period_2_Tbl[[#All],[$ FREE PT]])+     SUMIF(Nov_Period_2_Tbl[[#All],[STAFF:]],$A35,Nov_Period_2_Tbl[[#All],[$ FREE PT]])+  SUMIF(Dec_Period_2_Tbl[[#All],[STAFF:]],$A35,Dec_Period_2_Tbl[[#All],[$ FREE PT]]))</f>
        <v>0</v>
      </c>
      <c r="K35" s="190">
        <f>(SUMIF(Jan_Period_1_Tbl[[#All],[STAFF:]],$A35,Jan_Period_1_Tbl[[#All],[$ PAID PT]])+
SUMIF(Feb_Period_1_Tbl[[#All],[STAFF:]],$A35,Feb_Period_1_Tbl[[#All],[$ PAID PT]])+SUMIF(Mar_Period_1_Tbl[[#All],[STAFF:]],$A35,Mar_Period_1_Tbl[[#All],[$ PAID PT]])+SUMIF(Apr_Period_1_Tbl[[#All],[STAFF:]],$A35,Apr_Period_1_Tbl[[#All],[$ PAID PT]])+   SUMIF(May_Period_1_Tbl[[#All],[STAFF:]],$A35,May_Period_1_Tbl[[#All],[$ PAID PT]])+   SUMIF(Jun_Period_1_Tbl[[#All],[STAFF:]],$A35,Jun_Period_1_Tbl[[#All],[$ PAID PT]])+  SUMIF(Jul_Period_1_Tbl[[#All],[STAFF:]],$A35,Jul_Period_1_Tbl[[#All],[$ PAID PT]])+  SUMIF(Aug_Period_1_Tbl[[#All],[STAFF:]],$A35,Aug_Period_1_Tbl[[#All],[$ PAID PT]])+  SUMIF(Sep_Period_1_Tbl[[#All],[STAFF:]],$A35,Sep_Period_1_Tbl[[#All],[$ PAID PT]])+  SUMIF(Oct_Period_1_Tbl[[#All],[STAFF:]],$A35,Oct_Period_1_Tbl[[#All],[$ PAID PT]])+     SUMIF(Nov_Period_1_Tbl[[#All],[STAFF:]],$A35,Nov_Period_1_Tbl[[#All],[$ PAID PT]])+  SUMIF(Dec_Period_1_Tbl[[#All],[STAFF:]],$A35,Dec_Period_1_Tbl[[#All],[$ PAID PT]]))+   (SUMIF(Jan_Period_2_Tbl[[#All],[STAFF:]],$A35,Jan_Period_2_Tbl[[#All],[$ PAID PT]])+
SUMIF(Feb_Period_2_Tbl[[#All],[STAFF:]],$A35,Feb_Period_2_Tbl[[#All],[$ PAID PT]])+SUMIF(Mar_Period_2_Tbl[[#All],[STAFF:]],$A35,Mar_Period_2_Tbl[[#All],[$ PAID PT]])+SUMIF(Apr_Period_2_Tbl[[#All],[STAFF:]],$A35,Apr_Period_2_Tbl[[#All],[$ PAID PT]])+   SUMIF(May_Period_2_Tbl[[#All],[STAFF:]],$A35,May_Period_2_Tbl[[#All],[$ PAID PT]])+   SUMIF(Jun_Period_2_Tbl[[#All],[STAFF:]],$A35,Jun_Period_2_Tbl[[#All],[$ PAID PT]])+  SUMIF(Jul_Period_2_Tbl[[#All],[STAFF:]],$A35,Jul_Period_2_Tbl[[#All],[$ PAID PT]])+  SUMIF(Aug_Period_2_Tbl[[#All],[STAFF:]],$A35,Aug_Period_2_Tbl[[#All],[$ PAID PT]])+  SUMIF(Sep_Period_2_Tbl[[#All],[STAFF:]],$A35,Sep_Period_2_Tbl[[#All],[$ PAID PT]])+  SUMIF(Oct_Period_2_Tbl[[#All],[STAFF:]],$A35,Oct_Period_2_Tbl[[#All],[$ PAID PT]])+     SUMIF(Nov_Period_2_Tbl[[#All],[STAFF:]],$A35,Nov_Period_2_Tbl[[#All],[$ PAID PT]])+  SUMIF(Dec_Period_2_Tbl[[#All],[STAFF:]],$A35,Dec_Period_2_Tbl[[#All],[$ PAID PT]]))</f>
        <v>0</v>
      </c>
      <c r="L35" s="190">
        <f>(SUMIF(Jan_Period_1_Tbl[[#All],[STAFF:]],$A35,Jan_Period_1_Tbl[[#All],[$ PT COMM]])+
SUMIF(Feb_Period_1_Tbl[[#All],[STAFF:]],$A35,Feb_Period_1_Tbl[[#All],[$ PT COMM]])+SUMIF(Mar_Period_1_Tbl[[#All],[STAFF:]],$A35,Mar_Period_1_Tbl[[#All],[$ PT COMM]])+SUMIF(Apr_Period_1_Tbl[[#All],[STAFF:]],$A35,Apr_Period_1_Tbl[[#All],[$ PT COMM]])+   SUMIF(May_Period_1_Tbl[[#All],[STAFF:]],$A35,May_Period_1_Tbl[[#All],[$ PT COMM]])+   SUMIF(Jun_Period_1_Tbl[[#All],[STAFF:]],$A35,Jun_Period_1_Tbl[[#All],[$ PT COMM]])+  SUMIF(Jul_Period_1_Tbl[[#All],[STAFF:]],$A35,Jul_Period_1_Tbl[[#All],[$ PT COMM]])+  SUMIF(Aug_Period_1_Tbl[[#All],[STAFF:]],$A35,Aug_Period_1_Tbl[[#All],[$ PT COMM]])+  SUMIF(Sep_Period_1_Tbl[[#All],[STAFF:]],$A35,Sep_Period_1_Tbl[[#All],[$ PT COMM]])+  SUMIF(Oct_Period_1_Tbl[[#All],[STAFF:]],$A35,Oct_Period_1_Tbl[[#All],[$ PT COMM]])+     SUMIF(Nov_Period_1_Tbl[[#All],[STAFF:]],$A35,Nov_Period_1_Tbl[[#All],[$ PT COMM]])+  SUMIF(Dec_Period_1_Tbl[[#All],[STAFF:]],$A35,Dec_Period_1_Tbl[[#All],[$ PT COMM]]))+   (SUMIF(Jan_Period_2_Tbl[[#All],[STAFF:]],$A35,Jan_Period_2_Tbl[[#All],[$ PT COMM]])+
SUMIF(Feb_Period_2_Tbl[[#All],[STAFF:]],$A35,Feb_Period_2_Tbl[[#All],[$ PT COMM]])+SUMIF(Mar_Period_2_Tbl[[#All],[STAFF:]],$A35,Mar_Period_2_Tbl[[#All],[$ PT COMM]])+SUMIF(Apr_Period_2_Tbl[[#All],[STAFF:]],$A35,Apr_Period_2_Tbl[[#All],[$ PT COMM]])+   SUMIF(May_Period_2_Tbl[[#All],[STAFF:]],$A35,May_Period_2_Tbl[[#All],[$ PT COMM]])+   SUMIF(Jun_Period_2_Tbl[[#All],[STAFF:]],$A35,Jun_Period_2_Tbl[[#All],[$ PT COMM]])+  SUMIF(Jul_Period_2_Tbl[[#All],[STAFF:]],$A35,Jul_Period_2_Tbl[[#All],[$ PT COMM]])+  SUMIF(Aug_Period_2_Tbl[[#All],[STAFF:]],$A35,Aug_Period_2_Tbl[[#All],[$ PT COMM]])+  SUMIF(Sep_Period_2_Tbl[[#All],[STAFF:]],$A35,Sep_Period_2_Tbl[[#All],[$ PT COMM]])+  SUMIF(Oct_Period_2_Tbl[[#All],[STAFF:]],$A35,Oct_Period_2_Tbl[[#All],[$ PT COMM]])+     SUMIF(Nov_Period_2_Tbl[[#All],[STAFF:]],$A35,Nov_Period_2_Tbl[[#All],[$ PT COMM]])+  SUMIF(Dec_Period_2_Tbl[[#All],[STAFF:]],$A35,Dec_Period_2_Tbl[[#All],[$ PT COMM]]))</f>
        <v>0</v>
      </c>
      <c r="M35" s="190">
        <f>(SUMIF(Jan_Period_1_Tbl[[#All],[STAFF:]],$A35,Jan_Period_1_Tbl[[#All],[$ EFT COMM]])+
SUMIF(Feb_Period_1_Tbl[[#All],[STAFF:]],$A35,Feb_Period_1_Tbl[[#All],[$ EFT COMM]])+SUMIF(Mar_Period_1_Tbl[[#All],[STAFF:]],$A35,Mar_Period_1_Tbl[[#All],[$ EFT COMM]])+SUMIF(Apr_Period_1_Tbl[[#All],[STAFF:]],$A35,Apr_Period_1_Tbl[[#All],[$ EFT COMM]])+   SUMIF(May_Period_1_Tbl[[#All],[STAFF:]],$A35,May_Period_1_Tbl[[#All],[$ EFT COMM]])+   SUMIF(Jun_Period_1_Tbl[[#All],[STAFF:]],$A35,Jun_Period_1_Tbl[[#All],[$ EFT COMM]])+  SUMIF(Jul_Period_1_Tbl[[#All],[STAFF:]],$A35,Jul_Period_1_Tbl[[#All],[$ EFT COMM]])+  SUMIF(Aug_Period_1_Tbl[[#All],[STAFF:]],$A35,Aug_Period_1_Tbl[[#All],[$ EFT COMM]])+  SUMIF(Sep_Period_1_Tbl[[#All],[STAFF:]],$A35,Sep_Period_1_Tbl[[#All],[$ EFT COMM]])+  SUMIF(Oct_Period_1_Tbl[[#All],[STAFF:]],$A35,Oct_Period_1_Tbl[[#All],[$ EFT COMM]])+     SUMIF(Nov_Period_1_Tbl[[#All],[STAFF:]],$A35,Nov_Period_1_Tbl[[#All],[$ EFT COMM]])+  SUMIF(Dec_Period_1_Tbl[[#All],[STAFF:]],$A35,Dec_Period_1_Tbl[[#All],[$ EFT COMM]]))+   (SUMIF(Jan_Period_2_Tbl[[#All],[STAFF:]],$A35,Jan_Period_2_Tbl[[#All],[$ EFT COMM]])+
SUMIF(Feb_Period_2_Tbl[[#All],[STAFF:]],$A35,Feb_Period_2_Tbl[[#All],[$ EFT COMM]])+SUMIF(Mar_Period_2_Tbl[[#All],[STAFF:]],$A35,Mar_Period_2_Tbl[[#All],[$ EFT COMM]])+SUMIF(Apr_Period_2_Tbl[[#All],[STAFF:]],$A35,Apr_Period_2_Tbl[[#All],[$ EFT COMM]])+   SUMIF(May_Period_2_Tbl[[#All],[STAFF:]],$A35,May_Period_2_Tbl[[#All],[$ EFT COMM]])+   SUMIF(Jun_Period_2_Tbl[[#All],[STAFF:]],$A35,Jun_Period_2_Tbl[[#All],[$ EFT COMM]])+  SUMIF(Jul_Period_2_Tbl[[#All],[STAFF:]],$A35,Jul_Period_2_Tbl[[#All],[$ EFT COMM]])+  SUMIF(Aug_Period_2_Tbl[[#All],[STAFF:]],$A35,Aug_Period_2_Tbl[[#All],[$ EFT COMM]])+  SUMIF(Sep_Period_2_Tbl[[#All],[STAFF:]],$A35,Sep_Period_2_Tbl[[#All],[$ EFT COMM]])+  SUMIF(Oct_Period_2_Tbl[[#All],[STAFF:]],$A35,Oct_Period_2_Tbl[[#All],[$ EFT COMM]])+     SUMIF(Nov_Period_2_Tbl[[#All],[STAFF:]],$A35,Nov_Period_2_Tbl[[#All],[$ EFT COMM]])+  SUMIF(Dec_Period_2_Tbl[[#All],[STAFF:]],$A35,Dec_Period_2_Tbl[[#All],[$ EFT COMM]]))</f>
        <v>0</v>
      </c>
      <c r="N35" s="190">
        <f>(SUMIF(Jan_Period_1_Tbl[[#All],[STAFF:]],$A35,Jan_Period_1_Tbl[[#All],[$ CLASS PAY]])+
SUMIF(Feb_Period_1_Tbl[[#All],[STAFF:]],$A35,Feb_Period_1_Tbl[[#All],[$ CLASS PAY]])+SUMIF(Mar_Period_1_Tbl[[#All],[STAFF:]],$A35,Mar_Period_1_Tbl[[#All],[$ CLASS PAY]])+SUMIF(Apr_Period_1_Tbl[[#All],[STAFF:]],$A35,Apr_Period_1_Tbl[[#All],[$ CLASS PAY]])+   SUMIF(May_Period_1_Tbl[[#All],[STAFF:]],$A35,May_Period_1_Tbl[[#All],[$ CLASS PAY]])+   SUMIF(Jun_Period_1_Tbl[[#All],[STAFF:]],$A35,Jun_Period_1_Tbl[[#All],[$ CLASS PAY]])+  SUMIF(Jul_Period_1_Tbl[[#All],[STAFF:]],$A35,Jul_Period_1_Tbl[[#All],[$ CLASS PAY]])+  SUMIF(Aug_Period_1_Tbl[[#All],[STAFF:]],$A35,Aug_Period_1_Tbl[[#All],[$ CLASS PAY]])+  SUMIF(Sep_Period_1_Tbl[[#All],[STAFF:]],$A35,Sep_Period_1_Tbl[[#All],[$ CLASS PAY]])+  SUMIF(Oct_Period_1_Tbl[[#All],[STAFF:]],$A35,Oct_Period_1_Tbl[[#All],[$ CLASS PAY]])+     SUMIF(Nov_Period_1_Tbl[[#All],[STAFF:]],$A35,Nov_Period_1_Tbl[[#All],[$ CLASS PAY]])+  SUMIF(Dec_Period_1_Tbl[[#All],[STAFF:]],$A35,Dec_Period_1_Tbl[[#All],[$ CLASS PAY]]))+   (SUMIF(Jan_Period_2_Tbl[[#All],[STAFF:]],$A35,Jan_Period_2_Tbl[[#All],[$ CLASS PAY]])+
SUMIF(Feb_Period_2_Tbl[[#All],[STAFF:]],$A35,Feb_Period_2_Tbl[[#All],[$ CLASS PAY]])+SUMIF(Mar_Period_2_Tbl[[#All],[STAFF:]],$A35,Mar_Period_2_Tbl[[#All],[$ CLASS PAY]])+SUMIF(Apr_Period_2_Tbl[[#All],[STAFF:]],$A35,Apr_Period_2_Tbl[[#All],[$ CLASS PAY]])+   SUMIF(May_Period_2_Tbl[[#All],[STAFF:]],$A35,May_Period_2_Tbl[[#All],[$ CLASS PAY]])+   SUMIF(Jun_Period_2_Tbl[[#All],[STAFF:]],$A35,Jun_Period_2_Tbl[[#All],[$ CLASS PAY]])+  SUMIF(Jul_Period_2_Tbl[[#All],[STAFF:]],$A35,Jul_Period_2_Tbl[[#All],[$ CLASS PAY]])+  SUMIF(Aug_Period_2_Tbl[[#All],[STAFF:]],$A35,Aug_Period_2_Tbl[[#All],[$ CLASS PAY]])+  SUMIF(Sep_Period_2_Tbl[[#All],[STAFF:]],$A35,Sep_Period_2_Tbl[[#All],[$ CLASS PAY]])+  SUMIF(Oct_Period_2_Tbl[[#All],[STAFF:]],$A35,Oct_Period_2_Tbl[[#All],[$ CLASS PAY]])+     SUMIF(Nov_Period_2_Tbl[[#All],[STAFF:]],$A35,Nov_Period_2_Tbl[[#All],[$ CLASS PAY]])+  SUMIF(Dec_Period_2_Tbl[[#All],[STAFF:]],$A35,Dec_Period_2_Tbl[[#All],[$ CLASS PAY]]))</f>
        <v>0</v>
      </c>
      <c r="O35" s="191">
        <f>(SUMIF(Jan_Period_1_Tbl[[#All],[STAFF:]],$A35,Jan_Period_1_Tbl[[#All],[$ BONUS PAY]])+
SUMIF(Feb_Period_1_Tbl[[#All],[STAFF:]],$A35,Feb_Period_1_Tbl[[#All],[$ BONUS PAY]])+SUMIF(Mar_Period_1_Tbl[[#All],[STAFF:]],$A35,Mar_Period_1_Tbl[[#All],[$ BONUS PAY]])+SUMIF(Apr_Period_1_Tbl[[#All],[STAFF:]],$A35,Apr_Period_1_Tbl[[#All],[$ BONUS PAY]])+   SUMIF(May_Period_1_Tbl[[#All],[STAFF:]],$A35,May_Period_1_Tbl[[#All],[$ BONUS PAY]])+   SUMIF(Jun_Period_1_Tbl[[#All],[STAFF:]],$A35,Jun_Period_1_Tbl[[#All],[$ BONUS PAY]])+  SUMIF(Jul_Period_1_Tbl[[#All],[STAFF:]],$A35,Jul_Period_1_Tbl[[#All],[$ BONUS PAY]])+  SUMIF(Aug_Period_1_Tbl[[#All],[STAFF:]],$A35,Aug_Period_1_Tbl[[#All],[$ BONUS PAY]])+  SUMIF(Sep_Period_1_Tbl[[#All],[STAFF:]],$A35,Sep_Period_1_Tbl[[#All],[$ BONUS PAY]])+  SUMIF(Oct_Period_1_Tbl[[#All],[STAFF:]],$A35,Oct_Period_1_Tbl[[#All],[$ BONUS PAY]])+     SUMIF(Nov_Period_1_Tbl[[#All],[STAFF:]],$A35,Nov_Period_1_Tbl[[#All],[$ BONUS PAY]])+  SUMIF(Dec_Period_1_Tbl[[#All],[STAFF:]],$A35,Dec_Period_1_Tbl[[#All],[$ BONUS PAY]]))+   (SUMIF(Jan_Period_2_Tbl[[#All],[STAFF:]],$A35,Jan_Period_2_Tbl[[#All],[$ BONUS PAY]])+
SUMIF(Feb_Period_2_Tbl[[#All],[STAFF:]],$A35,Feb_Period_2_Tbl[[#All],[$ BONUS PAY]])+SUMIF(Mar_Period_2_Tbl[[#All],[STAFF:]],$A35,Mar_Period_2_Tbl[[#All],[$ BONUS PAY]])+SUMIF(Apr_Period_2_Tbl[[#All],[STAFF:]],$A35,Apr_Period_2_Tbl[[#All],[$ BONUS PAY]])+   SUMIF(May_Period_2_Tbl[[#All],[STAFF:]],$A35,May_Period_2_Tbl[[#All],[$ BONUS PAY]])+   SUMIF(Jun_Period_2_Tbl[[#All],[STAFF:]],$A35,Jun_Period_2_Tbl[[#All],[$ BONUS PAY]])+  SUMIF(Jul_Period_2_Tbl[[#All],[STAFF:]],$A35,Jul_Period_2_Tbl[[#All],[$ BONUS PAY]])+  SUMIF(Aug_Period_2_Tbl[[#All],[STAFF:]],$A35,Aug_Period_2_Tbl[[#All],[$ BONUS PAY]])+  SUMIF(Sep_Period_2_Tbl[[#All],[STAFF:]],$A35,Sep_Period_2_Tbl[[#All],[$ BONUS PAY]])+  SUMIF(Oct_Period_2_Tbl[[#All],[STAFF:]],$A35,Oct_Period_2_Tbl[[#All],[$ BONUS PAY]])+     SUMIF(Nov_Period_2_Tbl[[#All],[STAFF:]],$A35,Nov_Period_2_Tbl[[#All],[$ BONUS PAY]])+  SUMIF(Dec_Period_2_Tbl[[#All],[STAFF:]],$A35,Dec_Period_2_Tbl[[#All],[$ BONUS PAY]]))</f>
        <v>0</v>
      </c>
      <c r="P35" s="179">
        <f t="shared" si="0"/>
        <v>0</v>
      </c>
      <c r="Q35" s="149"/>
      <c r="R35" s="153">
        <f>(SUMIF(Jan_Period_1_Tbl[[#All],[STAFF:]],$A35,Jan_Period_1_Tbl[[#All],['# POINTS EARNED]])+
SUMIF(Feb_Period_1_Tbl[[#All],[STAFF:]],$A35,Feb_Period_1_Tbl[[#All],['# POINTS EARNED]])+SUMIF(Mar_Period_1_Tbl[[#All],[STAFF:]],$A35,Mar_Period_1_Tbl[[#All],['# POINTS EARNED]])+SUMIF(Apr_Period_1_Tbl[[#All],[STAFF:]],$A35,Apr_Period_1_Tbl[[#All],['# POINTS EARNED]])+   SUMIF(May_Period_1_Tbl[[#All],[STAFF:]],$A35,May_Period_1_Tbl[[#All],['# POINTS EARNED]])+   SUMIF(Jun_Period_1_Tbl[[#All],[STAFF:]],$A35,Jun_Period_1_Tbl[[#All],['# POINTS EARNED]])+  SUMIF(Jul_Period_1_Tbl[[#All],[STAFF:]],$A35,Jul_Period_1_Tbl[[#All],['# POINTS EARNED]])+  SUMIF(Aug_Period_1_Tbl[[#All],[STAFF:]],$A35,Aug_Period_1_Tbl[[#All],['# POINTS EARNED]])+  SUMIF(Sep_Period_1_Tbl[[#All],[STAFF:]],$A35,Sep_Period_1_Tbl[[#All],['# POINTS EARNED]])+  SUMIF(Oct_Period_1_Tbl[[#All],[STAFF:]],$A35,Oct_Period_1_Tbl[[#All],['# POINTS EARNED]])+     SUMIF(Nov_Period_1_Tbl[[#All],[STAFF:]],$A35,Nov_Period_1_Tbl[[#All],['# POINTS EARNED]])+  SUMIF(Dec_Period_1_Tbl[[#All],[STAFF:]],$A35,Dec_Period_1_Tbl[[#All],['# POINTS EARNED]]))+   (SUMIF(Jan_Period_2_Tbl[[#All],[STAFF:]],$A35,Jan_Period_2_Tbl[[#All],['# POINTS EARNED]])+
SUMIF(Feb_Period_2_Tbl[[#All],[STAFF:]],$A35,Feb_Period_2_Tbl[[#All],['# POINTS EARNED]])+SUMIF(Mar_Period_2_Tbl[[#All],[STAFF:]],$A35,Mar_Period_2_Tbl[[#All],['# POINTS EARNED]])+SUMIF(Apr_Period_2_Tbl[[#All],[STAFF:]],$A35,Apr_Period_2_Tbl[[#All],['# POINTS EARNED]])+   SUMIF(May_Period_2_Tbl[[#All],[STAFF:]],$A35,May_Period_2_Tbl[[#All],['# POINTS EARNED]])+   SUMIF(Jun_Period_2_Tbl[[#All],[STAFF:]],$A35,Jun_Period_2_Tbl[[#All],['# POINTS EARNED]])+  SUMIF(Jul_Period_2_Tbl[[#All],[STAFF:]],$A35,Jul_Period_2_Tbl[[#All],['# POINTS EARNED]])+  SUMIF(Aug_Period_2_Tbl[[#All],[STAFF:]],$A35,Aug_Period_2_Tbl[[#All],['# POINTS EARNED]])+  SUMIF(Sep_Period_2_Tbl[[#All],[STAFF:]],$A35,Sep_Period_2_Tbl[[#All],['# POINTS EARNED]])+  SUMIF(Oct_Period_2_Tbl[[#All],[STAFF:]],$A35,Oct_Period_2_Tbl[[#All],['# POINTS EARNED]])+     SUMIF(Nov_Period_2_Tbl[[#All],[STAFF:]],$A35,Nov_Period_2_Tbl[[#All],['# POINTS EARNED]])+  SUMIF(Dec_Period_2_Tbl[[#All],[STAFF:]],$A35,Dec_Period_2_Tbl[[#All],['# POINTS EARNED]]))</f>
        <v>0</v>
      </c>
      <c r="S35" s="153">
        <f>(SUMIF(Jan_Period_1_Tbl[[#All],[STAFF:]],$A35,Jan_Period_1_Tbl[[#All],['# POINTS USED]])+
SUMIF(Feb_Period_1_Tbl[[#All],[STAFF:]],$A35,Feb_Period_1_Tbl[[#All],['# POINTS USED]])+SUMIF(Mar_Period_1_Tbl[[#All],[STAFF:]],$A35,Mar_Period_1_Tbl[[#All],['# POINTS USED]])+SUMIF(Apr_Period_1_Tbl[[#All],[STAFF:]],$A35,Apr_Period_1_Tbl[[#All],['# POINTS USED]])+   SUMIF(May_Period_1_Tbl[[#All],[STAFF:]],$A35,May_Period_1_Tbl[[#All],['# POINTS USED]])+   SUMIF(Jun_Period_1_Tbl[[#All],[STAFF:]],$A35,Jun_Period_1_Tbl[[#All],['# POINTS USED]])+  SUMIF(Jul_Period_1_Tbl[[#All],[STAFF:]],$A35,Jul_Period_1_Tbl[[#All],['# POINTS USED]])+  SUMIF(Aug_Period_1_Tbl[[#All],[STAFF:]],$A35,Aug_Period_1_Tbl[[#All],['# POINTS USED]])+  SUMIF(Sep_Period_1_Tbl[[#All],[STAFF:]],$A35,Sep_Period_1_Tbl[[#All],['# POINTS USED]])+  SUMIF(Oct_Period_1_Tbl[[#All],[STAFF:]],$A35,Oct_Period_1_Tbl[[#All],['# POINTS USED]])+     SUMIF(Nov_Period_1_Tbl[[#All],[STAFF:]],$A35,Nov_Period_1_Tbl[[#All],['# POINTS USED]])+  SUMIF(Dec_Period_1_Tbl[[#All],[STAFF:]],$A35,Dec_Period_1_Tbl[[#All],['# POINTS USED]]))+   (SUMIF(Jan_Period_2_Tbl[[#All],[STAFF:]],$A35,Jan_Period_2_Tbl[[#All],['# POINTS USED]])+
SUMIF(Feb_Period_2_Tbl[[#All],[STAFF:]],$A35,Feb_Period_2_Tbl[[#All],['# POINTS USED]])+SUMIF(Mar_Period_2_Tbl[[#All],[STAFF:]],$A35,Mar_Period_2_Tbl[[#All],['# POINTS USED]])+SUMIF(Apr_Period_2_Tbl[[#All],[STAFF:]],$A35,Apr_Period_2_Tbl[[#All],['# POINTS USED]])+   SUMIF(May_Period_2_Tbl[[#All],[STAFF:]],$A35,May_Period_2_Tbl[[#All],['# POINTS USED]])+   SUMIF(Jun_Period_2_Tbl[[#All],[STAFF:]],$A35,Jun_Period_2_Tbl[[#All],['# POINTS USED]])+  SUMIF(Jul_Period_2_Tbl[[#All],[STAFF:]],$A35,Jul_Period_2_Tbl[[#All],['# POINTS USED]])+  SUMIF(Aug_Period_2_Tbl[[#All],[STAFF:]],$A35,Aug_Period_2_Tbl[[#All],['# POINTS USED]])+  SUMIF(Sep_Period_2_Tbl[[#All],[STAFF:]],$A35,Sep_Period_2_Tbl[[#All],['# POINTS USED]])+  SUMIF(Oct_Period_2_Tbl[[#All],[STAFF:]],$A35,Oct_Period_2_Tbl[[#All],['# POINTS USED]])+     SUMIF(Nov_Period_2_Tbl[[#All],[STAFF:]],$A35,Nov_Period_2_Tbl[[#All],['# POINTS USED]])+  SUMIF(Dec_Period_2_Tbl[[#All],[STAFF:]],$A35,Dec_Period_2_Tbl[[#All],['# POINTS USED]]))</f>
        <v>0</v>
      </c>
      <c r="T35" s="153">
        <f>(SUMIF(Jan_Period_1_Tbl[[#All],[STAFF:]],$A35,Jan_Period_1_Tbl[[#All],['# CLASSES LEAD]])+
SUMIF(Feb_Period_1_Tbl[[#All],[STAFF:]],$A35,Feb_Period_1_Tbl[[#All],['# CLASSES LEAD]])+SUMIF(Mar_Period_1_Tbl[[#All],[STAFF:]],$A35,Mar_Period_1_Tbl[[#All],['# CLASSES LEAD]])+SUMIF(Apr_Period_1_Tbl[[#All],[STAFF:]],$A35,Apr_Period_1_Tbl[[#All],['# CLASSES LEAD]])+   SUMIF(May_Period_1_Tbl[[#All],[STAFF:]],$A35,May_Period_1_Tbl[[#All],['# CLASSES LEAD]])+   SUMIF(Jun_Period_1_Tbl[[#All],[STAFF:]],$A35,Jun_Period_1_Tbl[[#All],['# CLASSES LEAD]])+  SUMIF(Jul_Period_1_Tbl[[#All],[STAFF:]],$A35,Jul_Period_1_Tbl[[#All],['# CLASSES LEAD]])+  SUMIF(Aug_Period_1_Tbl[[#All],[STAFF:]],$A35,Aug_Period_1_Tbl[[#All],['# CLASSES LEAD]])+  SUMIF(Sep_Period_1_Tbl[[#All],[STAFF:]],$A35,Sep_Period_1_Tbl[[#All],['# CLASSES LEAD]])+  SUMIF(Oct_Period_1_Tbl[[#All],[STAFF:]],$A35,Oct_Period_1_Tbl[[#All],['# CLASSES LEAD]])+     SUMIF(Nov_Period_1_Tbl[[#All],[STAFF:]],$A35,Nov_Period_1_Tbl[[#All],['# CLASSES LEAD]])+  SUMIF(Dec_Period_1_Tbl[[#All],[STAFF:]],$A35,Dec_Period_1_Tbl[[#All],['# CLASSES LEAD]]))+   (SUMIF(Jan_Period_2_Tbl[[#All],[STAFF:]],$A35,Jan_Period_2_Tbl[[#All],['# CLASSES LEAD]])+
SUMIF(Feb_Period_2_Tbl[[#All],[STAFF:]],$A35,Feb_Period_2_Tbl[[#All],['# CLASSES LEAD]])+SUMIF(Mar_Period_2_Tbl[[#All],[STAFF:]],$A35,Mar_Period_2_Tbl[[#All],['# CLASSES LEAD]])+SUMIF(Apr_Period_2_Tbl[[#All],[STAFF:]],$A35,Apr_Period_2_Tbl[[#All],['# CLASSES LEAD]])+   SUMIF(May_Period_2_Tbl[[#All],[STAFF:]],$A35,May_Period_2_Tbl[[#All],['# CLASSES LEAD]])+   SUMIF(Jun_Period_2_Tbl[[#All],[STAFF:]],$A35,Jun_Period_2_Tbl[[#All],['# CLASSES LEAD]])+  SUMIF(Jul_Period_2_Tbl[[#All],[STAFF:]],$A35,Jul_Period_2_Tbl[[#All],['# CLASSES LEAD]])+  SUMIF(Aug_Period_2_Tbl[[#All],[STAFF:]],$A35,Aug_Period_2_Tbl[[#All],['# CLASSES LEAD]])+  SUMIF(Sep_Period_2_Tbl[[#All],[STAFF:]],$A35,Sep_Period_2_Tbl[[#All],['# CLASSES LEAD]])+  SUMIF(Oct_Period_2_Tbl[[#All],[STAFF:]],$A35,Oct_Period_2_Tbl[[#All],['# CLASSES LEAD]])+     SUMIF(Nov_Period_2_Tbl[[#All],[STAFF:]],$A35,Nov_Period_2_Tbl[[#All],['# CLASSES LEAD]])+  SUMIF(Dec_Period_2_Tbl[[#All],[STAFF:]],$A35,Dec_Period_2_Tbl[[#All],['# CLASSES LEAD]]))</f>
        <v>0</v>
      </c>
      <c r="U35" s="153">
        <f>(SUMIF(Jan_Period_1_Tbl[[#All],[STAFF:]],$A35,Jan_Period_1_Tbl[[#All],['# CLASSES SHOW]])+
SUMIF(Feb_Period_1_Tbl[[#All],[STAFF:]],$A35,Feb_Period_1_Tbl[[#All],['# CLASSES SHOW]])+SUMIF(Mar_Period_1_Tbl[[#All],[STAFF:]],$A35,Mar_Period_1_Tbl[[#All],['# CLASSES SHOW]])+SUMIF(Apr_Period_1_Tbl[[#All],[STAFF:]],$A35,Apr_Period_1_Tbl[[#All],['# CLASSES SHOW]])+   SUMIF(May_Period_1_Tbl[[#All],[STAFF:]],$A35,May_Period_1_Tbl[[#All],['# CLASSES SHOW]])+   SUMIF(Jun_Period_1_Tbl[[#All],[STAFF:]],$A35,Jun_Period_1_Tbl[[#All],['# CLASSES SHOW]])+  SUMIF(Jul_Period_1_Tbl[[#All],[STAFF:]],$A35,Jul_Period_1_Tbl[[#All],['# CLASSES SHOW]])+  SUMIF(Aug_Period_1_Tbl[[#All],[STAFF:]],$A35,Aug_Period_1_Tbl[[#All],['# CLASSES SHOW]])+  SUMIF(Sep_Period_1_Tbl[[#All],[STAFF:]],$A35,Sep_Period_1_Tbl[[#All],['# CLASSES SHOW]])+  SUMIF(Oct_Period_1_Tbl[[#All],[STAFF:]],$A35,Oct_Period_1_Tbl[[#All],['# CLASSES SHOW]])+     SUMIF(Nov_Period_1_Tbl[[#All],[STAFF:]],$A35,Nov_Period_1_Tbl[[#All],['# CLASSES SHOW]])+  SUMIF(Dec_Period_1_Tbl[[#All],[STAFF:]],$A35,Dec_Period_1_Tbl[[#All],['# CLASSES SHOW]]))+   (SUMIF(Jan_Period_2_Tbl[[#All],[STAFF:]],$A35,Jan_Period_2_Tbl[[#All],['# CLASSES SHOW]])+
SUMIF(Feb_Period_2_Tbl[[#All],[STAFF:]],$A35,Feb_Period_2_Tbl[[#All],['# CLASSES SHOW]])+SUMIF(Mar_Period_2_Tbl[[#All],[STAFF:]],$A35,Mar_Period_2_Tbl[[#All],['# CLASSES SHOW]])+SUMIF(Apr_Period_2_Tbl[[#All],[STAFF:]],$A35,Apr_Period_2_Tbl[[#All],['# CLASSES SHOW]])+   SUMIF(May_Period_2_Tbl[[#All],[STAFF:]],$A35,May_Period_2_Tbl[[#All],['# CLASSES SHOW]])+   SUMIF(Jun_Period_2_Tbl[[#All],[STAFF:]],$A35,Jun_Period_2_Tbl[[#All],['# CLASSES SHOW]])+  SUMIF(Jul_Period_2_Tbl[[#All],[STAFF:]],$A35,Jul_Period_2_Tbl[[#All],['# CLASSES SHOW]])+  SUMIF(Aug_Period_2_Tbl[[#All],[STAFF:]],$A35,Aug_Period_2_Tbl[[#All],['# CLASSES SHOW]])+  SUMIF(Sep_Period_2_Tbl[[#All],[STAFF:]],$A35,Sep_Period_2_Tbl[[#All],['# CLASSES SHOW]])+  SUMIF(Oct_Period_2_Tbl[[#All],[STAFF:]],$A35,Oct_Period_2_Tbl[[#All],['# CLASSES SHOW]])+     SUMIF(Nov_Period_2_Tbl[[#All],[STAFF:]],$A35,Nov_Period_2_Tbl[[#All],['# CLASSES SHOW]])+  SUMIF(Dec_Period_2_Tbl[[#All],[STAFF:]],$A35,Dec_Period_2_Tbl[[#All],['# CLASSES SHOW]]))</f>
        <v>0</v>
      </c>
      <c r="V35" s="156"/>
      <c r="W35" s="156"/>
      <c r="X35" s="155">
        <f t="shared" si="1"/>
        <v>0</v>
      </c>
      <c r="Y35" s="155">
        <f t="shared" si="2"/>
        <v>0</v>
      </c>
      <c r="Z35" s="155">
        <f t="shared" si="3"/>
        <v>0</v>
      </c>
      <c r="AA35" s="155">
        <f t="shared" si="4"/>
        <v>0</v>
      </c>
      <c r="AB35" s="155">
        <f t="shared" si="5"/>
        <v>0</v>
      </c>
      <c r="AC35" s="155">
        <f t="shared" si="6"/>
        <v>0</v>
      </c>
      <c r="AD35" s="155">
        <f t="shared" si="7"/>
        <v>0</v>
      </c>
      <c r="AE35" s="149"/>
      <c r="AF35" s="149"/>
      <c r="AG35" s="149"/>
      <c r="AH35" s="149"/>
      <c r="AJ35" s="75" t="str">
        <f t="shared" si="8"/>
        <v>zBlank</v>
      </c>
      <c r="AK35" s="210"/>
      <c r="AL35" s="168">
        <f>IFERROR(VLOOKUP(B35,List!$A:$B,2,FALSE),-1)</f>
        <v>-1</v>
      </c>
      <c r="AM35" s="168">
        <f>IFERROR(VLOOKUP(C35,List!$A:$B,2,FALSE),-1)</f>
        <v>-1</v>
      </c>
    </row>
    <row r="36" spans="1:39" ht="15" hidden="1" customHeight="1" x14ac:dyDescent="0.25">
      <c r="A36" s="20"/>
      <c r="B36" s="186"/>
      <c r="C36" s="186"/>
      <c r="D36" s="187"/>
      <c r="E36" s="188">
        <f>(SUMIF(Jan_Period_1_Tbl[[#All],[STAFF:]],$A36,Jan_Period_1_Tbl[[#All],['# PTO USED]])+
SUMIF(Feb_Period_1_Tbl[[#All],[STAFF:]],$A36,Feb_Period_1_Tbl[[#All],['# PTO USED]])+SUMIF(Mar_Period_1_Tbl[[#All],[STAFF:]],$A36,Mar_Period_1_Tbl[[#All],['# PTO USED]])+SUMIF(Apr_Period_1_Tbl[[#All],[STAFF:]],$A36,Apr_Period_1_Tbl[[#All],['# PTO USED]])+   SUMIF(May_Period_1_Tbl[[#All],[STAFF:]],$A36,May_Period_1_Tbl[[#All],['# PTO USED]])+   SUMIF(Jun_Period_1_Tbl[[#All],[STAFF:]],$A36,Jun_Period_1_Tbl[[#All],['# PTO USED]])+  SUMIF(Jul_Period_1_Tbl[[#All],[STAFF:]],$A36,Jul_Period_1_Tbl[[#All],['# PTO USED]])+  SUMIF(Aug_Period_1_Tbl[[#All],[STAFF:]],$A36,Aug_Period_1_Tbl[[#All],['# PTO USED]])+  SUMIF(Sep_Period_1_Tbl[[#All],[STAFF:]],$A36,Sep_Period_1_Tbl[[#All],['# PTO USED]])+  SUMIF(Oct_Period_1_Tbl[[#All],[STAFF:]],$A36,Oct_Period_1_Tbl[[#All],['# PTO USED]])+     SUMIF(Nov_Period_1_Tbl[[#All],[STAFF:]],$A36,Nov_Period_1_Tbl[[#All],['# PTO USED]])+  SUMIF(Dec_Period_1_Tbl[[#All],[STAFF:]],$A36,Dec_Period_1_Tbl[[#All],['# PTO USED]]))+   (SUMIF(Jan_Period_2_Tbl[[#All],[STAFF:]],$A36,Jan_Period_2_Tbl[[#All],['# PTO USED]])+
SUMIF(Feb_Period_2_Tbl[[#All],[STAFF:]],$A36,Feb_Period_2_Tbl[[#All],['# PTO USED]])+SUMIF(Mar_Period_2_Tbl[[#All],[STAFF:]],$A36,Mar_Period_2_Tbl[[#All],['# PTO USED]])+SUMIF(Apr_Period_2_Tbl[[#All],[STAFF:]],$A36,Apr_Period_2_Tbl[[#All],['# PTO USED]])+   SUMIF(May_Period_2_Tbl[[#All],[STAFF:]],$A36,May_Period_2_Tbl[[#All],['# PTO USED]])+   SUMIF(Jun_Period_2_Tbl[[#All],[STAFF:]],$A36,Jun_Period_2_Tbl[[#All],['# PTO USED]])+  SUMIF(Jul_Period_2_Tbl[[#All],[STAFF:]],$A36,Jul_Period_2_Tbl[[#All],['# PTO USED]])+  SUMIF(Aug_Period_2_Tbl[[#All],[STAFF:]],$A36,Aug_Period_2_Tbl[[#All],['# PTO USED]])+  SUMIF(Sep_Period_2_Tbl[[#All],[STAFF:]],$A36,Sep_Period_2_Tbl[[#All],['# PTO USED]])+  SUMIF(Oct_Period_2_Tbl[[#All],[STAFF:]],$A36,Oct_Period_2_Tbl[[#All],['# PTO USED]])+     SUMIF(Nov_Period_2_Tbl[[#All],[STAFF:]],$A36,Nov_Period_2_Tbl[[#All],['# PTO USED]])+  SUMIF(Dec_Period_2_Tbl[[#All],[STAFF:]],$A36,Dec_Period_2_Tbl[[#All],['# PTO USED]]))</f>
        <v>0</v>
      </c>
      <c r="F36" s="189">
        <f>(SUMIF(Jan_Period_1_Tbl[[#All],[STAFF:]],$A36,Jan_Period_1_Tbl[[#All],['# HRS WORKED]])+
SUMIF(Feb_Period_1_Tbl[[#All],[STAFF:]],$A36,Feb_Period_1_Tbl[[#All],['# HRS WORKED]])+SUMIF(Mar_Period_1_Tbl[[#All],[STAFF:]],$A36,Mar_Period_1_Tbl[[#All],['# HRS WORKED]])+SUMIF(Apr_Period_1_Tbl[[#All],[STAFF:]],$A36,Apr_Period_1_Tbl[[#All],['# HRS WORKED]])+   SUMIF(May_Period_1_Tbl[[#All],[STAFF:]],$A36,May_Period_1_Tbl[[#All],['# HRS WORKED]])+   SUMIF(Jun_Period_1_Tbl[[#All],[STAFF:]],$A36,Jun_Period_1_Tbl[[#All],['# HRS WORKED]])+  SUMIF(Jul_Period_1_Tbl[[#All],[STAFF:]],$A36,Jul_Period_1_Tbl[[#All],['# HRS WORKED]])+  SUMIF(Aug_Period_1_Tbl[[#All],[STAFF:]],$A36,Aug_Period_1_Tbl[[#All],['# HRS WORKED]])+  SUMIF(Sep_Period_1_Tbl[[#All],[STAFF:]],$A36,Sep_Period_1_Tbl[[#All],['# HRS WORKED]])+  SUMIF(Oct_Period_1_Tbl[[#All],[STAFF:]],$A36,Oct_Period_1_Tbl[[#All],['# HRS WORKED]])+     SUMIF(Nov_Period_1_Tbl[[#All],[STAFF:]],$A36,Nov_Period_1_Tbl[[#All],['# HRS WORKED]])+  SUMIF(Dec_Period_1_Tbl[[#All],[STAFF:]],$A36,Dec_Period_1_Tbl[[#All],['# HRS WORKED]]))+   (SUMIF(Jan_Period_2_Tbl[[#All],[STAFF:]],$A36,Jan_Period_2_Tbl[[#All],['# HRS WORKED]])+
SUMIF(Feb_Period_2_Tbl[[#All],[STAFF:]],$A36,Feb_Period_2_Tbl[[#All],['# HRS WORKED]])+SUMIF(Mar_Period_2_Tbl[[#All],[STAFF:]],$A36,Mar_Period_2_Tbl[[#All],['# HRS WORKED]])+SUMIF(Apr_Period_2_Tbl[[#All],[STAFF:]],$A36,Apr_Period_2_Tbl[[#All],['# HRS WORKED]])+   SUMIF(May_Period_2_Tbl[[#All],[STAFF:]],$A36,May_Period_2_Tbl[[#All],['# HRS WORKED]])+   SUMIF(Jun_Period_2_Tbl[[#All],[STAFF:]],$A36,Jun_Period_2_Tbl[[#All],['# HRS WORKED]])+  SUMIF(Jul_Period_2_Tbl[[#All],[STAFF:]],$A36,Jul_Period_2_Tbl[[#All],['# HRS WORKED]])+  SUMIF(Aug_Period_2_Tbl[[#All],[STAFF:]],$A36,Aug_Period_2_Tbl[[#All],['# HRS WORKED]])+  SUMIF(Sep_Period_2_Tbl[[#All],[STAFF:]],$A36,Sep_Period_2_Tbl[[#All],['# HRS WORKED]])+  SUMIF(Oct_Period_2_Tbl[[#All],[STAFF:]],$A36,Oct_Period_2_Tbl[[#All],['# HRS WORKED]])+     SUMIF(Nov_Period_2_Tbl[[#All],[STAFF:]],$A36,Nov_Period_2_Tbl[[#All],['# HRS WORKED]])+  SUMIF(Dec_Period_2_Tbl[[#All],[STAFF:]],$A36,Dec_Period_2_Tbl[[#All],['# HRS WORKED]]))</f>
        <v>0</v>
      </c>
      <c r="G36" s="190">
        <f>(SUMIF(Jan_Period_1_Tbl[[#All],[STAFF:]],$A36,Jan_Period_1_Tbl[[#All],[$ Hourly WAGES]])+
SUMIF(Feb_Period_1_Tbl[[#All],[STAFF:]],$A36,Feb_Period_1_Tbl[[#All],[$ Hourly WAGES]])+SUMIF(Mar_Period_1_Tbl[[#All],[STAFF:]],$A36,Mar_Period_1_Tbl[[#All],[$ Hourly WAGES]])+SUMIF(Apr_Period_1_Tbl[[#All],[STAFF:]],$A36,Apr_Period_1_Tbl[[#All],[$ Hourly WAGES]])+   SUMIF(May_Period_1_Tbl[[#All],[STAFF:]],$A36,May_Period_1_Tbl[[#All],[$ Hourly WAGES]])+   SUMIF(Jun_Period_1_Tbl[[#All],[STAFF:]],$A36,Jun_Period_1_Tbl[[#All],[$ Hourly WAGES]])+  SUMIF(Jul_Period_1_Tbl[[#All],[STAFF:]],$A36,Jul_Period_1_Tbl[[#All],[$ Hourly WAGES]])+  SUMIF(Aug_Period_1_Tbl[[#All],[STAFF:]],$A36,Aug_Period_1_Tbl[[#All],[$ Hourly WAGES]])+  SUMIF(Sep_Period_1_Tbl[[#All],[STAFF:]],$A36,Sep_Period_1_Tbl[[#All],[$ Hourly WAGES]])+  SUMIF(Oct_Period_1_Tbl[[#All],[STAFF:]],$A36,Oct_Period_1_Tbl[[#All],[$ Hourly WAGES]])+     SUMIF(Nov_Period_1_Tbl[[#All],[STAFF:]],$A36,Nov_Period_1_Tbl[[#All],[$ Hourly WAGES]])+  SUMIF(Dec_Period_1_Tbl[[#All],[STAFF:]],$A36,Dec_Period_1_Tbl[[#All],[$ Hourly WAGES]]))+   (SUMIF(Jan_Period_2_Tbl[[#All],[STAFF:]],$A36,Jan_Period_2_Tbl[[#All],[$ Hourly WAGES]])+
SUMIF(Feb_Period_2_Tbl[[#All],[STAFF:]],$A36,Feb_Period_2_Tbl[[#All],[$ Hourly WAGES]])+SUMIF(Mar_Period_2_Tbl[[#All],[STAFF:]],$A36,Mar_Period_2_Tbl[[#All],[$ Hourly WAGES]])+SUMIF(Apr_Period_2_Tbl[[#All],[STAFF:]],$A36,Apr_Period_2_Tbl[[#All],[$ Hourly WAGES]])+   SUMIF(May_Period_2_Tbl[[#All],[STAFF:]],$A36,May_Period_2_Tbl[[#All],[$ Hourly WAGES]])+   SUMIF(Jun_Period_2_Tbl[[#All],[STAFF:]],$A36,Jun_Period_2_Tbl[[#All],[$ Hourly WAGES]])+  SUMIF(Jul_Period_2_Tbl[[#All],[STAFF:]],$A36,Jul_Period_2_Tbl[[#All],[$ Hourly WAGES]])+  SUMIF(Aug_Period_2_Tbl[[#All],[STAFF:]],$A36,Aug_Period_2_Tbl[[#All],[$ Hourly WAGES]])+  SUMIF(Sep_Period_2_Tbl[[#All],[STAFF:]],$A36,Sep_Period_2_Tbl[[#All],[$ Hourly WAGES]])+  SUMIF(Oct_Period_2_Tbl[[#All],[STAFF:]],$A36,Oct_Period_2_Tbl[[#All],[$ Hourly WAGES]])+     SUMIF(Nov_Period_2_Tbl[[#All],[STAFF:]],$A36,Nov_Period_2_Tbl[[#All],[$ Hourly WAGES]])+  SUMIF(Dec_Period_2_Tbl[[#All],[STAFF:]],$A36,Dec_Period_2_Tbl[[#All],[$ Hourly WAGES]]))</f>
        <v>0</v>
      </c>
      <c r="H36" s="190">
        <f>(SUMIF(Jan_Period_1_Tbl[[#All],[STAFF:]],$A36,Jan_Period_1_Tbl[[#All],[$ SALARY]])+
SUMIF(Feb_Period_1_Tbl[[#All],[STAFF:]],$A36,Feb_Period_1_Tbl[[#All],[$ SALARY]])+SUMIF(Mar_Period_1_Tbl[[#All],[STAFF:]],$A36,Mar_Period_1_Tbl[[#All],[$ SALARY]])+SUMIF(Apr_Period_1_Tbl[[#All],[STAFF:]],$A36,Apr_Period_1_Tbl[[#All],[$ SALARY]])+   SUMIF(May_Period_1_Tbl[[#All],[STAFF:]],$A36,May_Period_1_Tbl[[#All],[$ SALARY]])+   SUMIF(Jun_Period_1_Tbl[[#All],[STAFF:]],$A36,Jun_Period_1_Tbl[[#All],[$ SALARY]])+  SUMIF(Jul_Period_1_Tbl[[#All],[STAFF:]],$A36,Jul_Period_1_Tbl[[#All],[$ SALARY]])+  SUMIF(Aug_Period_1_Tbl[[#All],[STAFF:]],$A36,Aug_Period_1_Tbl[[#All],[$ SALARY]])+  SUMIF(Sep_Period_1_Tbl[[#All],[STAFF:]],$A36,Sep_Period_1_Tbl[[#All],[$ SALARY]])+  SUMIF(Oct_Period_1_Tbl[[#All],[STAFF:]],$A36,Oct_Period_1_Tbl[[#All],[$ SALARY]])+     SUMIF(Nov_Period_1_Tbl[[#All],[STAFF:]],$A36,Nov_Period_1_Tbl[[#All],[$ SALARY]])+  SUMIF(Dec_Period_1_Tbl[[#All],[STAFF:]],$A36,Dec_Period_1_Tbl[[#All],[$ SALARY]]))+   (SUMIF(Jan_Period_2_Tbl[[#All],[STAFF:]],$A36,Jan_Period_2_Tbl[[#All],[$ SALARY]])+
SUMIF(Feb_Period_2_Tbl[[#All],[STAFF:]],$A36,Feb_Period_2_Tbl[[#All],[$ SALARY]])+SUMIF(Mar_Period_2_Tbl[[#All],[STAFF:]],$A36,Mar_Period_2_Tbl[[#All],[$ SALARY]])+SUMIF(Apr_Period_2_Tbl[[#All],[STAFF:]],$A36,Apr_Period_2_Tbl[[#All],[$ SALARY]])+   SUMIF(May_Period_2_Tbl[[#All],[STAFF:]],$A36,May_Period_2_Tbl[[#All],[$ SALARY]])+   SUMIF(Jun_Period_2_Tbl[[#All],[STAFF:]],$A36,Jun_Period_2_Tbl[[#All],[$ SALARY]])+  SUMIF(Jul_Period_2_Tbl[[#All],[STAFF:]],$A36,Jul_Period_2_Tbl[[#All],[$ SALARY]])+  SUMIF(Aug_Period_2_Tbl[[#All],[STAFF:]],$A36,Aug_Period_2_Tbl[[#All],[$ SALARY]])+  SUMIF(Sep_Period_2_Tbl[[#All],[STAFF:]],$A36,Sep_Period_2_Tbl[[#All],[$ SALARY]])+  SUMIF(Oct_Period_2_Tbl[[#All],[STAFF:]],$A36,Oct_Period_2_Tbl[[#All],[$ SALARY]])+     SUMIF(Nov_Period_2_Tbl[[#All],[STAFF:]],$A36,Nov_Period_2_Tbl[[#All],[$ SALARY]])+  SUMIF(Dec_Period_2_Tbl[[#All],[STAFF:]],$A36,Dec_Period_2_Tbl[[#All],[$ SALARY]]))</f>
        <v>0</v>
      </c>
      <c r="I36" s="190">
        <f>(SUMIF(Jan_Period_1_Tbl[[#All],[STAFF:]],$A36,Jan_Period_1_Tbl[[#All],[$ SALARY PT]])+
SUMIF(Feb_Period_1_Tbl[[#All],[STAFF:]],$A36,Feb_Period_1_Tbl[[#All],[$ SALARY PT]])+SUMIF(Mar_Period_1_Tbl[[#All],[STAFF:]],$A36,Mar_Period_1_Tbl[[#All],[$ SALARY PT]])+SUMIF(Apr_Period_1_Tbl[[#All],[STAFF:]],$A36,Apr_Period_1_Tbl[[#All],[$ SALARY PT]])+   SUMIF(May_Period_1_Tbl[[#All],[STAFF:]],$A36,May_Period_1_Tbl[[#All],[$ SALARY PT]])+   SUMIF(Jun_Period_1_Tbl[[#All],[STAFF:]],$A36,Jun_Period_1_Tbl[[#All],[$ SALARY PT]])+  SUMIF(Jul_Period_1_Tbl[[#All],[STAFF:]],$A36,Jul_Period_1_Tbl[[#All],[$ SALARY PT]])+  SUMIF(Aug_Period_1_Tbl[[#All],[STAFF:]],$A36,Aug_Period_1_Tbl[[#All],[$ SALARY PT]])+  SUMIF(Sep_Period_1_Tbl[[#All],[STAFF:]],$A36,Sep_Period_1_Tbl[[#All],[$ SALARY PT]])+  SUMIF(Oct_Period_1_Tbl[[#All],[STAFF:]],$A36,Oct_Period_1_Tbl[[#All],[$ SALARY PT]])+     SUMIF(Nov_Period_1_Tbl[[#All],[STAFF:]],$A36,Nov_Period_1_Tbl[[#All],[$ SALARY PT]])+  SUMIF(Dec_Period_1_Tbl[[#All],[STAFF:]],$A36,Dec_Period_1_Tbl[[#All],[$ SALARY PT]]))+   (SUMIF(Jan_Period_2_Tbl[[#All],[STAFF:]],$A36,Jan_Period_2_Tbl[[#All],[$ SALARY PT]])+
SUMIF(Feb_Period_2_Tbl[[#All],[STAFF:]],$A36,Feb_Period_2_Tbl[[#All],[$ SALARY PT]])+SUMIF(Mar_Period_2_Tbl[[#All],[STAFF:]],$A36,Mar_Period_2_Tbl[[#All],[$ SALARY PT]])+SUMIF(Apr_Period_2_Tbl[[#All],[STAFF:]],$A36,Apr_Period_2_Tbl[[#All],[$ SALARY PT]])+   SUMIF(May_Period_2_Tbl[[#All],[STAFF:]],$A36,May_Period_2_Tbl[[#All],[$ SALARY PT]])+   SUMIF(Jun_Period_2_Tbl[[#All],[STAFF:]],$A36,Jun_Period_2_Tbl[[#All],[$ SALARY PT]])+  SUMIF(Jul_Period_2_Tbl[[#All],[STAFF:]],$A36,Jul_Period_2_Tbl[[#All],[$ SALARY PT]])+  SUMIF(Aug_Period_2_Tbl[[#All],[STAFF:]],$A36,Aug_Period_2_Tbl[[#All],[$ SALARY PT]])+  SUMIF(Sep_Period_2_Tbl[[#All],[STAFF:]],$A36,Sep_Period_2_Tbl[[#All],[$ SALARY PT]])+  SUMIF(Oct_Period_2_Tbl[[#All],[STAFF:]],$A36,Oct_Period_2_Tbl[[#All],[$ SALARY PT]])+     SUMIF(Nov_Period_2_Tbl[[#All],[STAFF:]],$A36,Nov_Period_2_Tbl[[#All],[$ SALARY PT]])+  SUMIF(Dec_Period_2_Tbl[[#All],[STAFF:]],$A36,Dec_Period_2_Tbl[[#All],[$ SALARY PT]]))</f>
        <v>0</v>
      </c>
      <c r="J36" s="190">
        <f>(SUMIF(Jan_Period_1_Tbl[[#All],[STAFF:]],$A36,Jan_Period_1_Tbl[[#All],[$ FREE PT]])+
SUMIF(Feb_Period_1_Tbl[[#All],[STAFF:]],$A36,Feb_Period_1_Tbl[[#All],[$ FREE PT]])+SUMIF(Mar_Period_1_Tbl[[#All],[STAFF:]],$A36,Mar_Period_1_Tbl[[#All],[$ FREE PT]])+SUMIF(Apr_Period_1_Tbl[[#All],[STAFF:]],$A36,Apr_Period_1_Tbl[[#All],[$ FREE PT]])+   SUMIF(May_Period_1_Tbl[[#All],[STAFF:]],$A36,May_Period_1_Tbl[[#All],[$ FREE PT]])+   SUMIF(Jun_Period_1_Tbl[[#All],[STAFF:]],$A36,Jun_Period_1_Tbl[[#All],[$ FREE PT]])+  SUMIF(Jul_Period_1_Tbl[[#All],[STAFF:]],$A36,Jul_Period_1_Tbl[[#All],[$ FREE PT]])+  SUMIF(Aug_Period_1_Tbl[[#All],[STAFF:]],$A36,Aug_Period_1_Tbl[[#All],[$ FREE PT]])+  SUMIF(Sep_Period_1_Tbl[[#All],[STAFF:]],$A36,Sep_Period_1_Tbl[[#All],[$ FREE PT]])+  SUMIF(Oct_Period_1_Tbl[[#All],[STAFF:]],$A36,Oct_Period_1_Tbl[[#All],[$ FREE PT]])+     SUMIF(Nov_Period_1_Tbl[[#All],[STAFF:]],$A36,Nov_Period_1_Tbl[[#All],[$ FREE PT]])+  SUMIF(Dec_Period_1_Tbl[[#All],[STAFF:]],$A36,Dec_Period_1_Tbl[[#All],[$ FREE PT]]))+   (SUMIF(Jan_Period_2_Tbl[[#All],[STAFF:]],$A36,Jan_Period_2_Tbl[[#All],[$ FREE PT]])+
SUMIF(Feb_Period_2_Tbl[[#All],[STAFF:]],$A36,Feb_Period_2_Tbl[[#All],[$ FREE PT]])+SUMIF(Mar_Period_2_Tbl[[#All],[STAFF:]],$A36,Mar_Period_2_Tbl[[#All],[$ FREE PT]])+SUMIF(Apr_Period_2_Tbl[[#All],[STAFF:]],$A36,Apr_Period_2_Tbl[[#All],[$ FREE PT]])+   SUMIF(May_Period_2_Tbl[[#All],[STAFF:]],$A36,May_Period_2_Tbl[[#All],[$ FREE PT]])+   SUMIF(Jun_Period_2_Tbl[[#All],[STAFF:]],$A36,Jun_Period_2_Tbl[[#All],[$ FREE PT]])+  SUMIF(Jul_Period_2_Tbl[[#All],[STAFF:]],$A36,Jul_Period_2_Tbl[[#All],[$ FREE PT]])+  SUMIF(Aug_Period_2_Tbl[[#All],[STAFF:]],$A36,Aug_Period_2_Tbl[[#All],[$ FREE PT]])+  SUMIF(Sep_Period_2_Tbl[[#All],[STAFF:]],$A36,Sep_Period_2_Tbl[[#All],[$ FREE PT]])+  SUMIF(Oct_Period_2_Tbl[[#All],[STAFF:]],$A36,Oct_Period_2_Tbl[[#All],[$ FREE PT]])+     SUMIF(Nov_Period_2_Tbl[[#All],[STAFF:]],$A36,Nov_Period_2_Tbl[[#All],[$ FREE PT]])+  SUMIF(Dec_Period_2_Tbl[[#All],[STAFF:]],$A36,Dec_Period_2_Tbl[[#All],[$ FREE PT]]))</f>
        <v>0</v>
      </c>
      <c r="K36" s="190">
        <f>(SUMIF(Jan_Period_1_Tbl[[#All],[STAFF:]],$A36,Jan_Period_1_Tbl[[#All],[$ PAID PT]])+
SUMIF(Feb_Period_1_Tbl[[#All],[STAFF:]],$A36,Feb_Period_1_Tbl[[#All],[$ PAID PT]])+SUMIF(Mar_Period_1_Tbl[[#All],[STAFF:]],$A36,Mar_Period_1_Tbl[[#All],[$ PAID PT]])+SUMIF(Apr_Period_1_Tbl[[#All],[STAFF:]],$A36,Apr_Period_1_Tbl[[#All],[$ PAID PT]])+   SUMIF(May_Period_1_Tbl[[#All],[STAFF:]],$A36,May_Period_1_Tbl[[#All],[$ PAID PT]])+   SUMIF(Jun_Period_1_Tbl[[#All],[STAFF:]],$A36,Jun_Period_1_Tbl[[#All],[$ PAID PT]])+  SUMIF(Jul_Period_1_Tbl[[#All],[STAFF:]],$A36,Jul_Period_1_Tbl[[#All],[$ PAID PT]])+  SUMIF(Aug_Period_1_Tbl[[#All],[STAFF:]],$A36,Aug_Period_1_Tbl[[#All],[$ PAID PT]])+  SUMIF(Sep_Period_1_Tbl[[#All],[STAFF:]],$A36,Sep_Period_1_Tbl[[#All],[$ PAID PT]])+  SUMIF(Oct_Period_1_Tbl[[#All],[STAFF:]],$A36,Oct_Period_1_Tbl[[#All],[$ PAID PT]])+     SUMIF(Nov_Period_1_Tbl[[#All],[STAFF:]],$A36,Nov_Period_1_Tbl[[#All],[$ PAID PT]])+  SUMIF(Dec_Period_1_Tbl[[#All],[STAFF:]],$A36,Dec_Period_1_Tbl[[#All],[$ PAID PT]]))+   (SUMIF(Jan_Period_2_Tbl[[#All],[STAFF:]],$A36,Jan_Period_2_Tbl[[#All],[$ PAID PT]])+
SUMIF(Feb_Period_2_Tbl[[#All],[STAFF:]],$A36,Feb_Period_2_Tbl[[#All],[$ PAID PT]])+SUMIF(Mar_Period_2_Tbl[[#All],[STAFF:]],$A36,Mar_Period_2_Tbl[[#All],[$ PAID PT]])+SUMIF(Apr_Period_2_Tbl[[#All],[STAFF:]],$A36,Apr_Period_2_Tbl[[#All],[$ PAID PT]])+   SUMIF(May_Period_2_Tbl[[#All],[STAFF:]],$A36,May_Period_2_Tbl[[#All],[$ PAID PT]])+   SUMIF(Jun_Period_2_Tbl[[#All],[STAFF:]],$A36,Jun_Period_2_Tbl[[#All],[$ PAID PT]])+  SUMIF(Jul_Period_2_Tbl[[#All],[STAFF:]],$A36,Jul_Period_2_Tbl[[#All],[$ PAID PT]])+  SUMIF(Aug_Period_2_Tbl[[#All],[STAFF:]],$A36,Aug_Period_2_Tbl[[#All],[$ PAID PT]])+  SUMIF(Sep_Period_2_Tbl[[#All],[STAFF:]],$A36,Sep_Period_2_Tbl[[#All],[$ PAID PT]])+  SUMIF(Oct_Period_2_Tbl[[#All],[STAFF:]],$A36,Oct_Period_2_Tbl[[#All],[$ PAID PT]])+     SUMIF(Nov_Period_2_Tbl[[#All],[STAFF:]],$A36,Nov_Period_2_Tbl[[#All],[$ PAID PT]])+  SUMIF(Dec_Period_2_Tbl[[#All],[STAFF:]],$A36,Dec_Period_2_Tbl[[#All],[$ PAID PT]]))</f>
        <v>0</v>
      </c>
      <c r="L36" s="190">
        <f>(SUMIF(Jan_Period_1_Tbl[[#All],[STAFF:]],$A36,Jan_Period_1_Tbl[[#All],[$ PT COMM]])+
SUMIF(Feb_Period_1_Tbl[[#All],[STAFF:]],$A36,Feb_Period_1_Tbl[[#All],[$ PT COMM]])+SUMIF(Mar_Period_1_Tbl[[#All],[STAFF:]],$A36,Mar_Period_1_Tbl[[#All],[$ PT COMM]])+SUMIF(Apr_Period_1_Tbl[[#All],[STAFF:]],$A36,Apr_Period_1_Tbl[[#All],[$ PT COMM]])+   SUMIF(May_Period_1_Tbl[[#All],[STAFF:]],$A36,May_Period_1_Tbl[[#All],[$ PT COMM]])+   SUMIF(Jun_Period_1_Tbl[[#All],[STAFF:]],$A36,Jun_Period_1_Tbl[[#All],[$ PT COMM]])+  SUMIF(Jul_Period_1_Tbl[[#All],[STAFF:]],$A36,Jul_Period_1_Tbl[[#All],[$ PT COMM]])+  SUMIF(Aug_Period_1_Tbl[[#All],[STAFF:]],$A36,Aug_Period_1_Tbl[[#All],[$ PT COMM]])+  SUMIF(Sep_Period_1_Tbl[[#All],[STAFF:]],$A36,Sep_Period_1_Tbl[[#All],[$ PT COMM]])+  SUMIF(Oct_Period_1_Tbl[[#All],[STAFF:]],$A36,Oct_Period_1_Tbl[[#All],[$ PT COMM]])+     SUMIF(Nov_Period_1_Tbl[[#All],[STAFF:]],$A36,Nov_Period_1_Tbl[[#All],[$ PT COMM]])+  SUMIF(Dec_Period_1_Tbl[[#All],[STAFF:]],$A36,Dec_Period_1_Tbl[[#All],[$ PT COMM]]))+   (SUMIF(Jan_Period_2_Tbl[[#All],[STAFF:]],$A36,Jan_Period_2_Tbl[[#All],[$ PT COMM]])+
SUMIF(Feb_Period_2_Tbl[[#All],[STAFF:]],$A36,Feb_Period_2_Tbl[[#All],[$ PT COMM]])+SUMIF(Mar_Period_2_Tbl[[#All],[STAFF:]],$A36,Mar_Period_2_Tbl[[#All],[$ PT COMM]])+SUMIF(Apr_Period_2_Tbl[[#All],[STAFF:]],$A36,Apr_Period_2_Tbl[[#All],[$ PT COMM]])+   SUMIF(May_Period_2_Tbl[[#All],[STAFF:]],$A36,May_Period_2_Tbl[[#All],[$ PT COMM]])+   SUMIF(Jun_Period_2_Tbl[[#All],[STAFF:]],$A36,Jun_Period_2_Tbl[[#All],[$ PT COMM]])+  SUMIF(Jul_Period_2_Tbl[[#All],[STAFF:]],$A36,Jul_Period_2_Tbl[[#All],[$ PT COMM]])+  SUMIF(Aug_Period_2_Tbl[[#All],[STAFF:]],$A36,Aug_Period_2_Tbl[[#All],[$ PT COMM]])+  SUMIF(Sep_Period_2_Tbl[[#All],[STAFF:]],$A36,Sep_Period_2_Tbl[[#All],[$ PT COMM]])+  SUMIF(Oct_Period_2_Tbl[[#All],[STAFF:]],$A36,Oct_Period_2_Tbl[[#All],[$ PT COMM]])+     SUMIF(Nov_Period_2_Tbl[[#All],[STAFF:]],$A36,Nov_Period_2_Tbl[[#All],[$ PT COMM]])+  SUMIF(Dec_Period_2_Tbl[[#All],[STAFF:]],$A36,Dec_Period_2_Tbl[[#All],[$ PT COMM]]))</f>
        <v>0</v>
      </c>
      <c r="M36" s="190">
        <f>(SUMIF(Jan_Period_1_Tbl[[#All],[STAFF:]],$A36,Jan_Period_1_Tbl[[#All],[$ EFT COMM]])+
SUMIF(Feb_Period_1_Tbl[[#All],[STAFF:]],$A36,Feb_Period_1_Tbl[[#All],[$ EFT COMM]])+SUMIF(Mar_Period_1_Tbl[[#All],[STAFF:]],$A36,Mar_Period_1_Tbl[[#All],[$ EFT COMM]])+SUMIF(Apr_Period_1_Tbl[[#All],[STAFF:]],$A36,Apr_Period_1_Tbl[[#All],[$ EFT COMM]])+   SUMIF(May_Period_1_Tbl[[#All],[STAFF:]],$A36,May_Period_1_Tbl[[#All],[$ EFT COMM]])+   SUMIF(Jun_Period_1_Tbl[[#All],[STAFF:]],$A36,Jun_Period_1_Tbl[[#All],[$ EFT COMM]])+  SUMIF(Jul_Period_1_Tbl[[#All],[STAFF:]],$A36,Jul_Period_1_Tbl[[#All],[$ EFT COMM]])+  SUMIF(Aug_Period_1_Tbl[[#All],[STAFF:]],$A36,Aug_Period_1_Tbl[[#All],[$ EFT COMM]])+  SUMIF(Sep_Period_1_Tbl[[#All],[STAFF:]],$A36,Sep_Period_1_Tbl[[#All],[$ EFT COMM]])+  SUMIF(Oct_Period_1_Tbl[[#All],[STAFF:]],$A36,Oct_Period_1_Tbl[[#All],[$ EFT COMM]])+     SUMIF(Nov_Period_1_Tbl[[#All],[STAFF:]],$A36,Nov_Period_1_Tbl[[#All],[$ EFT COMM]])+  SUMIF(Dec_Period_1_Tbl[[#All],[STAFF:]],$A36,Dec_Period_1_Tbl[[#All],[$ EFT COMM]]))+   (SUMIF(Jan_Period_2_Tbl[[#All],[STAFF:]],$A36,Jan_Period_2_Tbl[[#All],[$ EFT COMM]])+
SUMIF(Feb_Period_2_Tbl[[#All],[STAFF:]],$A36,Feb_Period_2_Tbl[[#All],[$ EFT COMM]])+SUMIF(Mar_Period_2_Tbl[[#All],[STAFF:]],$A36,Mar_Period_2_Tbl[[#All],[$ EFT COMM]])+SUMIF(Apr_Period_2_Tbl[[#All],[STAFF:]],$A36,Apr_Period_2_Tbl[[#All],[$ EFT COMM]])+   SUMIF(May_Period_2_Tbl[[#All],[STAFF:]],$A36,May_Period_2_Tbl[[#All],[$ EFT COMM]])+   SUMIF(Jun_Period_2_Tbl[[#All],[STAFF:]],$A36,Jun_Period_2_Tbl[[#All],[$ EFT COMM]])+  SUMIF(Jul_Period_2_Tbl[[#All],[STAFF:]],$A36,Jul_Period_2_Tbl[[#All],[$ EFT COMM]])+  SUMIF(Aug_Period_2_Tbl[[#All],[STAFF:]],$A36,Aug_Period_2_Tbl[[#All],[$ EFT COMM]])+  SUMIF(Sep_Period_2_Tbl[[#All],[STAFF:]],$A36,Sep_Period_2_Tbl[[#All],[$ EFT COMM]])+  SUMIF(Oct_Period_2_Tbl[[#All],[STAFF:]],$A36,Oct_Period_2_Tbl[[#All],[$ EFT COMM]])+     SUMIF(Nov_Period_2_Tbl[[#All],[STAFF:]],$A36,Nov_Period_2_Tbl[[#All],[$ EFT COMM]])+  SUMIF(Dec_Period_2_Tbl[[#All],[STAFF:]],$A36,Dec_Period_2_Tbl[[#All],[$ EFT COMM]]))</f>
        <v>0</v>
      </c>
      <c r="N36" s="190">
        <f>(SUMIF(Jan_Period_1_Tbl[[#All],[STAFF:]],$A36,Jan_Period_1_Tbl[[#All],[$ CLASS PAY]])+
SUMIF(Feb_Period_1_Tbl[[#All],[STAFF:]],$A36,Feb_Period_1_Tbl[[#All],[$ CLASS PAY]])+SUMIF(Mar_Period_1_Tbl[[#All],[STAFF:]],$A36,Mar_Period_1_Tbl[[#All],[$ CLASS PAY]])+SUMIF(Apr_Period_1_Tbl[[#All],[STAFF:]],$A36,Apr_Period_1_Tbl[[#All],[$ CLASS PAY]])+   SUMIF(May_Period_1_Tbl[[#All],[STAFF:]],$A36,May_Period_1_Tbl[[#All],[$ CLASS PAY]])+   SUMIF(Jun_Period_1_Tbl[[#All],[STAFF:]],$A36,Jun_Period_1_Tbl[[#All],[$ CLASS PAY]])+  SUMIF(Jul_Period_1_Tbl[[#All],[STAFF:]],$A36,Jul_Period_1_Tbl[[#All],[$ CLASS PAY]])+  SUMIF(Aug_Period_1_Tbl[[#All],[STAFF:]],$A36,Aug_Period_1_Tbl[[#All],[$ CLASS PAY]])+  SUMIF(Sep_Period_1_Tbl[[#All],[STAFF:]],$A36,Sep_Period_1_Tbl[[#All],[$ CLASS PAY]])+  SUMIF(Oct_Period_1_Tbl[[#All],[STAFF:]],$A36,Oct_Period_1_Tbl[[#All],[$ CLASS PAY]])+     SUMIF(Nov_Period_1_Tbl[[#All],[STAFF:]],$A36,Nov_Period_1_Tbl[[#All],[$ CLASS PAY]])+  SUMIF(Dec_Period_1_Tbl[[#All],[STAFF:]],$A36,Dec_Period_1_Tbl[[#All],[$ CLASS PAY]]))+   (SUMIF(Jan_Period_2_Tbl[[#All],[STAFF:]],$A36,Jan_Period_2_Tbl[[#All],[$ CLASS PAY]])+
SUMIF(Feb_Period_2_Tbl[[#All],[STAFF:]],$A36,Feb_Period_2_Tbl[[#All],[$ CLASS PAY]])+SUMIF(Mar_Period_2_Tbl[[#All],[STAFF:]],$A36,Mar_Period_2_Tbl[[#All],[$ CLASS PAY]])+SUMIF(Apr_Period_2_Tbl[[#All],[STAFF:]],$A36,Apr_Period_2_Tbl[[#All],[$ CLASS PAY]])+   SUMIF(May_Period_2_Tbl[[#All],[STAFF:]],$A36,May_Period_2_Tbl[[#All],[$ CLASS PAY]])+   SUMIF(Jun_Period_2_Tbl[[#All],[STAFF:]],$A36,Jun_Period_2_Tbl[[#All],[$ CLASS PAY]])+  SUMIF(Jul_Period_2_Tbl[[#All],[STAFF:]],$A36,Jul_Period_2_Tbl[[#All],[$ CLASS PAY]])+  SUMIF(Aug_Period_2_Tbl[[#All],[STAFF:]],$A36,Aug_Period_2_Tbl[[#All],[$ CLASS PAY]])+  SUMIF(Sep_Period_2_Tbl[[#All],[STAFF:]],$A36,Sep_Period_2_Tbl[[#All],[$ CLASS PAY]])+  SUMIF(Oct_Period_2_Tbl[[#All],[STAFF:]],$A36,Oct_Period_2_Tbl[[#All],[$ CLASS PAY]])+     SUMIF(Nov_Period_2_Tbl[[#All],[STAFF:]],$A36,Nov_Period_2_Tbl[[#All],[$ CLASS PAY]])+  SUMIF(Dec_Period_2_Tbl[[#All],[STAFF:]],$A36,Dec_Period_2_Tbl[[#All],[$ CLASS PAY]]))</f>
        <v>0</v>
      </c>
      <c r="O36" s="191">
        <f>(SUMIF(Jan_Period_1_Tbl[[#All],[STAFF:]],$A36,Jan_Period_1_Tbl[[#All],[$ BONUS PAY]])+
SUMIF(Feb_Period_1_Tbl[[#All],[STAFF:]],$A36,Feb_Period_1_Tbl[[#All],[$ BONUS PAY]])+SUMIF(Mar_Period_1_Tbl[[#All],[STAFF:]],$A36,Mar_Period_1_Tbl[[#All],[$ BONUS PAY]])+SUMIF(Apr_Period_1_Tbl[[#All],[STAFF:]],$A36,Apr_Period_1_Tbl[[#All],[$ BONUS PAY]])+   SUMIF(May_Period_1_Tbl[[#All],[STAFF:]],$A36,May_Period_1_Tbl[[#All],[$ BONUS PAY]])+   SUMIF(Jun_Period_1_Tbl[[#All],[STAFF:]],$A36,Jun_Period_1_Tbl[[#All],[$ BONUS PAY]])+  SUMIF(Jul_Period_1_Tbl[[#All],[STAFF:]],$A36,Jul_Period_1_Tbl[[#All],[$ BONUS PAY]])+  SUMIF(Aug_Period_1_Tbl[[#All],[STAFF:]],$A36,Aug_Period_1_Tbl[[#All],[$ BONUS PAY]])+  SUMIF(Sep_Period_1_Tbl[[#All],[STAFF:]],$A36,Sep_Period_1_Tbl[[#All],[$ BONUS PAY]])+  SUMIF(Oct_Period_1_Tbl[[#All],[STAFF:]],$A36,Oct_Period_1_Tbl[[#All],[$ BONUS PAY]])+     SUMIF(Nov_Period_1_Tbl[[#All],[STAFF:]],$A36,Nov_Period_1_Tbl[[#All],[$ BONUS PAY]])+  SUMIF(Dec_Period_1_Tbl[[#All],[STAFF:]],$A36,Dec_Period_1_Tbl[[#All],[$ BONUS PAY]]))+   (SUMIF(Jan_Period_2_Tbl[[#All],[STAFF:]],$A36,Jan_Period_2_Tbl[[#All],[$ BONUS PAY]])+
SUMIF(Feb_Period_2_Tbl[[#All],[STAFF:]],$A36,Feb_Period_2_Tbl[[#All],[$ BONUS PAY]])+SUMIF(Mar_Period_2_Tbl[[#All],[STAFF:]],$A36,Mar_Period_2_Tbl[[#All],[$ BONUS PAY]])+SUMIF(Apr_Period_2_Tbl[[#All],[STAFF:]],$A36,Apr_Period_2_Tbl[[#All],[$ BONUS PAY]])+   SUMIF(May_Period_2_Tbl[[#All],[STAFF:]],$A36,May_Period_2_Tbl[[#All],[$ BONUS PAY]])+   SUMIF(Jun_Period_2_Tbl[[#All],[STAFF:]],$A36,Jun_Period_2_Tbl[[#All],[$ BONUS PAY]])+  SUMIF(Jul_Period_2_Tbl[[#All],[STAFF:]],$A36,Jul_Period_2_Tbl[[#All],[$ BONUS PAY]])+  SUMIF(Aug_Period_2_Tbl[[#All],[STAFF:]],$A36,Aug_Period_2_Tbl[[#All],[$ BONUS PAY]])+  SUMIF(Sep_Period_2_Tbl[[#All],[STAFF:]],$A36,Sep_Period_2_Tbl[[#All],[$ BONUS PAY]])+  SUMIF(Oct_Period_2_Tbl[[#All],[STAFF:]],$A36,Oct_Period_2_Tbl[[#All],[$ BONUS PAY]])+     SUMIF(Nov_Period_2_Tbl[[#All],[STAFF:]],$A36,Nov_Period_2_Tbl[[#All],[$ BONUS PAY]])+  SUMIF(Dec_Period_2_Tbl[[#All],[STAFF:]],$A36,Dec_Period_2_Tbl[[#All],[$ BONUS PAY]]))</f>
        <v>0</v>
      </c>
      <c r="P36" s="179">
        <f t="shared" ref="P36:P63" si="9">SUM(G36+H36+J36+K36+L36+M36+N36+O36)</f>
        <v>0</v>
      </c>
      <c r="Q36" s="149"/>
      <c r="R36" s="152">
        <f>(SUMIF(Jan_Period_1_Tbl[[#All],[STAFF:]],$A36,Jan_Period_1_Tbl[[#All],['# POINTS EARNED]])+
SUMIF(Feb_Period_1_Tbl[[#All],[STAFF:]],$A36,Feb_Period_1_Tbl[[#All],['# POINTS EARNED]])+SUMIF(Mar_Period_1_Tbl[[#All],[STAFF:]],$A36,Mar_Period_1_Tbl[[#All],['# POINTS EARNED]])+SUMIF(Apr_Period_1_Tbl[[#All],[STAFF:]],$A36,Apr_Period_1_Tbl[[#All],['# POINTS EARNED]])+   SUMIF(May_Period_1_Tbl[[#All],[STAFF:]],$A36,May_Period_1_Tbl[[#All],['# POINTS EARNED]])+   SUMIF(Jun_Period_1_Tbl[[#All],[STAFF:]],$A36,Jun_Period_1_Tbl[[#All],['# POINTS EARNED]])+  SUMIF(Jul_Period_1_Tbl[[#All],[STAFF:]],$A36,Jul_Period_1_Tbl[[#All],['# POINTS EARNED]])+  SUMIF(Aug_Period_1_Tbl[[#All],[STAFF:]],$A36,Aug_Period_1_Tbl[[#All],['# POINTS EARNED]])+  SUMIF(Sep_Period_1_Tbl[[#All],[STAFF:]],$A36,Sep_Period_1_Tbl[[#All],['# POINTS EARNED]])+  SUMIF(Oct_Period_1_Tbl[[#All],[STAFF:]],$A36,Oct_Period_1_Tbl[[#All],['# POINTS EARNED]])+     SUMIF(Nov_Period_1_Tbl[[#All],[STAFF:]],$A36,Nov_Period_1_Tbl[[#All],['# POINTS EARNED]])+  SUMIF(Dec_Period_1_Tbl[[#All],[STAFF:]],$A36,Dec_Period_1_Tbl[[#All],['# POINTS EARNED]]))+   (SUMIF(Jan_Period_2_Tbl[[#All],[STAFF:]],$A36,Jan_Period_2_Tbl[[#All],['# POINTS EARNED]])+
SUMIF(Feb_Period_2_Tbl[[#All],[STAFF:]],$A36,Feb_Period_2_Tbl[[#All],['# POINTS EARNED]])+SUMIF(Mar_Period_2_Tbl[[#All],[STAFF:]],$A36,Mar_Period_2_Tbl[[#All],['# POINTS EARNED]])+SUMIF(Apr_Period_2_Tbl[[#All],[STAFF:]],$A36,Apr_Period_2_Tbl[[#All],['# POINTS EARNED]])+   SUMIF(May_Period_2_Tbl[[#All],[STAFF:]],$A36,May_Period_2_Tbl[[#All],['# POINTS EARNED]])+   SUMIF(Jun_Period_2_Tbl[[#All],[STAFF:]],$A36,Jun_Period_2_Tbl[[#All],['# POINTS EARNED]])+  SUMIF(Jul_Period_2_Tbl[[#All],[STAFF:]],$A36,Jul_Period_2_Tbl[[#All],['# POINTS EARNED]])+  SUMIF(Aug_Period_2_Tbl[[#All],[STAFF:]],$A36,Aug_Period_2_Tbl[[#All],['# POINTS EARNED]])+  SUMIF(Sep_Period_2_Tbl[[#All],[STAFF:]],$A36,Sep_Period_2_Tbl[[#All],['# POINTS EARNED]])+  SUMIF(Oct_Period_2_Tbl[[#All],[STAFF:]],$A36,Oct_Period_2_Tbl[[#All],['# POINTS EARNED]])+     SUMIF(Nov_Period_2_Tbl[[#All],[STAFF:]],$A36,Nov_Period_2_Tbl[[#All],['# POINTS EARNED]])+  SUMIF(Dec_Period_2_Tbl[[#All],[STAFF:]],$A36,Dec_Period_2_Tbl[[#All],['# POINTS EARNED]]))</f>
        <v>0</v>
      </c>
      <c r="S36" s="152">
        <f>(SUMIF(Jan_Period_1_Tbl[[#All],[STAFF:]],$A36,Jan_Period_1_Tbl[[#All],['# POINTS USED]])+
SUMIF(Feb_Period_1_Tbl[[#All],[STAFF:]],$A36,Feb_Period_1_Tbl[[#All],['# POINTS USED]])+SUMIF(Mar_Period_1_Tbl[[#All],[STAFF:]],$A36,Mar_Period_1_Tbl[[#All],['# POINTS USED]])+SUMIF(Apr_Period_1_Tbl[[#All],[STAFF:]],$A36,Apr_Period_1_Tbl[[#All],['# POINTS USED]])+   SUMIF(May_Period_1_Tbl[[#All],[STAFF:]],$A36,May_Period_1_Tbl[[#All],['# POINTS USED]])+   SUMIF(Jun_Period_1_Tbl[[#All],[STAFF:]],$A36,Jun_Period_1_Tbl[[#All],['# POINTS USED]])+  SUMIF(Jul_Period_1_Tbl[[#All],[STAFF:]],$A36,Jul_Period_1_Tbl[[#All],['# POINTS USED]])+  SUMIF(Aug_Period_1_Tbl[[#All],[STAFF:]],$A36,Aug_Period_1_Tbl[[#All],['# POINTS USED]])+  SUMIF(Sep_Period_1_Tbl[[#All],[STAFF:]],$A36,Sep_Period_1_Tbl[[#All],['# POINTS USED]])+  SUMIF(Oct_Period_1_Tbl[[#All],[STAFF:]],$A36,Oct_Period_1_Tbl[[#All],['# POINTS USED]])+     SUMIF(Nov_Period_1_Tbl[[#All],[STAFF:]],$A36,Nov_Period_1_Tbl[[#All],['# POINTS USED]])+  SUMIF(Dec_Period_1_Tbl[[#All],[STAFF:]],$A36,Dec_Period_1_Tbl[[#All],['# POINTS USED]]))+   (SUMIF(Jan_Period_2_Tbl[[#All],[STAFF:]],$A36,Jan_Period_2_Tbl[[#All],['# POINTS USED]])+
SUMIF(Feb_Period_2_Tbl[[#All],[STAFF:]],$A36,Feb_Period_2_Tbl[[#All],['# POINTS USED]])+SUMIF(Mar_Period_2_Tbl[[#All],[STAFF:]],$A36,Mar_Period_2_Tbl[[#All],['# POINTS USED]])+SUMIF(Apr_Period_2_Tbl[[#All],[STAFF:]],$A36,Apr_Period_2_Tbl[[#All],['# POINTS USED]])+   SUMIF(May_Period_2_Tbl[[#All],[STAFF:]],$A36,May_Period_2_Tbl[[#All],['# POINTS USED]])+   SUMIF(Jun_Period_2_Tbl[[#All],[STAFF:]],$A36,Jun_Period_2_Tbl[[#All],['# POINTS USED]])+  SUMIF(Jul_Period_2_Tbl[[#All],[STAFF:]],$A36,Jul_Period_2_Tbl[[#All],['# POINTS USED]])+  SUMIF(Aug_Period_2_Tbl[[#All],[STAFF:]],$A36,Aug_Period_2_Tbl[[#All],['# POINTS USED]])+  SUMIF(Sep_Period_2_Tbl[[#All],[STAFF:]],$A36,Sep_Period_2_Tbl[[#All],['# POINTS USED]])+  SUMIF(Oct_Period_2_Tbl[[#All],[STAFF:]],$A36,Oct_Period_2_Tbl[[#All],['# POINTS USED]])+     SUMIF(Nov_Period_2_Tbl[[#All],[STAFF:]],$A36,Nov_Period_2_Tbl[[#All],['# POINTS USED]])+  SUMIF(Dec_Period_2_Tbl[[#All],[STAFF:]],$A36,Dec_Period_2_Tbl[[#All],['# POINTS USED]]))</f>
        <v>0</v>
      </c>
      <c r="T36" s="152">
        <f>(SUMIF(Jan_Period_1_Tbl[[#All],[STAFF:]],$A36,Jan_Period_1_Tbl[[#All],['# CLASSES LEAD]])+
SUMIF(Feb_Period_1_Tbl[[#All],[STAFF:]],$A36,Feb_Period_1_Tbl[[#All],['# CLASSES LEAD]])+SUMIF(Mar_Period_1_Tbl[[#All],[STAFF:]],$A36,Mar_Period_1_Tbl[[#All],['# CLASSES LEAD]])+SUMIF(Apr_Period_1_Tbl[[#All],[STAFF:]],$A36,Apr_Period_1_Tbl[[#All],['# CLASSES LEAD]])+   SUMIF(May_Period_1_Tbl[[#All],[STAFF:]],$A36,May_Period_1_Tbl[[#All],['# CLASSES LEAD]])+   SUMIF(Jun_Period_1_Tbl[[#All],[STAFF:]],$A36,Jun_Period_1_Tbl[[#All],['# CLASSES LEAD]])+  SUMIF(Jul_Period_1_Tbl[[#All],[STAFF:]],$A36,Jul_Period_1_Tbl[[#All],['# CLASSES LEAD]])+  SUMIF(Aug_Period_1_Tbl[[#All],[STAFF:]],$A36,Aug_Period_1_Tbl[[#All],['# CLASSES LEAD]])+  SUMIF(Sep_Period_1_Tbl[[#All],[STAFF:]],$A36,Sep_Period_1_Tbl[[#All],['# CLASSES LEAD]])+  SUMIF(Oct_Period_1_Tbl[[#All],[STAFF:]],$A36,Oct_Period_1_Tbl[[#All],['# CLASSES LEAD]])+     SUMIF(Nov_Period_1_Tbl[[#All],[STAFF:]],$A36,Nov_Period_1_Tbl[[#All],['# CLASSES LEAD]])+  SUMIF(Dec_Period_1_Tbl[[#All],[STAFF:]],$A36,Dec_Period_1_Tbl[[#All],['# CLASSES LEAD]]))+   (SUMIF(Jan_Period_2_Tbl[[#All],[STAFF:]],$A36,Jan_Period_2_Tbl[[#All],['# CLASSES LEAD]])+
SUMIF(Feb_Period_2_Tbl[[#All],[STAFF:]],$A36,Feb_Period_2_Tbl[[#All],['# CLASSES LEAD]])+SUMIF(Mar_Period_2_Tbl[[#All],[STAFF:]],$A36,Mar_Period_2_Tbl[[#All],['# CLASSES LEAD]])+SUMIF(Apr_Period_2_Tbl[[#All],[STAFF:]],$A36,Apr_Period_2_Tbl[[#All],['# CLASSES LEAD]])+   SUMIF(May_Period_2_Tbl[[#All],[STAFF:]],$A36,May_Period_2_Tbl[[#All],['# CLASSES LEAD]])+   SUMIF(Jun_Period_2_Tbl[[#All],[STAFF:]],$A36,Jun_Period_2_Tbl[[#All],['# CLASSES LEAD]])+  SUMIF(Jul_Period_2_Tbl[[#All],[STAFF:]],$A36,Jul_Period_2_Tbl[[#All],['# CLASSES LEAD]])+  SUMIF(Aug_Period_2_Tbl[[#All],[STAFF:]],$A36,Aug_Period_2_Tbl[[#All],['# CLASSES LEAD]])+  SUMIF(Sep_Period_2_Tbl[[#All],[STAFF:]],$A36,Sep_Period_2_Tbl[[#All],['# CLASSES LEAD]])+  SUMIF(Oct_Period_2_Tbl[[#All],[STAFF:]],$A36,Oct_Period_2_Tbl[[#All],['# CLASSES LEAD]])+     SUMIF(Nov_Period_2_Tbl[[#All],[STAFF:]],$A36,Nov_Period_2_Tbl[[#All],['# CLASSES LEAD]])+  SUMIF(Dec_Period_2_Tbl[[#All],[STAFF:]],$A36,Dec_Period_2_Tbl[[#All],['# CLASSES LEAD]]))</f>
        <v>0</v>
      </c>
      <c r="U36" s="152">
        <f>(SUMIF(Jan_Period_1_Tbl[[#All],[STAFF:]],$A36,Jan_Period_1_Tbl[[#All],['# CLASSES SHOW]])+
SUMIF(Feb_Period_1_Tbl[[#All],[STAFF:]],$A36,Feb_Period_1_Tbl[[#All],['# CLASSES SHOW]])+SUMIF(Mar_Period_1_Tbl[[#All],[STAFF:]],$A36,Mar_Period_1_Tbl[[#All],['# CLASSES SHOW]])+SUMIF(Apr_Period_1_Tbl[[#All],[STAFF:]],$A36,Apr_Period_1_Tbl[[#All],['# CLASSES SHOW]])+   SUMIF(May_Period_1_Tbl[[#All],[STAFF:]],$A36,May_Period_1_Tbl[[#All],['# CLASSES SHOW]])+   SUMIF(Jun_Period_1_Tbl[[#All],[STAFF:]],$A36,Jun_Period_1_Tbl[[#All],['# CLASSES SHOW]])+  SUMIF(Jul_Period_1_Tbl[[#All],[STAFF:]],$A36,Jul_Period_1_Tbl[[#All],['# CLASSES SHOW]])+  SUMIF(Aug_Period_1_Tbl[[#All],[STAFF:]],$A36,Aug_Period_1_Tbl[[#All],['# CLASSES SHOW]])+  SUMIF(Sep_Period_1_Tbl[[#All],[STAFF:]],$A36,Sep_Period_1_Tbl[[#All],['# CLASSES SHOW]])+  SUMIF(Oct_Period_1_Tbl[[#All],[STAFF:]],$A36,Oct_Period_1_Tbl[[#All],['# CLASSES SHOW]])+     SUMIF(Nov_Period_1_Tbl[[#All],[STAFF:]],$A36,Nov_Period_1_Tbl[[#All],['# CLASSES SHOW]])+  SUMIF(Dec_Period_1_Tbl[[#All],[STAFF:]],$A36,Dec_Period_1_Tbl[[#All],['# CLASSES SHOW]]))+   (SUMIF(Jan_Period_2_Tbl[[#All],[STAFF:]],$A36,Jan_Period_2_Tbl[[#All],['# CLASSES SHOW]])+
SUMIF(Feb_Period_2_Tbl[[#All],[STAFF:]],$A36,Feb_Period_2_Tbl[[#All],['# CLASSES SHOW]])+SUMIF(Mar_Period_2_Tbl[[#All],[STAFF:]],$A36,Mar_Period_2_Tbl[[#All],['# CLASSES SHOW]])+SUMIF(Apr_Period_2_Tbl[[#All],[STAFF:]],$A36,Apr_Period_2_Tbl[[#All],['# CLASSES SHOW]])+   SUMIF(May_Period_2_Tbl[[#All],[STAFF:]],$A36,May_Period_2_Tbl[[#All],['# CLASSES SHOW]])+   SUMIF(Jun_Period_2_Tbl[[#All],[STAFF:]],$A36,Jun_Period_2_Tbl[[#All],['# CLASSES SHOW]])+  SUMIF(Jul_Period_2_Tbl[[#All],[STAFF:]],$A36,Jul_Period_2_Tbl[[#All],['# CLASSES SHOW]])+  SUMIF(Aug_Period_2_Tbl[[#All],[STAFF:]],$A36,Aug_Period_2_Tbl[[#All],['# CLASSES SHOW]])+  SUMIF(Sep_Period_2_Tbl[[#All],[STAFF:]],$A36,Sep_Period_2_Tbl[[#All],['# CLASSES SHOW]])+  SUMIF(Oct_Period_2_Tbl[[#All],[STAFF:]],$A36,Oct_Period_2_Tbl[[#All],['# CLASSES SHOW]])+     SUMIF(Nov_Period_2_Tbl[[#All],[STAFF:]],$A36,Nov_Period_2_Tbl[[#All],['# CLASSES SHOW]])+  SUMIF(Dec_Period_2_Tbl[[#All],[STAFF:]],$A36,Dec_Period_2_Tbl[[#All],['# CLASSES SHOW]]))</f>
        <v>0</v>
      </c>
      <c r="V36" s="156"/>
      <c r="W36" s="156"/>
      <c r="X36" s="154">
        <f t="shared" ref="X36:X63" si="10">IF(OR(G36="",G36=0),H36,G36+H36)</f>
        <v>0</v>
      </c>
      <c r="Y36" s="154">
        <f t="shared" ref="Y36:Y63" si="11">J36+K36</f>
        <v>0</v>
      </c>
      <c r="Z36" s="154">
        <f t="shared" ref="Z36:Z63" si="12">N36</f>
        <v>0</v>
      </c>
      <c r="AA36" s="154">
        <f t="shared" ref="AA36:AA63" si="13">M36</f>
        <v>0</v>
      </c>
      <c r="AB36" s="154">
        <f t="shared" ref="AB36:AB63" si="14">L36</f>
        <v>0</v>
      </c>
      <c r="AC36" s="154">
        <f t="shared" ref="AC36:AC63" si="15">O36</f>
        <v>0</v>
      </c>
      <c r="AD36" s="154">
        <f t="shared" ref="AD36:AD63" si="16">P36</f>
        <v>0</v>
      </c>
      <c r="AE36" s="149"/>
      <c r="AF36" s="149"/>
      <c r="AG36" s="149"/>
      <c r="AH36" s="149"/>
      <c r="AJ36" s="75" t="str">
        <f t="shared" ref="AJ36:AJ63" si="17">IF(AND(ISBLANK(C36),NOT(ISBLANK(A36))),"Active",IF(ISBLANK(C36),"zBlank","bDeactivate"))</f>
        <v>zBlank</v>
      </c>
      <c r="AK36" s="210"/>
      <c r="AL36" s="168">
        <f>IFERROR(VLOOKUP(B36,List!$A:$B,2,FALSE),-1)</f>
        <v>-1</v>
      </c>
      <c r="AM36" s="168">
        <f>IFERROR(VLOOKUP(C36,List!$A:$B,2,FALSE),-1)</f>
        <v>-1</v>
      </c>
    </row>
    <row r="37" spans="1:39" ht="15" hidden="1" customHeight="1" x14ac:dyDescent="0.25">
      <c r="A37" s="20"/>
      <c r="B37" s="186"/>
      <c r="C37" s="186"/>
      <c r="D37" s="187"/>
      <c r="E37" s="188">
        <f>(SUMIF(Jan_Period_1_Tbl[[#All],[STAFF:]],$A37,Jan_Period_1_Tbl[[#All],['# PTO USED]])+
SUMIF(Feb_Period_1_Tbl[[#All],[STAFF:]],$A37,Feb_Period_1_Tbl[[#All],['# PTO USED]])+SUMIF(Mar_Period_1_Tbl[[#All],[STAFF:]],$A37,Mar_Period_1_Tbl[[#All],['# PTO USED]])+SUMIF(Apr_Period_1_Tbl[[#All],[STAFF:]],$A37,Apr_Period_1_Tbl[[#All],['# PTO USED]])+   SUMIF(May_Period_1_Tbl[[#All],[STAFF:]],$A37,May_Period_1_Tbl[[#All],['# PTO USED]])+   SUMIF(Jun_Period_1_Tbl[[#All],[STAFF:]],$A37,Jun_Period_1_Tbl[[#All],['# PTO USED]])+  SUMIF(Jul_Period_1_Tbl[[#All],[STAFF:]],$A37,Jul_Period_1_Tbl[[#All],['# PTO USED]])+  SUMIF(Aug_Period_1_Tbl[[#All],[STAFF:]],$A37,Aug_Period_1_Tbl[[#All],['# PTO USED]])+  SUMIF(Sep_Period_1_Tbl[[#All],[STAFF:]],$A37,Sep_Period_1_Tbl[[#All],['# PTO USED]])+  SUMIF(Oct_Period_1_Tbl[[#All],[STAFF:]],$A37,Oct_Period_1_Tbl[[#All],['# PTO USED]])+     SUMIF(Nov_Period_1_Tbl[[#All],[STAFF:]],$A37,Nov_Period_1_Tbl[[#All],['# PTO USED]])+  SUMIF(Dec_Period_1_Tbl[[#All],[STAFF:]],$A37,Dec_Period_1_Tbl[[#All],['# PTO USED]]))+   (SUMIF(Jan_Period_2_Tbl[[#All],[STAFF:]],$A37,Jan_Period_2_Tbl[[#All],['# PTO USED]])+
SUMIF(Feb_Period_2_Tbl[[#All],[STAFF:]],$A37,Feb_Period_2_Tbl[[#All],['# PTO USED]])+SUMIF(Mar_Period_2_Tbl[[#All],[STAFF:]],$A37,Mar_Period_2_Tbl[[#All],['# PTO USED]])+SUMIF(Apr_Period_2_Tbl[[#All],[STAFF:]],$A37,Apr_Period_2_Tbl[[#All],['# PTO USED]])+   SUMIF(May_Period_2_Tbl[[#All],[STAFF:]],$A37,May_Period_2_Tbl[[#All],['# PTO USED]])+   SUMIF(Jun_Period_2_Tbl[[#All],[STAFF:]],$A37,Jun_Period_2_Tbl[[#All],['# PTO USED]])+  SUMIF(Jul_Period_2_Tbl[[#All],[STAFF:]],$A37,Jul_Period_2_Tbl[[#All],['# PTO USED]])+  SUMIF(Aug_Period_2_Tbl[[#All],[STAFF:]],$A37,Aug_Period_2_Tbl[[#All],['# PTO USED]])+  SUMIF(Sep_Period_2_Tbl[[#All],[STAFF:]],$A37,Sep_Period_2_Tbl[[#All],['# PTO USED]])+  SUMIF(Oct_Period_2_Tbl[[#All],[STAFF:]],$A37,Oct_Period_2_Tbl[[#All],['# PTO USED]])+     SUMIF(Nov_Period_2_Tbl[[#All],[STAFF:]],$A37,Nov_Period_2_Tbl[[#All],['# PTO USED]])+  SUMIF(Dec_Period_2_Tbl[[#All],[STAFF:]],$A37,Dec_Period_2_Tbl[[#All],['# PTO USED]]))</f>
        <v>0</v>
      </c>
      <c r="F37" s="189">
        <f>(SUMIF(Jan_Period_1_Tbl[[#All],[STAFF:]],$A37,Jan_Period_1_Tbl[[#All],['# HRS WORKED]])+
SUMIF(Feb_Period_1_Tbl[[#All],[STAFF:]],$A37,Feb_Period_1_Tbl[[#All],['# HRS WORKED]])+SUMIF(Mar_Period_1_Tbl[[#All],[STAFF:]],$A37,Mar_Period_1_Tbl[[#All],['# HRS WORKED]])+SUMIF(Apr_Period_1_Tbl[[#All],[STAFF:]],$A37,Apr_Period_1_Tbl[[#All],['# HRS WORKED]])+   SUMIF(May_Period_1_Tbl[[#All],[STAFF:]],$A37,May_Period_1_Tbl[[#All],['# HRS WORKED]])+   SUMIF(Jun_Period_1_Tbl[[#All],[STAFF:]],$A37,Jun_Period_1_Tbl[[#All],['# HRS WORKED]])+  SUMIF(Jul_Period_1_Tbl[[#All],[STAFF:]],$A37,Jul_Period_1_Tbl[[#All],['# HRS WORKED]])+  SUMIF(Aug_Period_1_Tbl[[#All],[STAFF:]],$A37,Aug_Period_1_Tbl[[#All],['# HRS WORKED]])+  SUMIF(Sep_Period_1_Tbl[[#All],[STAFF:]],$A37,Sep_Period_1_Tbl[[#All],['# HRS WORKED]])+  SUMIF(Oct_Period_1_Tbl[[#All],[STAFF:]],$A37,Oct_Period_1_Tbl[[#All],['# HRS WORKED]])+     SUMIF(Nov_Period_1_Tbl[[#All],[STAFF:]],$A37,Nov_Period_1_Tbl[[#All],['# HRS WORKED]])+  SUMIF(Dec_Period_1_Tbl[[#All],[STAFF:]],$A37,Dec_Period_1_Tbl[[#All],['# HRS WORKED]]))+   (SUMIF(Jan_Period_2_Tbl[[#All],[STAFF:]],$A37,Jan_Period_2_Tbl[[#All],['# HRS WORKED]])+
SUMIF(Feb_Period_2_Tbl[[#All],[STAFF:]],$A37,Feb_Period_2_Tbl[[#All],['# HRS WORKED]])+SUMIF(Mar_Period_2_Tbl[[#All],[STAFF:]],$A37,Mar_Period_2_Tbl[[#All],['# HRS WORKED]])+SUMIF(Apr_Period_2_Tbl[[#All],[STAFF:]],$A37,Apr_Period_2_Tbl[[#All],['# HRS WORKED]])+   SUMIF(May_Period_2_Tbl[[#All],[STAFF:]],$A37,May_Period_2_Tbl[[#All],['# HRS WORKED]])+   SUMIF(Jun_Period_2_Tbl[[#All],[STAFF:]],$A37,Jun_Period_2_Tbl[[#All],['# HRS WORKED]])+  SUMIF(Jul_Period_2_Tbl[[#All],[STAFF:]],$A37,Jul_Period_2_Tbl[[#All],['# HRS WORKED]])+  SUMIF(Aug_Period_2_Tbl[[#All],[STAFF:]],$A37,Aug_Period_2_Tbl[[#All],['# HRS WORKED]])+  SUMIF(Sep_Period_2_Tbl[[#All],[STAFF:]],$A37,Sep_Period_2_Tbl[[#All],['# HRS WORKED]])+  SUMIF(Oct_Period_2_Tbl[[#All],[STAFF:]],$A37,Oct_Period_2_Tbl[[#All],['# HRS WORKED]])+     SUMIF(Nov_Period_2_Tbl[[#All],[STAFF:]],$A37,Nov_Period_2_Tbl[[#All],['# HRS WORKED]])+  SUMIF(Dec_Period_2_Tbl[[#All],[STAFF:]],$A37,Dec_Period_2_Tbl[[#All],['# HRS WORKED]]))</f>
        <v>0</v>
      </c>
      <c r="G37" s="190">
        <f>(SUMIF(Jan_Period_1_Tbl[[#All],[STAFF:]],$A37,Jan_Period_1_Tbl[[#All],[$ Hourly WAGES]])+
SUMIF(Feb_Period_1_Tbl[[#All],[STAFF:]],$A37,Feb_Period_1_Tbl[[#All],[$ Hourly WAGES]])+SUMIF(Mar_Period_1_Tbl[[#All],[STAFF:]],$A37,Mar_Period_1_Tbl[[#All],[$ Hourly WAGES]])+SUMIF(Apr_Period_1_Tbl[[#All],[STAFF:]],$A37,Apr_Period_1_Tbl[[#All],[$ Hourly WAGES]])+   SUMIF(May_Period_1_Tbl[[#All],[STAFF:]],$A37,May_Period_1_Tbl[[#All],[$ Hourly WAGES]])+   SUMIF(Jun_Period_1_Tbl[[#All],[STAFF:]],$A37,Jun_Period_1_Tbl[[#All],[$ Hourly WAGES]])+  SUMIF(Jul_Period_1_Tbl[[#All],[STAFF:]],$A37,Jul_Period_1_Tbl[[#All],[$ Hourly WAGES]])+  SUMIF(Aug_Period_1_Tbl[[#All],[STAFF:]],$A37,Aug_Period_1_Tbl[[#All],[$ Hourly WAGES]])+  SUMIF(Sep_Period_1_Tbl[[#All],[STAFF:]],$A37,Sep_Period_1_Tbl[[#All],[$ Hourly WAGES]])+  SUMIF(Oct_Period_1_Tbl[[#All],[STAFF:]],$A37,Oct_Period_1_Tbl[[#All],[$ Hourly WAGES]])+     SUMIF(Nov_Period_1_Tbl[[#All],[STAFF:]],$A37,Nov_Period_1_Tbl[[#All],[$ Hourly WAGES]])+  SUMIF(Dec_Period_1_Tbl[[#All],[STAFF:]],$A37,Dec_Period_1_Tbl[[#All],[$ Hourly WAGES]]))+   (SUMIF(Jan_Period_2_Tbl[[#All],[STAFF:]],$A37,Jan_Period_2_Tbl[[#All],[$ Hourly WAGES]])+
SUMIF(Feb_Period_2_Tbl[[#All],[STAFF:]],$A37,Feb_Period_2_Tbl[[#All],[$ Hourly WAGES]])+SUMIF(Mar_Period_2_Tbl[[#All],[STAFF:]],$A37,Mar_Period_2_Tbl[[#All],[$ Hourly WAGES]])+SUMIF(Apr_Period_2_Tbl[[#All],[STAFF:]],$A37,Apr_Period_2_Tbl[[#All],[$ Hourly WAGES]])+   SUMIF(May_Period_2_Tbl[[#All],[STAFF:]],$A37,May_Period_2_Tbl[[#All],[$ Hourly WAGES]])+   SUMIF(Jun_Period_2_Tbl[[#All],[STAFF:]],$A37,Jun_Period_2_Tbl[[#All],[$ Hourly WAGES]])+  SUMIF(Jul_Period_2_Tbl[[#All],[STAFF:]],$A37,Jul_Period_2_Tbl[[#All],[$ Hourly WAGES]])+  SUMIF(Aug_Period_2_Tbl[[#All],[STAFF:]],$A37,Aug_Period_2_Tbl[[#All],[$ Hourly WAGES]])+  SUMIF(Sep_Period_2_Tbl[[#All],[STAFF:]],$A37,Sep_Period_2_Tbl[[#All],[$ Hourly WAGES]])+  SUMIF(Oct_Period_2_Tbl[[#All],[STAFF:]],$A37,Oct_Period_2_Tbl[[#All],[$ Hourly WAGES]])+     SUMIF(Nov_Period_2_Tbl[[#All],[STAFF:]],$A37,Nov_Period_2_Tbl[[#All],[$ Hourly WAGES]])+  SUMIF(Dec_Period_2_Tbl[[#All],[STAFF:]],$A37,Dec_Period_2_Tbl[[#All],[$ Hourly WAGES]]))</f>
        <v>0</v>
      </c>
      <c r="H37" s="190">
        <f>(SUMIF(Jan_Period_1_Tbl[[#All],[STAFF:]],$A37,Jan_Period_1_Tbl[[#All],[$ SALARY]])+
SUMIF(Feb_Period_1_Tbl[[#All],[STAFF:]],$A37,Feb_Period_1_Tbl[[#All],[$ SALARY]])+SUMIF(Mar_Period_1_Tbl[[#All],[STAFF:]],$A37,Mar_Period_1_Tbl[[#All],[$ SALARY]])+SUMIF(Apr_Period_1_Tbl[[#All],[STAFF:]],$A37,Apr_Period_1_Tbl[[#All],[$ SALARY]])+   SUMIF(May_Period_1_Tbl[[#All],[STAFF:]],$A37,May_Period_1_Tbl[[#All],[$ SALARY]])+   SUMIF(Jun_Period_1_Tbl[[#All],[STAFF:]],$A37,Jun_Period_1_Tbl[[#All],[$ SALARY]])+  SUMIF(Jul_Period_1_Tbl[[#All],[STAFF:]],$A37,Jul_Period_1_Tbl[[#All],[$ SALARY]])+  SUMIF(Aug_Period_1_Tbl[[#All],[STAFF:]],$A37,Aug_Period_1_Tbl[[#All],[$ SALARY]])+  SUMIF(Sep_Period_1_Tbl[[#All],[STAFF:]],$A37,Sep_Period_1_Tbl[[#All],[$ SALARY]])+  SUMIF(Oct_Period_1_Tbl[[#All],[STAFF:]],$A37,Oct_Period_1_Tbl[[#All],[$ SALARY]])+     SUMIF(Nov_Period_1_Tbl[[#All],[STAFF:]],$A37,Nov_Period_1_Tbl[[#All],[$ SALARY]])+  SUMIF(Dec_Period_1_Tbl[[#All],[STAFF:]],$A37,Dec_Period_1_Tbl[[#All],[$ SALARY]]))+   (SUMIF(Jan_Period_2_Tbl[[#All],[STAFF:]],$A37,Jan_Period_2_Tbl[[#All],[$ SALARY]])+
SUMIF(Feb_Period_2_Tbl[[#All],[STAFF:]],$A37,Feb_Period_2_Tbl[[#All],[$ SALARY]])+SUMIF(Mar_Period_2_Tbl[[#All],[STAFF:]],$A37,Mar_Period_2_Tbl[[#All],[$ SALARY]])+SUMIF(Apr_Period_2_Tbl[[#All],[STAFF:]],$A37,Apr_Period_2_Tbl[[#All],[$ SALARY]])+   SUMIF(May_Period_2_Tbl[[#All],[STAFF:]],$A37,May_Period_2_Tbl[[#All],[$ SALARY]])+   SUMIF(Jun_Period_2_Tbl[[#All],[STAFF:]],$A37,Jun_Period_2_Tbl[[#All],[$ SALARY]])+  SUMIF(Jul_Period_2_Tbl[[#All],[STAFF:]],$A37,Jul_Period_2_Tbl[[#All],[$ SALARY]])+  SUMIF(Aug_Period_2_Tbl[[#All],[STAFF:]],$A37,Aug_Period_2_Tbl[[#All],[$ SALARY]])+  SUMIF(Sep_Period_2_Tbl[[#All],[STAFF:]],$A37,Sep_Period_2_Tbl[[#All],[$ SALARY]])+  SUMIF(Oct_Period_2_Tbl[[#All],[STAFF:]],$A37,Oct_Period_2_Tbl[[#All],[$ SALARY]])+     SUMIF(Nov_Period_2_Tbl[[#All],[STAFF:]],$A37,Nov_Period_2_Tbl[[#All],[$ SALARY]])+  SUMIF(Dec_Period_2_Tbl[[#All],[STAFF:]],$A37,Dec_Period_2_Tbl[[#All],[$ SALARY]]))</f>
        <v>0</v>
      </c>
      <c r="I37" s="190">
        <f>(SUMIF(Jan_Period_1_Tbl[[#All],[STAFF:]],$A37,Jan_Period_1_Tbl[[#All],[$ SALARY PT]])+
SUMIF(Feb_Period_1_Tbl[[#All],[STAFF:]],$A37,Feb_Period_1_Tbl[[#All],[$ SALARY PT]])+SUMIF(Mar_Period_1_Tbl[[#All],[STAFF:]],$A37,Mar_Period_1_Tbl[[#All],[$ SALARY PT]])+SUMIF(Apr_Period_1_Tbl[[#All],[STAFF:]],$A37,Apr_Period_1_Tbl[[#All],[$ SALARY PT]])+   SUMIF(May_Period_1_Tbl[[#All],[STAFF:]],$A37,May_Period_1_Tbl[[#All],[$ SALARY PT]])+   SUMIF(Jun_Period_1_Tbl[[#All],[STAFF:]],$A37,Jun_Period_1_Tbl[[#All],[$ SALARY PT]])+  SUMIF(Jul_Period_1_Tbl[[#All],[STAFF:]],$A37,Jul_Period_1_Tbl[[#All],[$ SALARY PT]])+  SUMIF(Aug_Period_1_Tbl[[#All],[STAFF:]],$A37,Aug_Period_1_Tbl[[#All],[$ SALARY PT]])+  SUMIF(Sep_Period_1_Tbl[[#All],[STAFF:]],$A37,Sep_Period_1_Tbl[[#All],[$ SALARY PT]])+  SUMIF(Oct_Period_1_Tbl[[#All],[STAFF:]],$A37,Oct_Period_1_Tbl[[#All],[$ SALARY PT]])+     SUMIF(Nov_Period_1_Tbl[[#All],[STAFF:]],$A37,Nov_Period_1_Tbl[[#All],[$ SALARY PT]])+  SUMIF(Dec_Period_1_Tbl[[#All],[STAFF:]],$A37,Dec_Period_1_Tbl[[#All],[$ SALARY PT]]))+   (SUMIF(Jan_Period_2_Tbl[[#All],[STAFF:]],$A37,Jan_Period_2_Tbl[[#All],[$ SALARY PT]])+
SUMIF(Feb_Period_2_Tbl[[#All],[STAFF:]],$A37,Feb_Period_2_Tbl[[#All],[$ SALARY PT]])+SUMIF(Mar_Period_2_Tbl[[#All],[STAFF:]],$A37,Mar_Period_2_Tbl[[#All],[$ SALARY PT]])+SUMIF(Apr_Period_2_Tbl[[#All],[STAFF:]],$A37,Apr_Period_2_Tbl[[#All],[$ SALARY PT]])+   SUMIF(May_Period_2_Tbl[[#All],[STAFF:]],$A37,May_Period_2_Tbl[[#All],[$ SALARY PT]])+   SUMIF(Jun_Period_2_Tbl[[#All],[STAFF:]],$A37,Jun_Period_2_Tbl[[#All],[$ SALARY PT]])+  SUMIF(Jul_Period_2_Tbl[[#All],[STAFF:]],$A37,Jul_Period_2_Tbl[[#All],[$ SALARY PT]])+  SUMIF(Aug_Period_2_Tbl[[#All],[STAFF:]],$A37,Aug_Period_2_Tbl[[#All],[$ SALARY PT]])+  SUMIF(Sep_Period_2_Tbl[[#All],[STAFF:]],$A37,Sep_Period_2_Tbl[[#All],[$ SALARY PT]])+  SUMIF(Oct_Period_2_Tbl[[#All],[STAFF:]],$A37,Oct_Period_2_Tbl[[#All],[$ SALARY PT]])+     SUMIF(Nov_Period_2_Tbl[[#All],[STAFF:]],$A37,Nov_Period_2_Tbl[[#All],[$ SALARY PT]])+  SUMIF(Dec_Period_2_Tbl[[#All],[STAFF:]],$A37,Dec_Period_2_Tbl[[#All],[$ SALARY PT]]))</f>
        <v>0</v>
      </c>
      <c r="J37" s="190">
        <f>(SUMIF(Jan_Period_1_Tbl[[#All],[STAFF:]],$A37,Jan_Period_1_Tbl[[#All],[$ FREE PT]])+
SUMIF(Feb_Period_1_Tbl[[#All],[STAFF:]],$A37,Feb_Period_1_Tbl[[#All],[$ FREE PT]])+SUMIF(Mar_Period_1_Tbl[[#All],[STAFF:]],$A37,Mar_Period_1_Tbl[[#All],[$ FREE PT]])+SUMIF(Apr_Period_1_Tbl[[#All],[STAFF:]],$A37,Apr_Period_1_Tbl[[#All],[$ FREE PT]])+   SUMIF(May_Period_1_Tbl[[#All],[STAFF:]],$A37,May_Period_1_Tbl[[#All],[$ FREE PT]])+   SUMIF(Jun_Period_1_Tbl[[#All],[STAFF:]],$A37,Jun_Period_1_Tbl[[#All],[$ FREE PT]])+  SUMIF(Jul_Period_1_Tbl[[#All],[STAFF:]],$A37,Jul_Period_1_Tbl[[#All],[$ FREE PT]])+  SUMIF(Aug_Period_1_Tbl[[#All],[STAFF:]],$A37,Aug_Period_1_Tbl[[#All],[$ FREE PT]])+  SUMIF(Sep_Period_1_Tbl[[#All],[STAFF:]],$A37,Sep_Period_1_Tbl[[#All],[$ FREE PT]])+  SUMIF(Oct_Period_1_Tbl[[#All],[STAFF:]],$A37,Oct_Period_1_Tbl[[#All],[$ FREE PT]])+     SUMIF(Nov_Period_1_Tbl[[#All],[STAFF:]],$A37,Nov_Period_1_Tbl[[#All],[$ FREE PT]])+  SUMIF(Dec_Period_1_Tbl[[#All],[STAFF:]],$A37,Dec_Period_1_Tbl[[#All],[$ FREE PT]]))+   (SUMIF(Jan_Period_2_Tbl[[#All],[STAFF:]],$A37,Jan_Period_2_Tbl[[#All],[$ FREE PT]])+
SUMIF(Feb_Period_2_Tbl[[#All],[STAFF:]],$A37,Feb_Period_2_Tbl[[#All],[$ FREE PT]])+SUMIF(Mar_Period_2_Tbl[[#All],[STAFF:]],$A37,Mar_Period_2_Tbl[[#All],[$ FREE PT]])+SUMIF(Apr_Period_2_Tbl[[#All],[STAFF:]],$A37,Apr_Period_2_Tbl[[#All],[$ FREE PT]])+   SUMIF(May_Period_2_Tbl[[#All],[STAFF:]],$A37,May_Period_2_Tbl[[#All],[$ FREE PT]])+   SUMIF(Jun_Period_2_Tbl[[#All],[STAFF:]],$A37,Jun_Period_2_Tbl[[#All],[$ FREE PT]])+  SUMIF(Jul_Period_2_Tbl[[#All],[STAFF:]],$A37,Jul_Period_2_Tbl[[#All],[$ FREE PT]])+  SUMIF(Aug_Period_2_Tbl[[#All],[STAFF:]],$A37,Aug_Period_2_Tbl[[#All],[$ FREE PT]])+  SUMIF(Sep_Period_2_Tbl[[#All],[STAFF:]],$A37,Sep_Period_2_Tbl[[#All],[$ FREE PT]])+  SUMIF(Oct_Period_2_Tbl[[#All],[STAFF:]],$A37,Oct_Period_2_Tbl[[#All],[$ FREE PT]])+     SUMIF(Nov_Period_2_Tbl[[#All],[STAFF:]],$A37,Nov_Period_2_Tbl[[#All],[$ FREE PT]])+  SUMIF(Dec_Period_2_Tbl[[#All],[STAFF:]],$A37,Dec_Period_2_Tbl[[#All],[$ FREE PT]]))</f>
        <v>0</v>
      </c>
      <c r="K37" s="190">
        <f>(SUMIF(Jan_Period_1_Tbl[[#All],[STAFF:]],$A37,Jan_Period_1_Tbl[[#All],[$ PAID PT]])+
SUMIF(Feb_Period_1_Tbl[[#All],[STAFF:]],$A37,Feb_Period_1_Tbl[[#All],[$ PAID PT]])+SUMIF(Mar_Period_1_Tbl[[#All],[STAFF:]],$A37,Mar_Period_1_Tbl[[#All],[$ PAID PT]])+SUMIF(Apr_Period_1_Tbl[[#All],[STAFF:]],$A37,Apr_Period_1_Tbl[[#All],[$ PAID PT]])+   SUMIF(May_Period_1_Tbl[[#All],[STAFF:]],$A37,May_Period_1_Tbl[[#All],[$ PAID PT]])+   SUMIF(Jun_Period_1_Tbl[[#All],[STAFF:]],$A37,Jun_Period_1_Tbl[[#All],[$ PAID PT]])+  SUMIF(Jul_Period_1_Tbl[[#All],[STAFF:]],$A37,Jul_Period_1_Tbl[[#All],[$ PAID PT]])+  SUMIF(Aug_Period_1_Tbl[[#All],[STAFF:]],$A37,Aug_Period_1_Tbl[[#All],[$ PAID PT]])+  SUMIF(Sep_Period_1_Tbl[[#All],[STAFF:]],$A37,Sep_Period_1_Tbl[[#All],[$ PAID PT]])+  SUMIF(Oct_Period_1_Tbl[[#All],[STAFF:]],$A37,Oct_Period_1_Tbl[[#All],[$ PAID PT]])+     SUMIF(Nov_Period_1_Tbl[[#All],[STAFF:]],$A37,Nov_Period_1_Tbl[[#All],[$ PAID PT]])+  SUMIF(Dec_Period_1_Tbl[[#All],[STAFF:]],$A37,Dec_Period_1_Tbl[[#All],[$ PAID PT]]))+   (SUMIF(Jan_Period_2_Tbl[[#All],[STAFF:]],$A37,Jan_Period_2_Tbl[[#All],[$ PAID PT]])+
SUMIF(Feb_Period_2_Tbl[[#All],[STAFF:]],$A37,Feb_Period_2_Tbl[[#All],[$ PAID PT]])+SUMIF(Mar_Period_2_Tbl[[#All],[STAFF:]],$A37,Mar_Period_2_Tbl[[#All],[$ PAID PT]])+SUMIF(Apr_Period_2_Tbl[[#All],[STAFF:]],$A37,Apr_Period_2_Tbl[[#All],[$ PAID PT]])+   SUMIF(May_Period_2_Tbl[[#All],[STAFF:]],$A37,May_Period_2_Tbl[[#All],[$ PAID PT]])+   SUMIF(Jun_Period_2_Tbl[[#All],[STAFF:]],$A37,Jun_Period_2_Tbl[[#All],[$ PAID PT]])+  SUMIF(Jul_Period_2_Tbl[[#All],[STAFF:]],$A37,Jul_Period_2_Tbl[[#All],[$ PAID PT]])+  SUMIF(Aug_Period_2_Tbl[[#All],[STAFF:]],$A37,Aug_Period_2_Tbl[[#All],[$ PAID PT]])+  SUMIF(Sep_Period_2_Tbl[[#All],[STAFF:]],$A37,Sep_Period_2_Tbl[[#All],[$ PAID PT]])+  SUMIF(Oct_Period_2_Tbl[[#All],[STAFF:]],$A37,Oct_Period_2_Tbl[[#All],[$ PAID PT]])+     SUMIF(Nov_Period_2_Tbl[[#All],[STAFF:]],$A37,Nov_Period_2_Tbl[[#All],[$ PAID PT]])+  SUMIF(Dec_Period_2_Tbl[[#All],[STAFF:]],$A37,Dec_Period_2_Tbl[[#All],[$ PAID PT]]))</f>
        <v>0</v>
      </c>
      <c r="L37" s="190">
        <f>(SUMIF(Jan_Period_1_Tbl[[#All],[STAFF:]],$A37,Jan_Period_1_Tbl[[#All],[$ PT COMM]])+
SUMIF(Feb_Period_1_Tbl[[#All],[STAFF:]],$A37,Feb_Period_1_Tbl[[#All],[$ PT COMM]])+SUMIF(Mar_Period_1_Tbl[[#All],[STAFF:]],$A37,Mar_Period_1_Tbl[[#All],[$ PT COMM]])+SUMIF(Apr_Period_1_Tbl[[#All],[STAFF:]],$A37,Apr_Period_1_Tbl[[#All],[$ PT COMM]])+   SUMIF(May_Period_1_Tbl[[#All],[STAFF:]],$A37,May_Period_1_Tbl[[#All],[$ PT COMM]])+   SUMIF(Jun_Period_1_Tbl[[#All],[STAFF:]],$A37,Jun_Period_1_Tbl[[#All],[$ PT COMM]])+  SUMIF(Jul_Period_1_Tbl[[#All],[STAFF:]],$A37,Jul_Period_1_Tbl[[#All],[$ PT COMM]])+  SUMIF(Aug_Period_1_Tbl[[#All],[STAFF:]],$A37,Aug_Period_1_Tbl[[#All],[$ PT COMM]])+  SUMIF(Sep_Period_1_Tbl[[#All],[STAFF:]],$A37,Sep_Period_1_Tbl[[#All],[$ PT COMM]])+  SUMIF(Oct_Period_1_Tbl[[#All],[STAFF:]],$A37,Oct_Period_1_Tbl[[#All],[$ PT COMM]])+     SUMIF(Nov_Period_1_Tbl[[#All],[STAFF:]],$A37,Nov_Period_1_Tbl[[#All],[$ PT COMM]])+  SUMIF(Dec_Period_1_Tbl[[#All],[STAFF:]],$A37,Dec_Period_1_Tbl[[#All],[$ PT COMM]]))+   (SUMIF(Jan_Period_2_Tbl[[#All],[STAFF:]],$A37,Jan_Period_2_Tbl[[#All],[$ PT COMM]])+
SUMIF(Feb_Period_2_Tbl[[#All],[STAFF:]],$A37,Feb_Period_2_Tbl[[#All],[$ PT COMM]])+SUMIF(Mar_Period_2_Tbl[[#All],[STAFF:]],$A37,Mar_Period_2_Tbl[[#All],[$ PT COMM]])+SUMIF(Apr_Period_2_Tbl[[#All],[STAFF:]],$A37,Apr_Period_2_Tbl[[#All],[$ PT COMM]])+   SUMIF(May_Period_2_Tbl[[#All],[STAFF:]],$A37,May_Period_2_Tbl[[#All],[$ PT COMM]])+   SUMIF(Jun_Period_2_Tbl[[#All],[STAFF:]],$A37,Jun_Period_2_Tbl[[#All],[$ PT COMM]])+  SUMIF(Jul_Period_2_Tbl[[#All],[STAFF:]],$A37,Jul_Period_2_Tbl[[#All],[$ PT COMM]])+  SUMIF(Aug_Period_2_Tbl[[#All],[STAFF:]],$A37,Aug_Period_2_Tbl[[#All],[$ PT COMM]])+  SUMIF(Sep_Period_2_Tbl[[#All],[STAFF:]],$A37,Sep_Period_2_Tbl[[#All],[$ PT COMM]])+  SUMIF(Oct_Period_2_Tbl[[#All],[STAFF:]],$A37,Oct_Period_2_Tbl[[#All],[$ PT COMM]])+     SUMIF(Nov_Period_2_Tbl[[#All],[STAFF:]],$A37,Nov_Period_2_Tbl[[#All],[$ PT COMM]])+  SUMIF(Dec_Period_2_Tbl[[#All],[STAFF:]],$A37,Dec_Period_2_Tbl[[#All],[$ PT COMM]]))</f>
        <v>0</v>
      </c>
      <c r="M37" s="190">
        <f>(SUMIF(Jan_Period_1_Tbl[[#All],[STAFF:]],$A37,Jan_Period_1_Tbl[[#All],[$ EFT COMM]])+
SUMIF(Feb_Period_1_Tbl[[#All],[STAFF:]],$A37,Feb_Period_1_Tbl[[#All],[$ EFT COMM]])+SUMIF(Mar_Period_1_Tbl[[#All],[STAFF:]],$A37,Mar_Period_1_Tbl[[#All],[$ EFT COMM]])+SUMIF(Apr_Period_1_Tbl[[#All],[STAFF:]],$A37,Apr_Period_1_Tbl[[#All],[$ EFT COMM]])+   SUMIF(May_Period_1_Tbl[[#All],[STAFF:]],$A37,May_Period_1_Tbl[[#All],[$ EFT COMM]])+   SUMIF(Jun_Period_1_Tbl[[#All],[STAFF:]],$A37,Jun_Period_1_Tbl[[#All],[$ EFT COMM]])+  SUMIF(Jul_Period_1_Tbl[[#All],[STAFF:]],$A37,Jul_Period_1_Tbl[[#All],[$ EFT COMM]])+  SUMIF(Aug_Period_1_Tbl[[#All],[STAFF:]],$A37,Aug_Period_1_Tbl[[#All],[$ EFT COMM]])+  SUMIF(Sep_Period_1_Tbl[[#All],[STAFF:]],$A37,Sep_Period_1_Tbl[[#All],[$ EFT COMM]])+  SUMIF(Oct_Period_1_Tbl[[#All],[STAFF:]],$A37,Oct_Period_1_Tbl[[#All],[$ EFT COMM]])+     SUMIF(Nov_Period_1_Tbl[[#All],[STAFF:]],$A37,Nov_Period_1_Tbl[[#All],[$ EFT COMM]])+  SUMIF(Dec_Period_1_Tbl[[#All],[STAFF:]],$A37,Dec_Period_1_Tbl[[#All],[$ EFT COMM]]))+   (SUMIF(Jan_Period_2_Tbl[[#All],[STAFF:]],$A37,Jan_Period_2_Tbl[[#All],[$ EFT COMM]])+
SUMIF(Feb_Period_2_Tbl[[#All],[STAFF:]],$A37,Feb_Period_2_Tbl[[#All],[$ EFT COMM]])+SUMIF(Mar_Period_2_Tbl[[#All],[STAFF:]],$A37,Mar_Period_2_Tbl[[#All],[$ EFT COMM]])+SUMIF(Apr_Period_2_Tbl[[#All],[STAFF:]],$A37,Apr_Period_2_Tbl[[#All],[$ EFT COMM]])+   SUMIF(May_Period_2_Tbl[[#All],[STAFF:]],$A37,May_Period_2_Tbl[[#All],[$ EFT COMM]])+   SUMIF(Jun_Period_2_Tbl[[#All],[STAFF:]],$A37,Jun_Period_2_Tbl[[#All],[$ EFT COMM]])+  SUMIF(Jul_Period_2_Tbl[[#All],[STAFF:]],$A37,Jul_Period_2_Tbl[[#All],[$ EFT COMM]])+  SUMIF(Aug_Period_2_Tbl[[#All],[STAFF:]],$A37,Aug_Period_2_Tbl[[#All],[$ EFT COMM]])+  SUMIF(Sep_Period_2_Tbl[[#All],[STAFF:]],$A37,Sep_Period_2_Tbl[[#All],[$ EFT COMM]])+  SUMIF(Oct_Period_2_Tbl[[#All],[STAFF:]],$A37,Oct_Period_2_Tbl[[#All],[$ EFT COMM]])+     SUMIF(Nov_Period_2_Tbl[[#All],[STAFF:]],$A37,Nov_Period_2_Tbl[[#All],[$ EFT COMM]])+  SUMIF(Dec_Period_2_Tbl[[#All],[STAFF:]],$A37,Dec_Period_2_Tbl[[#All],[$ EFT COMM]]))</f>
        <v>0</v>
      </c>
      <c r="N37" s="190">
        <f>(SUMIF(Jan_Period_1_Tbl[[#All],[STAFF:]],$A37,Jan_Period_1_Tbl[[#All],[$ CLASS PAY]])+
SUMIF(Feb_Period_1_Tbl[[#All],[STAFF:]],$A37,Feb_Period_1_Tbl[[#All],[$ CLASS PAY]])+SUMIF(Mar_Period_1_Tbl[[#All],[STAFF:]],$A37,Mar_Period_1_Tbl[[#All],[$ CLASS PAY]])+SUMIF(Apr_Period_1_Tbl[[#All],[STAFF:]],$A37,Apr_Period_1_Tbl[[#All],[$ CLASS PAY]])+   SUMIF(May_Period_1_Tbl[[#All],[STAFF:]],$A37,May_Period_1_Tbl[[#All],[$ CLASS PAY]])+   SUMIF(Jun_Period_1_Tbl[[#All],[STAFF:]],$A37,Jun_Period_1_Tbl[[#All],[$ CLASS PAY]])+  SUMIF(Jul_Period_1_Tbl[[#All],[STAFF:]],$A37,Jul_Period_1_Tbl[[#All],[$ CLASS PAY]])+  SUMIF(Aug_Period_1_Tbl[[#All],[STAFF:]],$A37,Aug_Period_1_Tbl[[#All],[$ CLASS PAY]])+  SUMIF(Sep_Period_1_Tbl[[#All],[STAFF:]],$A37,Sep_Period_1_Tbl[[#All],[$ CLASS PAY]])+  SUMIF(Oct_Period_1_Tbl[[#All],[STAFF:]],$A37,Oct_Period_1_Tbl[[#All],[$ CLASS PAY]])+     SUMIF(Nov_Period_1_Tbl[[#All],[STAFF:]],$A37,Nov_Period_1_Tbl[[#All],[$ CLASS PAY]])+  SUMIF(Dec_Period_1_Tbl[[#All],[STAFF:]],$A37,Dec_Period_1_Tbl[[#All],[$ CLASS PAY]]))+   (SUMIF(Jan_Period_2_Tbl[[#All],[STAFF:]],$A37,Jan_Period_2_Tbl[[#All],[$ CLASS PAY]])+
SUMIF(Feb_Period_2_Tbl[[#All],[STAFF:]],$A37,Feb_Period_2_Tbl[[#All],[$ CLASS PAY]])+SUMIF(Mar_Period_2_Tbl[[#All],[STAFF:]],$A37,Mar_Period_2_Tbl[[#All],[$ CLASS PAY]])+SUMIF(Apr_Period_2_Tbl[[#All],[STAFF:]],$A37,Apr_Period_2_Tbl[[#All],[$ CLASS PAY]])+   SUMIF(May_Period_2_Tbl[[#All],[STAFF:]],$A37,May_Period_2_Tbl[[#All],[$ CLASS PAY]])+   SUMIF(Jun_Period_2_Tbl[[#All],[STAFF:]],$A37,Jun_Period_2_Tbl[[#All],[$ CLASS PAY]])+  SUMIF(Jul_Period_2_Tbl[[#All],[STAFF:]],$A37,Jul_Period_2_Tbl[[#All],[$ CLASS PAY]])+  SUMIF(Aug_Period_2_Tbl[[#All],[STAFF:]],$A37,Aug_Period_2_Tbl[[#All],[$ CLASS PAY]])+  SUMIF(Sep_Period_2_Tbl[[#All],[STAFF:]],$A37,Sep_Period_2_Tbl[[#All],[$ CLASS PAY]])+  SUMIF(Oct_Period_2_Tbl[[#All],[STAFF:]],$A37,Oct_Period_2_Tbl[[#All],[$ CLASS PAY]])+     SUMIF(Nov_Period_2_Tbl[[#All],[STAFF:]],$A37,Nov_Period_2_Tbl[[#All],[$ CLASS PAY]])+  SUMIF(Dec_Period_2_Tbl[[#All],[STAFF:]],$A37,Dec_Period_2_Tbl[[#All],[$ CLASS PAY]]))</f>
        <v>0</v>
      </c>
      <c r="O37" s="191">
        <f>(SUMIF(Jan_Period_1_Tbl[[#All],[STAFF:]],$A37,Jan_Period_1_Tbl[[#All],[$ BONUS PAY]])+
SUMIF(Feb_Period_1_Tbl[[#All],[STAFF:]],$A37,Feb_Period_1_Tbl[[#All],[$ BONUS PAY]])+SUMIF(Mar_Period_1_Tbl[[#All],[STAFF:]],$A37,Mar_Period_1_Tbl[[#All],[$ BONUS PAY]])+SUMIF(Apr_Period_1_Tbl[[#All],[STAFF:]],$A37,Apr_Period_1_Tbl[[#All],[$ BONUS PAY]])+   SUMIF(May_Period_1_Tbl[[#All],[STAFF:]],$A37,May_Period_1_Tbl[[#All],[$ BONUS PAY]])+   SUMIF(Jun_Period_1_Tbl[[#All],[STAFF:]],$A37,Jun_Period_1_Tbl[[#All],[$ BONUS PAY]])+  SUMIF(Jul_Period_1_Tbl[[#All],[STAFF:]],$A37,Jul_Period_1_Tbl[[#All],[$ BONUS PAY]])+  SUMIF(Aug_Period_1_Tbl[[#All],[STAFF:]],$A37,Aug_Period_1_Tbl[[#All],[$ BONUS PAY]])+  SUMIF(Sep_Period_1_Tbl[[#All],[STAFF:]],$A37,Sep_Period_1_Tbl[[#All],[$ BONUS PAY]])+  SUMIF(Oct_Period_1_Tbl[[#All],[STAFF:]],$A37,Oct_Period_1_Tbl[[#All],[$ BONUS PAY]])+     SUMIF(Nov_Period_1_Tbl[[#All],[STAFF:]],$A37,Nov_Period_1_Tbl[[#All],[$ BONUS PAY]])+  SUMIF(Dec_Period_1_Tbl[[#All],[STAFF:]],$A37,Dec_Period_1_Tbl[[#All],[$ BONUS PAY]]))+   (SUMIF(Jan_Period_2_Tbl[[#All],[STAFF:]],$A37,Jan_Period_2_Tbl[[#All],[$ BONUS PAY]])+
SUMIF(Feb_Period_2_Tbl[[#All],[STAFF:]],$A37,Feb_Period_2_Tbl[[#All],[$ BONUS PAY]])+SUMIF(Mar_Period_2_Tbl[[#All],[STAFF:]],$A37,Mar_Period_2_Tbl[[#All],[$ BONUS PAY]])+SUMIF(Apr_Period_2_Tbl[[#All],[STAFF:]],$A37,Apr_Period_2_Tbl[[#All],[$ BONUS PAY]])+   SUMIF(May_Period_2_Tbl[[#All],[STAFF:]],$A37,May_Period_2_Tbl[[#All],[$ BONUS PAY]])+   SUMIF(Jun_Period_2_Tbl[[#All],[STAFF:]],$A37,Jun_Period_2_Tbl[[#All],[$ BONUS PAY]])+  SUMIF(Jul_Period_2_Tbl[[#All],[STAFF:]],$A37,Jul_Period_2_Tbl[[#All],[$ BONUS PAY]])+  SUMIF(Aug_Period_2_Tbl[[#All],[STAFF:]],$A37,Aug_Period_2_Tbl[[#All],[$ BONUS PAY]])+  SUMIF(Sep_Period_2_Tbl[[#All],[STAFF:]],$A37,Sep_Period_2_Tbl[[#All],[$ BONUS PAY]])+  SUMIF(Oct_Period_2_Tbl[[#All],[STAFF:]],$A37,Oct_Period_2_Tbl[[#All],[$ BONUS PAY]])+     SUMIF(Nov_Period_2_Tbl[[#All],[STAFF:]],$A37,Nov_Period_2_Tbl[[#All],[$ BONUS PAY]])+  SUMIF(Dec_Period_2_Tbl[[#All],[STAFF:]],$A37,Dec_Period_2_Tbl[[#All],[$ BONUS PAY]]))</f>
        <v>0</v>
      </c>
      <c r="P37" s="179">
        <f t="shared" si="9"/>
        <v>0</v>
      </c>
      <c r="Q37" s="149"/>
      <c r="R37" s="153">
        <f>(SUMIF(Jan_Period_1_Tbl[[#All],[STAFF:]],$A37,Jan_Period_1_Tbl[[#All],['# POINTS EARNED]])+
SUMIF(Feb_Period_1_Tbl[[#All],[STAFF:]],$A37,Feb_Period_1_Tbl[[#All],['# POINTS EARNED]])+SUMIF(Mar_Period_1_Tbl[[#All],[STAFF:]],$A37,Mar_Period_1_Tbl[[#All],['# POINTS EARNED]])+SUMIF(Apr_Period_1_Tbl[[#All],[STAFF:]],$A37,Apr_Period_1_Tbl[[#All],['# POINTS EARNED]])+   SUMIF(May_Period_1_Tbl[[#All],[STAFF:]],$A37,May_Period_1_Tbl[[#All],['# POINTS EARNED]])+   SUMIF(Jun_Period_1_Tbl[[#All],[STAFF:]],$A37,Jun_Period_1_Tbl[[#All],['# POINTS EARNED]])+  SUMIF(Jul_Period_1_Tbl[[#All],[STAFF:]],$A37,Jul_Period_1_Tbl[[#All],['# POINTS EARNED]])+  SUMIF(Aug_Period_1_Tbl[[#All],[STAFF:]],$A37,Aug_Period_1_Tbl[[#All],['# POINTS EARNED]])+  SUMIF(Sep_Period_1_Tbl[[#All],[STAFF:]],$A37,Sep_Period_1_Tbl[[#All],['# POINTS EARNED]])+  SUMIF(Oct_Period_1_Tbl[[#All],[STAFF:]],$A37,Oct_Period_1_Tbl[[#All],['# POINTS EARNED]])+     SUMIF(Nov_Period_1_Tbl[[#All],[STAFF:]],$A37,Nov_Period_1_Tbl[[#All],['# POINTS EARNED]])+  SUMIF(Dec_Period_1_Tbl[[#All],[STAFF:]],$A37,Dec_Period_1_Tbl[[#All],['# POINTS EARNED]]))+   (SUMIF(Jan_Period_2_Tbl[[#All],[STAFF:]],$A37,Jan_Period_2_Tbl[[#All],['# POINTS EARNED]])+
SUMIF(Feb_Period_2_Tbl[[#All],[STAFF:]],$A37,Feb_Period_2_Tbl[[#All],['# POINTS EARNED]])+SUMIF(Mar_Period_2_Tbl[[#All],[STAFF:]],$A37,Mar_Period_2_Tbl[[#All],['# POINTS EARNED]])+SUMIF(Apr_Period_2_Tbl[[#All],[STAFF:]],$A37,Apr_Period_2_Tbl[[#All],['# POINTS EARNED]])+   SUMIF(May_Period_2_Tbl[[#All],[STAFF:]],$A37,May_Period_2_Tbl[[#All],['# POINTS EARNED]])+   SUMIF(Jun_Period_2_Tbl[[#All],[STAFF:]],$A37,Jun_Period_2_Tbl[[#All],['# POINTS EARNED]])+  SUMIF(Jul_Period_2_Tbl[[#All],[STAFF:]],$A37,Jul_Period_2_Tbl[[#All],['# POINTS EARNED]])+  SUMIF(Aug_Period_2_Tbl[[#All],[STAFF:]],$A37,Aug_Period_2_Tbl[[#All],['# POINTS EARNED]])+  SUMIF(Sep_Period_2_Tbl[[#All],[STAFF:]],$A37,Sep_Period_2_Tbl[[#All],['# POINTS EARNED]])+  SUMIF(Oct_Period_2_Tbl[[#All],[STAFF:]],$A37,Oct_Period_2_Tbl[[#All],['# POINTS EARNED]])+     SUMIF(Nov_Period_2_Tbl[[#All],[STAFF:]],$A37,Nov_Period_2_Tbl[[#All],['# POINTS EARNED]])+  SUMIF(Dec_Period_2_Tbl[[#All],[STAFF:]],$A37,Dec_Period_2_Tbl[[#All],['# POINTS EARNED]]))</f>
        <v>0</v>
      </c>
      <c r="S37" s="153">
        <f>(SUMIF(Jan_Period_1_Tbl[[#All],[STAFF:]],$A37,Jan_Period_1_Tbl[[#All],['# POINTS USED]])+
SUMIF(Feb_Period_1_Tbl[[#All],[STAFF:]],$A37,Feb_Period_1_Tbl[[#All],['# POINTS USED]])+SUMIF(Mar_Period_1_Tbl[[#All],[STAFF:]],$A37,Mar_Period_1_Tbl[[#All],['# POINTS USED]])+SUMIF(Apr_Period_1_Tbl[[#All],[STAFF:]],$A37,Apr_Period_1_Tbl[[#All],['# POINTS USED]])+   SUMIF(May_Period_1_Tbl[[#All],[STAFF:]],$A37,May_Period_1_Tbl[[#All],['# POINTS USED]])+   SUMIF(Jun_Period_1_Tbl[[#All],[STAFF:]],$A37,Jun_Period_1_Tbl[[#All],['# POINTS USED]])+  SUMIF(Jul_Period_1_Tbl[[#All],[STAFF:]],$A37,Jul_Period_1_Tbl[[#All],['# POINTS USED]])+  SUMIF(Aug_Period_1_Tbl[[#All],[STAFF:]],$A37,Aug_Period_1_Tbl[[#All],['# POINTS USED]])+  SUMIF(Sep_Period_1_Tbl[[#All],[STAFF:]],$A37,Sep_Period_1_Tbl[[#All],['# POINTS USED]])+  SUMIF(Oct_Period_1_Tbl[[#All],[STAFF:]],$A37,Oct_Period_1_Tbl[[#All],['# POINTS USED]])+     SUMIF(Nov_Period_1_Tbl[[#All],[STAFF:]],$A37,Nov_Period_1_Tbl[[#All],['# POINTS USED]])+  SUMIF(Dec_Period_1_Tbl[[#All],[STAFF:]],$A37,Dec_Period_1_Tbl[[#All],['# POINTS USED]]))+   (SUMIF(Jan_Period_2_Tbl[[#All],[STAFF:]],$A37,Jan_Period_2_Tbl[[#All],['# POINTS USED]])+
SUMIF(Feb_Period_2_Tbl[[#All],[STAFF:]],$A37,Feb_Period_2_Tbl[[#All],['# POINTS USED]])+SUMIF(Mar_Period_2_Tbl[[#All],[STAFF:]],$A37,Mar_Period_2_Tbl[[#All],['# POINTS USED]])+SUMIF(Apr_Period_2_Tbl[[#All],[STAFF:]],$A37,Apr_Period_2_Tbl[[#All],['# POINTS USED]])+   SUMIF(May_Period_2_Tbl[[#All],[STAFF:]],$A37,May_Period_2_Tbl[[#All],['# POINTS USED]])+   SUMIF(Jun_Period_2_Tbl[[#All],[STAFF:]],$A37,Jun_Period_2_Tbl[[#All],['# POINTS USED]])+  SUMIF(Jul_Period_2_Tbl[[#All],[STAFF:]],$A37,Jul_Period_2_Tbl[[#All],['# POINTS USED]])+  SUMIF(Aug_Period_2_Tbl[[#All],[STAFF:]],$A37,Aug_Period_2_Tbl[[#All],['# POINTS USED]])+  SUMIF(Sep_Period_2_Tbl[[#All],[STAFF:]],$A37,Sep_Period_2_Tbl[[#All],['# POINTS USED]])+  SUMIF(Oct_Period_2_Tbl[[#All],[STAFF:]],$A37,Oct_Period_2_Tbl[[#All],['# POINTS USED]])+     SUMIF(Nov_Period_2_Tbl[[#All],[STAFF:]],$A37,Nov_Period_2_Tbl[[#All],['# POINTS USED]])+  SUMIF(Dec_Period_2_Tbl[[#All],[STAFF:]],$A37,Dec_Period_2_Tbl[[#All],['# POINTS USED]]))</f>
        <v>0</v>
      </c>
      <c r="T37" s="153">
        <f>(SUMIF(Jan_Period_1_Tbl[[#All],[STAFF:]],$A37,Jan_Period_1_Tbl[[#All],['# CLASSES LEAD]])+
SUMIF(Feb_Period_1_Tbl[[#All],[STAFF:]],$A37,Feb_Period_1_Tbl[[#All],['# CLASSES LEAD]])+SUMIF(Mar_Period_1_Tbl[[#All],[STAFF:]],$A37,Mar_Period_1_Tbl[[#All],['# CLASSES LEAD]])+SUMIF(Apr_Period_1_Tbl[[#All],[STAFF:]],$A37,Apr_Period_1_Tbl[[#All],['# CLASSES LEAD]])+   SUMIF(May_Period_1_Tbl[[#All],[STAFF:]],$A37,May_Period_1_Tbl[[#All],['# CLASSES LEAD]])+   SUMIF(Jun_Period_1_Tbl[[#All],[STAFF:]],$A37,Jun_Period_1_Tbl[[#All],['# CLASSES LEAD]])+  SUMIF(Jul_Period_1_Tbl[[#All],[STAFF:]],$A37,Jul_Period_1_Tbl[[#All],['# CLASSES LEAD]])+  SUMIF(Aug_Period_1_Tbl[[#All],[STAFF:]],$A37,Aug_Period_1_Tbl[[#All],['# CLASSES LEAD]])+  SUMIF(Sep_Period_1_Tbl[[#All],[STAFF:]],$A37,Sep_Period_1_Tbl[[#All],['# CLASSES LEAD]])+  SUMIF(Oct_Period_1_Tbl[[#All],[STAFF:]],$A37,Oct_Period_1_Tbl[[#All],['# CLASSES LEAD]])+     SUMIF(Nov_Period_1_Tbl[[#All],[STAFF:]],$A37,Nov_Period_1_Tbl[[#All],['# CLASSES LEAD]])+  SUMIF(Dec_Period_1_Tbl[[#All],[STAFF:]],$A37,Dec_Period_1_Tbl[[#All],['# CLASSES LEAD]]))+   (SUMIF(Jan_Period_2_Tbl[[#All],[STAFF:]],$A37,Jan_Period_2_Tbl[[#All],['# CLASSES LEAD]])+
SUMIF(Feb_Period_2_Tbl[[#All],[STAFF:]],$A37,Feb_Period_2_Tbl[[#All],['# CLASSES LEAD]])+SUMIF(Mar_Period_2_Tbl[[#All],[STAFF:]],$A37,Mar_Period_2_Tbl[[#All],['# CLASSES LEAD]])+SUMIF(Apr_Period_2_Tbl[[#All],[STAFF:]],$A37,Apr_Period_2_Tbl[[#All],['# CLASSES LEAD]])+   SUMIF(May_Period_2_Tbl[[#All],[STAFF:]],$A37,May_Period_2_Tbl[[#All],['# CLASSES LEAD]])+   SUMIF(Jun_Period_2_Tbl[[#All],[STAFF:]],$A37,Jun_Period_2_Tbl[[#All],['# CLASSES LEAD]])+  SUMIF(Jul_Period_2_Tbl[[#All],[STAFF:]],$A37,Jul_Period_2_Tbl[[#All],['# CLASSES LEAD]])+  SUMIF(Aug_Period_2_Tbl[[#All],[STAFF:]],$A37,Aug_Period_2_Tbl[[#All],['# CLASSES LEAD]])+  SUMIF(Sep_Period_2_Tbl[[#All],[STAFF:]],$A37,Sep_Period_2_Tbl[[#All],['# CLASSES LEAD]])+  SUMIF(Oct_Period_2_Tbl[[#All],[STAFF:]],$A37,Oct_Period_2_Tbl[[#All],['# CLASSES LEAD]])+     SUMIF(Nov_Period_2_Tbl[[#All],[STAFF:]],$A37,Nov_Period_2_Tbl[[#All],['# CLASSES LEAD]])+  SUMIF(Dec_Period_2_Tbl[[#All],[STAFF:]],$A37,Dec_Period_2_Tbl[[#All],['# CLASSES LEAD]]))</f>
        <v>0</v>
      </c>
      <c r="U37" s="153">
        <f>(SUMIF(Jan_Period_1_Tbl[[#All],[STAFF:]],$A37,Jan_Period_1_Tbl[[#All],['# CLASSES SHOW]])+
SUMIF(Feb_Period_1_Tbl[[#All],[STAFF:]],$A37,Feb_Period_1_Tbl[[#All],['# CLASSES SHOW]])+SUMIF(Mar_Period_1_Tbl[[#All],[STAFF:]],$A37,Mar_Period_1_Tbl[[#All],['# CLASSES SHOW]])+SUMIF(Apr_Period_1_Tbl[[#All],[STAFF:]],$A37,Apr_Period_1_Tbl[[#All],['# CLASSES SHOW]])+   SUMIF(May_Period_1_Tbl[[#All],[STAFF:]],$A37,May_Period_1_Tbl[[#All],['# CLASSES SHOW]])+   SUMIF(Jun_Period_1_Tbl[[#All],[STAFF:]],$A37,Jun_Period_1_Tbl[[#All],['# CLASSES SHOW]])+  SUMIF(Jul_Period_1_Tbl[[#All],[STAFF:]],$A37,Jul_Period_1_Tbl[[#All],['# CLASSES SHOW]])+  SUMIF(Aug_Period_1_Tbl[[#All],[STAFF:]],$A37,Aug_Period_1_Tbl[[#All],['# CLASSES SHOW]])+  SUMIF(Sep_Period_1_Tbl[[#All],[STAFF:]],$A37,Sep_Period_1_Tbl[[#All],['# CLASSES SHOW]])+  SUMIF(Oct_Period_1_Tbl[[#All],[STAFF:]],$A37,Oct_Period_1_Tbl[[#All],['# CLASSES SHOW]])+     SUMIF(Nov_Period_1_Tbl[[#All],[STAFF:]],$A37,Nov_Period_1_Tbl[[#All],['# CLASSES SHOW]])+  SUMIF(Dec_Period_1_Tbl[[#All],[STAFF:]],$A37,Dec_Period_1_Tbl[[#All],['# CLASSES SHOW]]))+   (SUMIF(Jan_Period_2_Tbl[[#All],[STAFF:]],$A37,Jan_Period_2_Tbl[[#All],['# CLASSES SHOW]])+
SUMIF(Feb_Period_2_Tbl[[#All],[STAFF:]],$A37,Feb_Period_2_Tbl[[#All],['# CLASSES SHOW]])+SUMIF(Mar_Period_2_Tbl[[#All],[STAFF:]],$A37,Mar_Period_2_Tbl[[#All],['# CLASSES SHOW]])+SUMIF(Apr_Period_2_Tbl[[#All],[STAFF:]],$A37,Apr_Period_2_Tbl[[#All],['# CLASSES SHOW]])+   SUMIF(May_Period_2_Tbl[[#All],[STAFF:]],$A37,May_Period_2_Tbl[[#All],['# CLASSES SHOW]])+   SUMIF(Jun_Period_2_Tbl[[#All],[STAFF:]],$A37,Jun_Period_2_Tbl[[#All],['# CLASSES SHOW]])+  SUMIF(Jul_Period_2_Tbl[[#All],[STAFF:]],$A37,Jul_Period_2_Tbl[[#All],['# CLASSES SHOW]])+  SUMIF(Aug_Period_2_Tbl[[#All],[STAFF:]],$A37,Aug_Period_2_Tbl[[#All],['# CLASSES SHOW]])+  SUMIF(Sep_Period_2_Tbl[[#All],[STAFF:]],$A37,Sep_Period_2_Tbl[[#All],['# CLASSES SHOW]])+  SUMIF(Oct_Period_2_Tbl[[#All],[STAFF:]],$A37,Oct_Period_2_Tbl[[#All],['# CLASSES SHOW]])+     SUMIF(Nov_Period_2_Tbl[[#All],[STAFF:]],$A37,Nov_Period_2_Tbl[[#All],['# CLASSES SHOW]])+  SUMIF(Dec_Period_2_Tbl[[#All],[STAFF:]],$A37,Dec_Period_2_Tbl[[#All],['# CLASSES SHOW]]))</f>
        <v>0</v>
      </c>
      <c r="V37" s="156"/>
      <c r="W37" s="156"/>
      <c r="X37" s="155">
        <f t="shared" si="10"/>
        <v>0</v>
      </c>
      <c r="Y37" s="155">
        <f t="shared" si="11"/>
        <v>0</v>
      </c>
      <c r="Z37" s="155">
        <f t="shared" si="12"/>
        <v>0</v>
      </c>
      <c r="AA37" s="155">
        <f t="shared" si="13"/>
        <v>0</v>
      </c>
      <c r="AB37" s="155">
        <f t="shared" si="14"/>
        <v>0</v>
      </c>
      <c r="AC37" s="155">
        <f t="shared" si="15"/>
        <v>0</v>
      </c>
      <c r="AD37" s="155">
        <f t="shared" si="16"/>
        <v>0</v>
      </c>
      <c r="AE37" s="149"/>
      <c r="AF37" s="149"/>
      <c r="AG37" s="149"/>
      <c r="AH37" s="149"/>
      <c r="AJ37" s="75" t="str">
        <f t="shared" si="17"/>
        <v>zBlank</v>
      </c>
      <c r="AK37" s="210"/>
      <c r="AL37" s="168">
        <f>IFERROR(VLOOKUP(B37,List!$A:$B,2,FALSE),-1)</f>
        <v>-1</v>
      </c>
      <c r="AM37" s="168">
        <f>IFERROR(VLOOKUP(C37,List!$A:$B,2,FALSE),-1)</f>
        <v>-1</v>
      </c>
    </row>
    <row r="38" spans="1:39" ht="15" hidden="1" customHeight="1" x14ac:dyDescent="0.25">
      <c r="A38" s="20"/>
      <c r="B38" s="186"/>
      <c r="C38" s="186"/>
      <c r="D38" s="187"/>
      <c r="E38" s="188">
        <f>(SUMIF(Jan_Period_1_Tbl[[#All],[STAFF:]],$A38,Jan_Period_1_Tbl[[#All],['# PTO USED]])+
SUMIF(Feb_Period_1_Tbl[[#All],[STAFF:]],$A38,Feb_Period_1_Tbl[[#All],['# PTO USED]])+SUMIF(Mar_Period_1_Tbl[[#All],[STAFF:]],$A38,Mar_Period_1_Tbl[[#All],['# PTO USED]])+SUMIF(Apr_Period_1_Tbl[[#All],[STAFF:]],$A38,Apr_Period_1_Tbl[[#All],['# PTO USED]])+   SUMIF(May_Period_1_Tbl[[#All],[STAFF:]],$A38,May_Period_1_Tbl[[#All],['# PTO USED]])+   SUMIF(Jun_Period_1_Tbl[[#All],[STAFF:]],$A38,Jun_Period_1_Tbl[[#All],['# PTO USED]])+  SUMIF(Jul_Period_1_Tbl[[#All],[STAFF:]],$A38,Jul_Period_1_Tbl[[#All],['# PTO USED]])+  SUMIF(Aug_Period_1_Tbl[[#All],[STAFF:]],$A38,Aug_Period_1_Tbl[[#All],['# PTO USED]])+  SUMIF(Sep_Period_1_Tbl[[#All],[STAFF:]],$A38,Sep_Period_1_Tbl[[#All],['# PTO USED]])+  SUMIF(Oct_Period_1_Tbl[[#All],[STAFF:]],$A38,Oct_Period_1_Tbl[[#All],['# PTO USED]])+     SUMIF(Nov_Period_1_Tbl[[#All],[STAFF:]],$A38,Nov_Period_1_Tbl[[#All],['# PTO USED]])+  SUMIF(Dec_Period_1_Tbl[[#All],[STAFF:]],$A38,Dec_Period_1_Tbl[[#All],['# PTO USED]]))+   (SUMIF(Jan_Period_2_Tbl[[#All],[STAFF:]],$A38,Jan_Period_2_Tbl[[#All],['# PTO USED]])+
SUMIF(Feb_Period_2_Tbl[[#All],[STAFF:]],$A38,Feb_Period_2_Tbl[[#All],['# PTO USED]])+SUMIF(Mar_Period_2_Tbl[[#All],[STAFF:]],$A38,Mar_Period_2_Tbl[[#All],['# PTO USED]])+SUMIF(Apr_Period_2_Tbl[[#All],[STAFF:]],$A38,Apr_Period_2_Tbl[[#All],['# PTO USED]])+   SUMIF(May_Period_2_Tbl[[#All],[STAFF:]],$A38,May_Period_2_Tbl[[#All],['# PTO USED]])+   SUMIF(Jun_Period_2_Tbl[[#All],[STAFF:]],$A38,Jun_Period_2_Tbl[[#All],['# PTO USED]])+  SUMIF(Jul_Period_2_Tbl[[#All],[STAFF:]],$A38,Jul_Period_2_Tbl[[#All],['# PTO USED]])+  SUMIF(Aug_Period_2_Tbl[[#All],[STAFF:]],$A38,Aug_Period_2_Tbl[[#All],['# PTO USED]])+  SUMIF(Sep_Period_2_Tbl[[#All],[STAFF:]],$A38,Sep_Period_2_Tbl[[#All],['# PTO USED]])+  SUMIF(Oct_Period_2_Tbl[[#All],[STAFF:]],$A38,Oct_Period_2_Tbl[[#All],['# PTO USED]])+     SUMIF(Nov_Period_2_Tbl[[#All],[STAFF:]],$A38,Nov_Period_2_Tbl[[#All],['# PTO USED]])+  SUMIF(Dec_Period_2_Tbl[[#All],[STAFF:]],$A38,Dec_Period_2_Tbl[[#All],['# PTO USED]]))</f>
        <v>0</v>
      </c>
      <c r="F38" s="189">
        <f>(SUMIF(Jan_Period_1_Tbl[[#All],[STAFF:]],$A38,Jan_Period_1_Tbl[[#All],['# HRS WORKED]])+
SUMIF(Feb_Period_1_Tbl[[#All],[STAFF:]],$A38,Feb_Period_1_Tbl[[#All],['# HRS WORKED]])+SUMIF(Mar_Period_1_Tbl[[#All],[STAFF:]],$A38,Mar_Period_1_Tbl[[#All],['# HRS WORKED]])+SUMIF(Apr_Period_1_Tbl[[#All],[STAFF:]],$A38,Apr_Period_1_Tbl[[#All],['# HRS WORKED]])+   SUMIF(May_Period_1_Tbl[[#All],[STAFF:]],$A38,May_Period_1_Tbl[[#All],['# HRS WORKED]])+   SUMIF(Jun_Period_1_Tbl[[#All],[STAFF:]],$A38,Jun_Period_1_Tbl[[#All],['# HRS WORKED]])+  SUMIF(Jul_Period_1_Tbl[[#All],[STAFF:]],$A38,Jul_Period_1_Tbl[[#All],['# HRS WORKED]])+  SUMIF(Aug_Period_1_Tbl[[#All],[STAFF:]],$A38,Aug_Period_1_Tbl[[#All],['# HRS WORKED]])+  SUMIF(Sep_Period_1_Tbl[[#All],[STAFF:]],$A38,Sep_Period_1_Tbl[[#All],['# HRS WORKED]])+  SUMIF(Oct_Period_1_Tbl[[#All],[STAFF:]],$A38,Oct_Period_1_Tbl[[#All],['# HRS WORKED]])+     SUMIF(Nov_Period_1_Tbl[[#All],[STAFF:]],$A38,Nov_Period_1_Tbl[[#All],['# HRS WORKED]])+  SUMIF(Dec_Period_1_Tbl[[#All],[STAFF:]],$A38,Dec_Period_1_Tbl[[#All],['# HRS WORKED]]))+   (SUMIF(Jan_Period_2_Tbl[[#All],[STAFF:]],$A38,Jan_Period_2_Tbl[[#All],['# HRS WORKED]])+
SUMIF(Feb_Period_2_Tbl[[#All],[STAFF:]],$A38,Feb_Period_2_Tbl[[#All],['# HRS WORKED]])+SUMIF(Mar_Period_2_Tbl[[#All],[STAFF:]],$A38,Mar_Period_2_Tbl[[#All],['# HRS WORKED]])+SUMIF(Apr_Period_2_Tbl[[#All],[STAFF:]],$A38,Apr_Period_2_Tbl[[#All],['# HRS WORKED]])+   SUMIF(May_Period_2_Tbl[[#All],[STAFF:]],$A38,May_Period_2_Tbl[[#All],['# HRS WORKED]])+   SUMIF(Jun_Period_2_Tbl[[#All],[STAFF:]],$A38,Jun_Period_2_Tbl[[#All],['# HRS WORKED]])+  SUMIF(Jul_Period_2_Tbl[[#All],[STAFF:]],$A38,Jul_Period_2_Tbl[[#All],['# HRS WORKED]])+  SUMIF(Aug_Period_2_Tbl[[#All],[STAFF:]],$A38,Aug_Period_2_Tbl[[#All],['# HRS WORKED]])+  SUMIF(Sep_Period_2_Tbl[[#All],[STAFF:]],$A38,Sep_Period_2_Tbl[[#All],['# HRS WORKED]])+  SUMIF(Oct_Period_2_Tbl[[#All],[STAFF:]],$A38,Oct_Period_2_Tbl[[#All],['# HRS WORKED]])+     SUMIF(Nov_Period_2_Tbl[[#All],[STAFF:]],$A38,Nov_Period_2_Tbl[[#All],['# HRS WORKED]])+  SUMIF(Dec_Period_2_Tbl[[#All],[STAFF:]],$A38,Dec_Period_2_Tbl[[#All],['# HRS WORKED]]))</f>
        <v>0</v>
      </c>
      <c r="G38" s="190">
        <f>(SUMIF(Jan_Period_1_Tbl[[#All],[STAFF:]],$A38,Jan_Period_1_Tbl[[#All],[$ Hourly WAGES]])+
SUMIF(Feb_Period_1_Tbl[[#All],[STAFF:]],$A38,Feb_Period_1_Tbl[[#All],[$ Hourly WAGES]])+SUMIF(Mar_Period_1_Tbl[[#All],[STAFF:]],$A38,Mar_Period_1_Tbl[[#All],[$ Hourly WAGES]])+SUMIF(Apr_Period_1_Tbl[[#All],[STAFF:]],$A38,Apr_Period_1_Tbl[[#All],[$ Hourly WAGES]])+   SUMIF(May_Period_1_Tbl[[#All],[STAFF:]],$A38,May_Period_1_Tbl[[#All],[$ Hourly WAGES]])+   SUMIF(Jun_Period_1_Tbl[[#All],[STAFF:]],$A38,Jun_Period_1_Tbl[[#All],[$ Hourly WAGES]])+  SUMIF(Jul_Period_1_Tbl[[#All],[STAFF:]],$A38,Jul_Period_1_Tbl[[#All],[$ Hourly WAGES]])+  SUMIF(Aug_Period_1_Tbl[[#All],[STAFF:]],$A38,Aug_Period_1_Tbl[[#All],[$ Hourly WAGES]])+  SUMIF(Sep_Period_1_Tbl[[#All],[STAFF:]],$A38,Sep_Period_1_Tbl[[#All],[$ Hourly WAGES]])+  SUMIF(Oct_Period_1_Tbl[[#All],[STAFF:]],$A38,Oct_Period_1_Tbl[[#All],[$ Hourly WAGES]])+     SUMIF(Nov_Period_1_Tbl[[#All],[STAFF:]],$A38,Nov_Period_1_Tbl[[#All],[$ Hourly WAGES]])+  SUMIF(Dec_Period_1_Tbl[[#All],[STAFF:]],$A38,Dec_Period_1_Tbl[[#All],[$ Hourly WAGES]]))+   (SUMIF(Jan_Period_2_Tbl[[#All],[STAFF:]],$A38,Jan_Period_2_Tbl[[#All],[$ Hourly WAGES]])+
SUMIF(Feb_Period_2_Tbl[[#All],[STAFF:]],$A38,Feb_Period_2_Tbl[[#All],[$ Hourly WAGES]])+SUMIF(Mar_Period_2_Tbl[[#All],[STAFF:]],$A38,Mar_Period_2_Tbl[[#All],[$ Hourly WAGES]])+SUMIF(Apr_Period_2_Tbl[[#All],[STAFF:]],$A38,Apr_Period_2_Tbl[[#All],[$ Hourly WAGES]])+   SUMIF(May_Period_2_Tbl[[#All],[STAFF:]],$A38,May_Period_2_Tbl[[#All],[$ Hourly WAGES]])+   SUMIF(Jun_Period_2_Tbl[[#All],[STAFF:]],$A38,Jun_Period_2_Tbl[[#All],[$ Hourly WAGES]])+  SUMIF(Jul_Period_2_Tbl[[#All],[STAFF:]],$A38,Jul_Period_2_Tbl[[#All],[$ Hourly WAGES]])+  SUMIF(Aug_Period_2_Tbl[[#All],[STAFF:]],$A38,Aug_Period_2_Tbl[[#All],[$ Hourly WAGES]])+  SUMIF(Sep_Period_2_Tbl[[#All],[STAFF:]],$A38,Sep_Period_2_Tbl[[#All],[$ Hourly WAGES]])+  SUMIF(Oct_Period_2_Tbl[[#All],[STAFF:]],$A38,Oct_Period_2_Tbl[[#All],[$ Hourly WAGES]])+     SUMIF(Nov_Period_2_Tbl[[#All],[STAFF:]],$A38,Nov_Period_2_Tbl[[#All],[$ Hourly WAGES]])+  SUMIF(Dec_Period_2_Tbl[[#All],[STAFF:]],$A38,Dec_Period_2_Tbl[[#All],[$ Hourly WAGES]]))</f>
        <v>0</v>
      </c>
      <c r="H38" s="190">
        <f>(SUMIF(Jan_Period_1_Tbl[[#All],[STAFF:]],$A38,Jan_Period_1_Tbl[[#All],[$ SALARY]])+
SUMIF(Feb_Period_1_Tbl[[#All],[STAFF:]],$A38,Feb_Period_1_Tbl[[#All],[$ SALARY]])+SUMIF(Mar_Period_1_Tbl[[#All],[STAFF:]],$A38,Mar_Period_1_Tbl[[#All],[$ SALARY]])+SUMIF(Apr_Period_1_Tbl[[#All],[STAFF:]],$A38,Apr_Period_1_Tbl[[#All],[$ SALARY]])+   SUMIF(May_Period_1_Tbl[[#All],[STAFF:]],$A38,May_Period_1_Tbl[[#All],[$ SALARY]])+   SUMIF(Jun_Period_1_Tbl[[#All],[STAFF:]],$A38,Jun_Period_1_Tbl[[#All],[$ SALARY]])+  SUMIF(Jul_Period_1_Tbl[[#All],[STAFF:]],$A38,Jul_Period_1_Tbl[[#All],[$ SALARY]])+  SUMIF(Aug_Period_1_Tbl[[#All],[STAFF:]],$A38,Aug_Period_1_Tbl[[#All],[$ SALARY]])+  SUMIF(Sep_Period_1_Tbl[[#All],[STAFF:]],$A38,Sep_Period_1_Tbl[[#All],[$ SALARY]])+  SUMIF(Oct_Period_1_Tbl[[#All],[STAFF:]],$A38,Oct_Period_1_Tbl[[#All],[$ SALARY]])+     SUMIF(Nov_Period_1_Tbl[[#All],[STAFF:]],$A38,Nov_Period_1_Tbl[[#All],[$ SALARY]])+  SUMIF(Dec_Period_1_Tbl[[#All],[STAFF:]],$A38,Dec_Period_1_Tbl[[#All],[$ SALARY]]))+   (SUMIF(Jan_Period_2_Tbl[[#All],[STAFF:]],$A38,Jan_Period_2_Tbl[[#All],[$ SALARY]])+
SUMIF(Feb_Period_2_Tbl[[#All],[STAFF:]],$A38,Feb_Period_2_Tbl[[#All],[$ SALARY]])+SUMIF(Mar_Period_2_Tbl[[#All],[STAFF:]],$A38,Mar_Period_2_Tbl[[#All],[$ SALARY]])+SUMIF(Apr_Period_2_Tbl[[#All],[STAFF:]],$A38,Apr_Period_2_Tbl[[#All],[$ SALARY]])+   SUMIF(May_Period_2_Tbl[[#All],[STAFF:]],$A38,May_Period_2_Tbl[[#All],[$ SALARY]])+   SUMIF(Jun_Period_2_Tbl[[#All],[STAFF:]],$A38,Jun_Period_2_Tbl[[#All],[$ SALARY]])+  SUMIF(Jul_Period_2_Tbl[[#All],[STAFF:]],$A38,Jul_Period_2_Tbl[[#All],[$ SALARY]])+  SUMIF(Aug_Period_2_Tbl[[#All],[STAFF:]],$A38,Aug_Period_2_Tbl[[#All],[$ SALARY]])+  SUMIF(Sep_Period_2_Tbl[[#All],[STAFF:]],$A38,Sep_Period_2_Tbl[[#All],[$ SALARY]])+  SUMIF(Oct_Period_2_Tbl[[#All],[STAFF:]],$A38,Oct_Period_2_Tbl[[#All],[$ SALARY]])+     SUMIF(Nov_Period_2_Tbl[[#All],[STAFF:]],$A38,Nov_Period_2_Tbl[[#All],[$ SALARY]])+  SUMIF(Dec_Period_2_Tbl[[#All],[STAFF:]],$A38,Dec_Period_2_Tbl[[#All],[$ SALARY]]))</f>
        <v>0</v>
      </c>
      <c r="I38" s="190">
        <f>(SUMIF(Jan_Period_1_Tbl[[#All],[STAFF:]],$A38,Jan_Period_1_Tbl[[#All],[$ SALARY PT]])+
SUMIF(Feb_Period_1_Tbl[[#All],[STAFF:]],$A38,Feb_Period_1_Tbl[[#All],[$ SALARY PT]])+SUMIF(Mar_Period_1_Tbl[[#All],[STAFF:]],$A38,Mar_Period_1_Tbl[[#All],[$ SALARY PT]])+SUMIF(Apr_Period_1_Tbl[[#All],[STAFF:]],$A38,Apr_Period_1_Tbl[[#All],[$ SALARY PT]])+   SUMIF(May_Period_1_Tbl[[#All],[STAFF:]],$A38,May_Period_1_Tbl[[#All],[$ SALARY PT]])+   SUMIF(Jun_Period_1_Tbl[[#All],[STAFF:]],$A38,Jun_Period_1_Tbl[[#All],[$ SALARY PT]])+  SUMIF(Jul_Period_1_Tbl[[#All],[STAFF:]],$A38,Jul_Period_1_Tbl[[#All],[$ SALARY PT]])+  SUMIF(Aug_Period_1_Tbl[[#All],[STAFF:]],$A38,Aug_Period_1_Tbl[[#All],[$ SALARY PT]])+  SUMIF(Sep_Period_1_Tbl[[#All],[STAFF:]],$A38,Sep_Period_1_Tbl[[#All],[$ SALARY PT]])+  SUMIF(Oct_Period_1_Tbl[[#All],[STAFF:]],$A38,Oct_Period_1_Tbl[[#All],[$ SALARY PT]])+     SUMIF(Nov_Period_1_Tbl[[#All],[STAFF:]],$A38,Nov_Period_1_Tbl[[#All],[$ SALARY PT]])+  SUMIF(Dec_Period_1_Tbl[[#All],[STAFF:]],$A38,Dec_Period_1_Tbl[[#All],[$ SALARY PT]]))+   (SUMIF(Jan_Period_2_Tbl[[#All],[STAFF:]],$A38,Jan_Period_2_Tbl[[#All],[$ SALARY PT]])+
SUMIF(Feb_Period_2_Tbl[[#All],[STAFF:]],$A38,Feb_Period_2_Tbl[[#All],[$ SALARY PT]])+SUMIF(Mar_Period_2_Tbl[[#All],[STAFF:]],$A38,Mar_Period_2_Tbl[[#All],[$ SALARY PT]])+SUMIF(Apr_Period_2_Tbl[[#All],[STAFF:]],$A38,Apr_Period_2_Tbl[[#All],[$ SALARY PT]])+   SUMIF(May_Period_2_Tbl[[#All],[STAFF:]],$A38,May_Period_2_Tbl[[#All],[$ SALARY PT]])+   SUMIF(Jun_Period_2_Tbl[[#All],[STAFF:]],$A38,Jun_Period_2_Tbl[[#All],[$ SALARY PT]])+  SUMIF(Jul_Period_2_Tbl[[#All],[STAFF:]],$A38,Jul_Period_2_Tbl[[#All],[$ SALARY PT]])+  SUMIF(Aug_Period_2_Tbl[[#All],[STAFF:]],$A38,Aug_Period_2_Tbl[[#All],[$ SALARY PT]])+  SUMIF(Sep_Period_2_Tbl[[#All],[STAFF:]],$A38,Sep_Period_2_Tbl[[#All],[$ SALARY PT]])+  SUMIF(Oct_Period_2_Tbl[[#All],[STAFF:]],$A38,Oct_Period_2_Tbl[[#All],[$ SALARY PT]])+     SUMIF(Nov_Period_2_Tbl[[#All],[STAFF:]],$A38,Nov_Period_2_Tbl[[#All],[$ SALARY PT]])+  SUMIF(Dec_Period_2_Tbl[[#All],[STAFF:]],$A38,Dec_Period_2_Tbl[[#All],[$ SALARY PT]]))</f>
        <v>0</v>
      </c>
      <c r="J38" s="190">
        <f>(SUMIF(Jan_Period_1_Tbl[[#All],[STAFF:]],$A38,Jan_Period_1_Tbl[[#All],[$ FREE PT]])+
SUMIF(Feb_Period_1_Tbl[[#All],[STAFF:]],$A38,Feb_Period_1_Tbl[[#All],[$ FREE PT]])+SUMIF(Mar_Period_1_Tbl[[#All],[STAFF:]],$A38,Mar_Period_1_Tbl[[#All],[$ FREE PT]])+SUMIF(Apr_Period_1_Tbl[[#All],[STAFF:]],$A38,Apr_Period_1_Tbl[[#All],[$ FREE PT]])+   SUMIF(May_Period_1_Tbl[[#All],[STAFF:]],$A38,May_Period_1_Tbl[[#All],[$ FREE PT]])+   SUMIF(Jun_Period_1_Tbl[[#All],[STAFF:]],$A38,Jun_Period_1_Tbl[[#All],[$ FREE PT]])+  SUMIF(Jul_Period_1_Tbl[[#All],[STAFF:]],$A38,Jul_Period_1_Tbl[[#All],[$ FREE PT]])+  SUMIF(Aug_Period_1_Tbl[[#All],[STAFF:]],$A38,Aug_Period_1_Tbl[[#All],[$ FREE PT]])+  SUMIF(Sep_Period_1_Tbl[[#All],[STAFF:]],$A38,Sep_Period_1_Tbl[[#All],[$ FREE PT]])+  SUMIF(Oct_Period_1_Tbl[[#All],[STAFF:]],$A38,Oct_Period_1_Tbl[[#All],[$ FREE PT]])+     SUMIF(Nov_Period_1_Tbl[[#All],[STAFF:]],$A38,Nov_Period_1_Tbl[[#All],[$ FREE PT]])+  SUMIF(Dec_Period_1_Tbl[[#All],[STAFF:]],$A38,Dec_Period_1_Tbl[[#All],[$ FREE PT]]))+   (SUMIF(Jan_Period_2_Tbl[[#All],[STAFF:]],$A38,Jan_Period_2_Tbl[[#All],[$ FREE PT]])+
SUMIF(Feb_Period_2_Tbl[[#All],[STAFF:]],$A38,Feb_Period_2_Tbl[[#All],[$ FREE PT]])+SUMIF(Mar_Period_2_Tbl[[#All],[STAFF:]],$A38,Mar_Period_2_Tbl[[#All],[$ FREE PT]])+SUMIF(Apr_Period_2_Tbl[[#All],[STAFF:]],$A38,Apr_Period_2_Tbl[[#All],[$ FREE PT]])+   SUMIF(May_Period_2_Tbl[[#All],[STAFF:]],$A38,May_Period_2_Tbl[[#All],[$ FREE PT]])+   SUMIF(Jun_Period_2_Tbl[[#All],[STAFF:]],$A38,Jun_Period_2_Tbl[[#All],[$ FREE PT]])+  SUMIF(Jul_Period_2_Tbl[[#All],[STAFF:]],$A38,Jul_Period_2_Tbl[[#All],[$ FREE PT]])+  SUMIF(Aug_Period_2_Tbl[[#All],[STAFF:]],$A38,Aug_Period_2_Tbl[[#All],[$ FREE PT]])+  SUMIF(Sep_Period_2_Tbl[[#All],[STAFF:]],$A38,Sep_Period_2_Tbl[[#All],[$ FREE PT]])+  SUMIF(Oct_Period_2_Tbl[[#All],[STAFF:]],$A38,Oct_Period_2_Tbl[[#All],[$ FREE PT]])+     SUMIF(Nov_Period_2_Tbl[[#All],[STAFF:]],$A38,Nov_Period_2_Tbl[[#All],[$ FREE PT]])+  SUMIF(Dec_Period_2_Tbl[[#All],[STAFF:]],$A38,Dec_Period_2_Tbl[[#All],[$ FREE PT]]))</f>
        <v>0</v>
      </c>
      <c r="K38" s="190">
        <f>(SUMIF(Jan_Period_1_Tbl[[#All],[STAFF:]],$A38,Jan_Period_1_Tbl[[#All],[$ PAID PT]])+
SUMIF(Feb_Period_1_Tbl[[#All],[STAFF:]],$A38,Feb_Period_1_Tbl[[#All],[$ PAID PT]])+SUMIF(Mar_Period_1_Tbl[[#All],[STAFF:]],$A38,Mar_Period_1_Tbl[[#All],[$ PAID PT]])+SUMIF(Apr_Period_1_Tbl[[#All],[STAFF:]],$A38,Apr_Period_1_Tbl[[#All],[$ PAID PT]])+   SUMIF(May_Period_1_Tbl[[#All],[STAFF:]],$A38,May_Period_1_Tbl[[#All],[$ PAID PT]])+   SUMIF(Jun_Period_1_Tbl[[#All],[STAFF:]],$A38,Jun_Period_1_Tbl[[#All],[$ PAID PT]])+  SUMIF(Jul_Period_1_Tbl[[#All],[STAFF:]],$A38,Jul_Period_1_Tbl[[#All],[$ PAID PT]])+  SUMIF(Aug_Period_1_Tbl[[#All],[STAFF:]],$A38,Aug_Period_1_Tbl[[#All],[$ PAID PT]])+  SUMIF(Sep_Period_1_Tbl[[#All],[STAFF:]],$A38,Sep_Period_1_Tbl[[#All],[$ PAID PT]])+  SUMIF(Oct_Period_1_Tbl[[#All],[STAFF:]],$A38,Oct_Period_1_Tbl[[#All],[$ PAID PT]])+     SUMIF(Nov_Period_1_Tbl[[#All],[STAFF:]],$A38,Nov_Period_1_Tbl[[#All],[$ PAID PT]])+  SUMIF(Dec_Period_1_Tbl[[#All],[STAFF:]],$A38,Dec_Period_1_Tbl[[#All],[$ PAID PT]]))+   (SUMIF(Jan_Period_2_Tbl[[#All],[STAFF:]],$A38,Jan_Period_2_Tbl[[#All],[$ PAID PT]])+
SUMIF(Feb_Period_2_Tbl[[#All],[STAFF:]],$A38,Feb_Period_2_Tbl[[#All],[$ PAID PT]])+SUMIF(Mar_Period_2_Tbl[[#All],[STAFF:]],$A38,Mar_Period_2_Tbl[[#All],[$ PAID PT]])+SUMIF(Apr_Period_2_Tbl[[#All],[STAFF:]],$A38,Apr_Period_2_Tbl[[#All],[$ PAID PT]])+   SUMIF(May_Period_2_Tbl[[#All],[STAFF:]],$A38,May_Period_2_Tbl[[#All],[$ PAID PT]])+   SUMIF(Jun_Period_2_Tbl[[#All],[STAFF:]],$A38,Jun_Period_2_Tbl[[#All],[$ PAID PT]])+  SUMIF(Jul_Period_2_Tbl[[#All],[STAFF:]],$A38,Jul_Period_2_Tbl[[#All],[$ PAID PT]])+  SUMIF(Aug_Period_2_Tbl[[#All],[STAFF:]],$A38,Aug_Period_2_Tbl[[#All],[$ PAID PT]])+  SUMIF(Sep_Period_2_Tbl[[#All],[STAFF:]],$A38,Sep_Period_2_Tbl[[#All],[$ PAID PT]])+  SUMIF(Oct_Period_2_Tbl[[#All],[STAFF:]],$A38,Oct_Period_2_Tbl[[#All],[$ PAID PT]])+     SUMIF(Nov_Period_2_Tbl[[#All],[STAFF:]],$A38,Nov_Period_2_Tbl[[#All],[$ PAID PT]])+  SUMIF(Dec_Period_2_Tbl[[#All],[STAFF:]],$A38,Dec_Period_2_Tbl[[#All],[$ PAID PT]]))</f>
        <v>0</v>
      </c>
      <c r="L38" s="190">
        <f>(SUMIF(Jan_Period_1_Tbl[[#All],[STAFF:]],$A38,Jan_Period_1_Tbl[[#All],[$ PT COMM]])+
SUMIF(Feb_Period_1_Tbl[[#All],[STAFF:]],$A38,Feb_Period_1_Tbl[[#All],[$ PT COMM]])+SUMIF(Mar_Period_1_Tbl[[#All],[STAFF:]],$A38,Mar_Period_1_Tbl[[#All],[$ PT COMM]])+SUMIF(Apr_Period_1_Tbl[[#All],[STAFF:]],$A38,Apr_Period_1_Tbl[[#All],[$ PT COMM]])+   SUMIF(May_Period_1_Tbl[[#All],[STAFF:]],$A38,May_Period_1_Tbl[[#All],[$ PT COMM]])+   SUMIF(Jun_Period_1_Tbl[[#All],[STAFF:]],$A38,Jun_Period_1_Tbl[[#All],[$ PT COMM]])+  SUMIF(Jul_Period_1_Tbl[[#All],[STAFF:]],$A38,Jul_Period_1_Tbl[[#All],[$ PT COMM]])+  SUMIF(Aug_Period_1_Tbl[[#All],[STAFF:]],$A38,Aug_Period_1_Tbl[[#All],[$ PT COMM]])+  SUMIF(Sep_Period_1_Tbl[[#All],[STAFF:]],$A38,Sep_Period_1_Tbl[[#All],[$ PT COMM]])+  SUMIF(Oct_Period_1_Tbl[[#All],[STAFF:]],$A38,Oct_Period_1_Tbl[[#All],[$ PT COMM]])+     SUMIF(Nov_Period_1_Tbl[[#All],[STAFF:]],$A38,Nov_Period_1_Tbl[[#All],[$ PT COMM]])+  SUMIF(Dec_Period_1_Tbl[[#All],[STAFF:]],$A38,Dec_Period_1_Tbl[[#All],[$ PT COMM]]))+   (SUMIF(Jan_Period_2_Tbl[[#All],[STAFF:]],$A38,Jan_Period_2_Tbl[[#All],[$ PT COMM]])+
SUMIF(Feb_Period_2_Tbl[[#All],[STAFF:]],$A38,Feb_Period_2_Tbl[[#All],[$ PT COMM]])+SUMIF(Mar_Period_2_Tbl[[#All],[STAFF:]],$A38,Mar_Period_2_Tbl[[#All],[$ PT COMM]])+SUMIF(Apr_Period_2_Tbl[[#All],[STAFF:]],$A38,Apr_Period_2_Tbl[[#All],[$ PT COMM]])+   SUMIF(May_Period_2_Tbl[[#All],[STAFF:]],$A38,May_Period_2_Tbl[[#All],[$ PT COMM]])+   SUMIF(Jun_Period_2_Tbl[[#All],[STAFF:]],$A38,Jun_Period_2_Tbl[[#All],[$ PT COMM]])+  SUMIF(Jul_Period_2_Tbl[[#All],[STAFF:]],$A38,Jul_Period_2_Tbl[[#All],[$ PT COMM]])+  SUMIF(Aug_Period_2_Tbl[[#All],[STAFF:]],$A38,Aug_Period_2_Tbl[[#All],[$ PT COMM]])+  SUMIF(Sep_Period_2_Tbl[[#All],[STAFF:]],$A38,Sep_Period_2_Tbl[[#All],[$ PT COMM]])+  SUMIF(Oct_Period_2_Tbl[[#All],[STAFF:]],$A38,Oct_Period_2_Tbl[[#All],[$ PT COMM]])+     SUMIF(Nov_Period_2_Tbl[[#All],[STAFF:]],$A38,Nov_Period_2_Tbl[[#All],[$ PT COMM]])+  SUMIF(Dec_Period_2_Tbl[[#All],[STAFF:]],$A38,Dec_Period_2_Tbl[[#All],[$ PT COMM]]))</f>
        <v>0</v>
      </c>
      <c r="M38" s="190">
        <f>(SUMIF(Jan_Period_1_Tbl[[#All],[STAFF:]],$A38,Jan_Period_1_Tbl[[#All],[$ EFT COMM]])+
SUMIF(Feb_Period_1_Tbl[[#All],[STAFF:]],$A38,Feb_Period_1_Tbl[[#All],[$ EFT COMM]])+SUMIF(Mar_Period_1_Tbl[[#All],[STAFF:]],$A38,Mar_Period_1_Tbl[[#All],[$ EFT COMM]])+SUMIF(Apr_Period_1_Tbl[[#All],[STAFF:]],$A38,Apr_Period_1_Tbl[[#All],[$ EFT COMM]])+   SUMIF(May_Period_1_Tbl[[#All],[STAFF:]],$A38,May_Period_1_Tbl[[#All],[$ EFT COMM]])+   SUMIF(Jun_Period_1_Tbl[[#All],[STAFF:]],$A38,Jun_Period_1_Tbl[[#All],[$ EFT COMM]])+  SUMIF(Jul_Period_1_Tbl[[#All],[STAFF:]],$A38,Jul_Period_1_Tbl[[#All],[$ EFT COMM]])+  SUMIF(Aug_Period_1_Tbl[[#All],[STAFF:]],$A38,Aug_Period_1_Tbl[[#All],[$ EFT COMM]])+  SUMIF(Sep_Period_1_Tbl[[#All],[STAFF:]],$A38,Sep_Period_1_Tbl[[#All],[$ EFT COMM]])+  SUMIF(Oct_Period_1_Tbl[[#All],[STAFF:]],$A38,Oct_Period_1_Tbl[[#All],[$ EFT COMM]])+     SUMIF(Nov_Period_1_Tbl[[#All],[STAFF:]],$A38,Nov_Period_1_Tbl[[#All],[$ EFT COMM]])+  SUMIF(Dec_Period_1_Tbl[[#All],[STAFF:]],$A38,Dec_Period_1_Tbl[[#All],[$ EFT COMM]]))+   (SUMIF(Jan_Period_2_Tbl[[#All],[STAFF:]],$A38,Jan_Period_2_Tbl[[#All],[$ EFT COMM]])+
SUMIF(Feb_Period_2_Tbl[[#All],[STAFF:]],$A38,Feb_Period_2_Tbl[[#All],[$ EFT COMM]])+SUMIF(Mar_Period_2_Tbl[[#All],[STAFF:]],$A38,Mar_Period_2_Tbl[[#All],[$ EFT COMM]])+SUMIF(Apr_Period_2_Tbl[[#All],[STAFF:]],$A38,Apr_Period_2_Tbl[[#All],[$ EFT COMM]])+   SUMIF(May_Period_2_Tbl[[#All],[STAFF:]],$A38,May_Period_2_Tbl[[#All],[$ EFT COMM]])+   SUMIF(Jun_Period_2_Tbl[[#All],[STAFF:]],$A38,Jun_Period_2_Tbl[[#All],[$ EFT COMM]])+  SUMIF(Jul_Period_2_Tbl[[#All],[STAFF:]],$A38,Jul_Period_2_Tbl[[#All],[$ EFT COMM]])+  SUMIF(Aug_Period_2_Tbl[[#All],[STAFF:]],$A38,Aug_Period_2_Tbl[[#All],[$ EFT COMM]])+  SUMIF(Sep_Period_2_Tbl[[#All],[STAFF:]],$A38,Sep_Period_2_Tbl[[#All],[$ EFT COMM]])+  SUMIF(Oct_Period_2_Tbl[[#All],[STAFF:]],$A38,Oct_Period_2_Tbl[[#All],[$ EFT COMM]])+     SUMIF(Nov_Period_2_Tbl[[#All],[STAFF:]],$A38,Nov_Period_2_Tbl[[#All],[$ EFT COMM]])+  SUMIF(Dec_Period_2_Tbl[[#All],[STAFF:]],$A38,Dec_Period_2_Tbl[[#All],[$ EFT COMM]]))</f>
        <v>0</v>
      </c>
      <c r="N38" s="190">
        <f>(SUMIF(Jan_Period_1_Tbl[[#All],[STAFF:]],$A38,Jan_Period_1_Tbl[[#All],[$ CLASS PAY]])+
SUMIF(Feb_Period_1_Tbl[[#All],[STAFF:]],$A38,Feb_Period_1_Tbl[[#All],[$ CLASS PAY]])+SUMIF(Mar_Period_1_Tbl[[#All],[STAFF:]],$A38,Mar_Period_1_Tbl[[#All],[$ CLASS PAY]])+SUMIF(Apr_Period_1_Tbl[[#All],[STAFF:]],$A38,Apr_Period_1_Tbl[[#All],[$ CLASS PAY]])+   SUMIF(May_Period_1_Tbl[[#All],[STAFF:]],$A38,May_Period_1_Tbl[[#All],[$ CLASS PAY]])+   SUMIF(Jun_Period_1_Tbl[[#All],[STAFF:]],$A38,Jun_Period_1_Tbl[[#All],[$ CLASS PAY]])+  SUMIF(Jul_Period_1_Tbl[[#All],[STAFF:]],$A38,Jul_Period_1_Tbl[[#All],[$ CLASS PAY]])+  SUMIF(Aug_Period_1_Tbl[[#All],[STAFF:]],$A38,Aug_Period_1_Tbl[[#All],[$ CLASS PAY]])+  SUMIF(Sep_Period_1_Tbl[[#All],[STAFF:]],$A38,Sep_Period_1_Tbl[[#All],[$ CLASS PAY]])+  SUMIF(Oct_Period_1_Tbl[[#All],[STAFF:]],$A38,Oct_Period_1_Tbl[[#All],[$ CLASS PAY]])+     SUMIF(Nov_Period_1_Tbl[[#All],[STAFF:]],$A38,Nov_Period_1_Tbl[[#All],[$ CLASS PAY]])+  SUMIF(Dec_Period_1_Tbl[[#All],[STAFF:]],$A38,Dec_Period_1_Tbl[[#All],[$ CLASS PAY]]))+   (SUMIF(Jan_Period_2_Tbl[[#All],[STAFF:]],$A38,Jan_Period_2_Tbl[[#All],[$ CLASS PAY]])+
SUMIF(Feb_Period_2_Tbl[[#All],[STAFF:]],$A38,Feb_Period_2_Tbl[[#All],[$ CLASS PAY]])+SUMIF(Mar_Period_2_Tbl[[#All],[STAFF:]],$A38,Mar_Period_2_Tbl[[#All],[$ CLASS PAY]])+SUMIF(Apr_Period_2_Tbl[[#All],[STAFF:]],$A38,Apr_Period_2_Tbl[[#All],[$ CLASS PAY]])+   SUMIF(May_Period_2_Tbl[[#All],[STAFF:]],$A38,May_Period_2_Tbl[[#All],[$ CLASS PAY]])+   SUMIF(Jun_Period_2_Tbl[[#All],[STAFF:]],$A38,Jun_Period_2_Tbl[[#All],[$ CLASS PAY]])+  SUMIF(Jul_Period_2_Tbl[[#All],[STAFF:]],$A38,Jul_Period_2_Tbl[[#All],[$ CLASS PAY]])+  SUMIF(Aug_Period_2_Tbl[[#All],[STAFF:]],$A38,Aug_Period_2_Tbl[[#All],[$ CLASS PAY]])+  SUMIF(Sep_Period_2_Tbl[[#All],[STAFF:]],$A38,Sep_Period_2_Tbl[[#All],[$ CLASS PAY]])+  SUMIF(Oct_Period_2_Tbl[[#All],[STAFF:]],$A38,Oct_Period_2_Tbl[[#All],[$ CLASS PAY]])+     SUMIF(Nov_Period_2_Tbl[[#All],[STAFF:]],$A38,Nov_Period_2_Tbl[[#All],[$ CLASS PAY]])+  SUMIF(Dec_Period_2_Tbl[[#All],[STAFF:]],$A38,Dec_Period_2_Tbl[[#All],[$ CLASS PAY]]))</f>
        <v>0</v>
      </c>
      <c r="O38" s="191">
        <f>(SUMIF(Jan_Period_1_Tbl[[#All],[STAFF:]],$A38,Jan_Period_1_Tbl[[#All],[$ BONUS PAY]])+
SUMIF(Feb_Period_1_Tbl[[#All],[STAFF:]],$A38,Feb_Period_1_Tbl[[#All],[$ BONUS PAY]])+SUMIF(Mar_Period_1_Tbl[[#All],[STAFF:]],$A38,Mar_Period_1_Tbl[[#All],[$ BONUS PAY]])+SUMIF(Apr_Period_1_Tbl[[#All],[STAFF:]],$A38,Apr_Period_1_Tbl[[#All],[$ BONUS PAY]])+   SUMIF(May_Period_1_Tbl[[#All],[STAFF:]],$A38,May_Period_1_Tbl[[#All],[$ BONUS PAY]])+   SUMIF(Jun_Period_1_Tbl[[#All],[STAFF:]],$A38,Jun_Period_1_Tbl[[#All],[$ BONUS PAY]])+  SUMIF(Jul_Period_1_Tbl[[#All],[STAFF:]],$A38,Jul_Period_1_Tbl[[#All],[$ BONUS PAY]])+  SUMIF(Aug_Period_1_Tbl[[#All],[STAFF:]],$A38,Aug_Period_1_Tbl[[#All],[$ BONUS PAY]])+  SUMIF(Sep_Period_1_Tbl[[#All],[STAFF:]],$A38,Sep_Period_1_Tbl[[#All],[$ BONUS PAY]])+  SUMIF(Oct_Period_1_Tbl[[#All],[STAFF:]],$A38,Oct_Period_1_Tbl[[#All],[$ BONUS PAY]])+     SUMIF(Nov_Period_1_Tbl[[#All],[STAFF:]],$A38,Nov_Period_1_Tbl[[#All],[$ BONUS PAY]])+  SUMIF(Dec_Period_1_Tbl[[#All],[STAFF:]],$A38,Dec_Period_1_Tbl[[#All],[$ BONUS PAY]]))+   (SUMIF(Jan_Period_2_Tbl[[#All],[STAFF:]],$A38,Jan_Period_2_Tbl[[#All],[$ BONUS PAY]])+
SUMIF(Feb_Period_2_Tbl[[#All],[STAFF:]],$A38,Feb_Period_2_Tbl[[#All],[$ BONUS PAY]])+SUMIF(Mar_Period_2_Tbl[[#All],[STAFF:]],$A38,Mar_Period_2_Tbl[[#All],[$ BONUS PAY]])+SUMIF(Apr_Period_2_Tbl[[#All],[STAFF:]],$A38,Apr_Period_2_Tbl[[#All],[$ BONUS PAY]])+   SUMIF(May_Period_2_Tbl[[#All],[STAFF:]],$A38,May_Period_2_Tbl[[#All],[$ BONUS PAY]])+   SUMIF(Jun_Period_2_Tbl[[#All],[STAFF:]],$A38,Jun_Period_2_Tbl[[#All],[$ BONUS PAY]])+  SUMIF(Jul_Period_2_Tbl[[#All],[STAFF:]],$A38,Jul_Period_2_Tbl[[#All],[$ BONUS PAY]])+  SUMIF(Aug_Period_2_Tbl[[#All],[STAFF:]],$A38,Aug_Period_2_Tbl[[#All],[$ BONUS PAY]])+  SUMIF(Sep_Period_2_Tbl[[#All],[STAFF:]],$A38,Sep_Period_2_Tbl[[#All],[$ BONUS PAY]])+  SUMIF(Oct_Period_2_Tbl[[#All],[STAFF:]],$A38,Oct_Period_2_Tbl[[#All],[$ BONUS PAY]])+     SUMIF(Nov_Period_2_Tbl[[#All],[STAFF:]],$A38,Nov_Period_2_Tbl[[#All],[$ BONUS PAY]])+  SUMIF(Dec_Period_2_Tbl[[#All],[STAFF:]],$A38,Dec_Period_2_Tbl[[#All],[$ BONUS PAY]]))</f>
        <v>0</v>
      </c>
      <c r="P38" s="179">
        <f t="shared" si="9"/>
        <v>0</v>
      </c>
      <c r="Q38" s="149"/>
      <c r="R38" s="152">
        <f>(SUMIF(Jan_Period_1_Tbl[[#All],[STAFF:]],$A38,Jan_Period_1_Tbl[[#All],['# POINTS EARNED]])+
SUMIF(Feb_Period_1_Tbl[[#All],[STAFF:]],$A38,Feb_Period_1_Tbl[[#All],['# POINTS EARNED]])+SUMIF(Mar_Period_1_Tbl[[#All],[STAFF:]],$A38,Mar_Period_1_Tbl[[#All],['# POINTS EARNED]])+SUMIF(Apr_Period_1_Tbl[[#All],[STAFF:]],$A38,Apr_Period_1_Tbl[[#All],['# POINTS EARNED]])+   SUMIF(May_Period_1_Tbl[[#All],[STAFF:]],$A38,May_Period_1_Tbl[[#All],['# POINTS EARNED]])+   SUMIF(Jun_Period_1_Tbl[[#All],[STAFF:]],$A38,Jun_Period_1_Tbl[[#All],['# POINTS EARNED]])+  SUMIF(Jul_Period_1_Tbl[[#All],[STAFF:]],$A38,Jul_Period_1_Tbl[[#All],['# POINTS EARNED]])+  SUMIF(Aug_Period_1_Tbl[[#All],[STAFF:]],$A38,Aug_Period_1_Tbl[[#All],['# POINTS EARNED]])+  SUMIF(Sep_Period_1_Tbl[[#All],[STAFF:]],$A38,Sep_Period_1_Tbl[[#All],['# POINTS EARNED]])+  SUMIF(Oct_Period_1_Tbl[[#All],[STAFF:]],$A38,Oct_Period_1_Tbl[[#All],['# POINTS EARNED]])+     SUMIF(Nov_Period_1_Tbl[[#All],[STAFF:]],$A38,Nov_Period_1_Tbl[[#All],['# POINTS EARNED]])+  SUMIF(Dec_Period_1_Tbl[[#All],[STAFF:]],$A38,Dec_Period_1_Tbl[[#All],['# POINTS EARNED]]))+   (SUMIF(Jan_Period_2_Tbl[[#All],[STAFF:]],$A38,Jan_Period_2_Tbl[[#All],['# POINTS EARNED]])+
SUMIF(Feb_Period_2_Tbl[[#All],[STAFF:]],$A38,Feb_Period_2_Tbl[[#All],['# POINTS EARNED]])+SUMIF(Mar_Period_2_Tbl[[#All],[STAFF:]],$A38,Mar_Period_2_Tbl[[#All],['# POINTS EARNED]])+SUMIF(Apr_Period_2_Tbl[[#All],[STAFF:]],$A38,Apr_Period_2_Tbl[[#All],['# POINTS EARNED]])+   SUMIF(May_Period_2_Tbl[[#All],[STAFF:]],$A38,May_Period_2_Tbl[[#All],['# POINTS EARNED]])+   SUMIF(Jun_Period_2_Tbl[[#All],[STAFF:]],$A38,Jun_Period_2_Tbl[[#All],['# POINTS EARNED]])+  SUMIF(Jul_Period_2_Tbl[[#All],[STAFF:]],$A38,Jul_Period_2_Tbl[[#All],['# POINTS EARNED]])+  SUMIF(Aug_Period_2_Tbl[[#All],[STAFF:]],$A38,Aug_Period_2_Tbl[[#All],['# POINTS EARNED]])+  SUMIF(Sep_Period_2_Tbl[[#All],[STAFF:]],$A38,Sep_Period_2_Tbl[[#All],['# POINTS EARNED]])+  SUMIF(Oct_Period_2_Tbl[[#All],[STAFF:]],$A38,Oct_Period_2_Tbl[[#All],['# POINTS EARNED]])+     SUMIF(Nov_Period_2_Tbl[[#All],[STAFF:]],$A38,Nov_Period_2_Tbl[[#All],['# POINTS EARNED]])+  SUMIF(Dec_Period_2_Tbl[[#All],[STAFF:]],$A38,Dec_Period_2_Tbl[[#All],['# POINTS EARNED]]))</f>
        <v>0</v>
      </c>
      <c r="S38" s="152">
        <f>(SUMIF(Jan_Period_1_Tbl[[#All],[STAFF:]],$A38,Jan_Period_1_Tbl[[#All],['# POINTS USED]])+
SUMIF(Feb_Period_1_Tbl[[#All],[STAFF:]],$A38,Feb_Period_1_Tbl[[#All],['# POINTS USED]])+SUMIF(Mar_Period_1_Tbl[[#All],[STAFF:]],$A38,Mar_Period_1_Tbl[[#All],['# POINTS USED]])+SUMIF(Apr_Period_1_Tbl[[#All],[STAFF:]],$A38,Apr_Period_1_Tbl[[#All],['# POINTS USED]])+   SUMIF(May_Period_1_Tbl[[#All],[STAFF:]],$A38,May_Period_1_Tbl[[#All],['# POINTS USED]])+   SUMIF(Jun_Period_1_Tbl[[#All],[STAFF:]],$A38,Jun_Period_1_Tbl[[#All],['# POINTS USED]])+  SUMIF(Jul_Period_1_Tbl[[#All],[STAFF:]],$A38,Jul_Period_1_Tbl[[#All],['# POINTS USED]])+  SUMIF(Aug_Period_1_Tbl[[#All],[STAFF:]],$A38,Aug_Period_1_Tbl[[#All],['# POINTS USED]])+  SUMIF(Sep_Period_1_Tbl[[#All],[STAFF:]],$A38,Sep_Period_1_Tbl[[#All],['# POINTS USED]])+  SUMIF(Oct_Period_1_Tbl[[#All],[STAFF:]],$A38,Oct_Period_1_Tbl[[#All],['# POINTS USED]])+     SUMIF(Nov_Period_1_Tbl[[#All],[STAFF:]],$A38,Nov_Period_1_Tbl[[#All],['# POINTS USED]])+  SUMIF(Dec_Period_1_Tbl[[#All],[STAFF:]],$A38,Dec_Period_1_Tbl[[#All],['# POINTS USED]]))+   (SUMIF(Jan_Period_2_Tbl[[#All],[STAFF:]],$A38,Jan_Period_2_Tbl[[#All],['# POINTS USED]])+
SUMIF(Feb_Period_2_Tbl[[#All],[STAFF:]],$A38,Feb_Period_2_Tbl[[#All],['# POINTS USED]])+SUMIF(Mar_Period_2_Tbl[[#All],[STAFF:]],$A38,Mar_Period_2_Tbl[[#All],['# POINTS USED]])+SUMIF(Apr_Period_2_Tbl[[#All],[STAFF:]],$A38,Apr_Period_2_Tbl[[#All],['# POINTS USED]])+   SUMIF(May_Period_2_Tbl[[#All],[STAFF:]],$A38,May_Period_2_Tbl[[#All],['# POINTS USED]])+   SUMIF(Jun_Period_2_Tbl[[#All],[STAFF:]],$A38,Jun_Period_2_Tbl[[#All],['# POINTS USED]])+  SUMIF(Jul_Period_2_Tbl[[#All],[STAFF:]],$A38,Jul_Period_2_Tbl[[#All],['# POINTS USED]])+  SUMIF(Aug_Period_2_Tbl[[#All],[STAFF:]],$A38,Aug_Period_2_Tbl[[#All],['# POINTS USED]])+  SUMIF(Sep_Period_2_Tbl[[#All],[STAFF:]],$A38,Sep_Period_2_Tbl[[#All],['# POINTS USED]])+  SUMIF(Oct_Period_2_Tbl[[#All],[STAFF:]],$A38,Oct_Period_2_Tbl[[#All],['# POINTS USED]])+     SUMIF(Nov_Period_2_Tbl[[#All],[STAFF:]],$A38,Nov_Period_2_Tbl[[#All],['# POINTS USED]])+  SUMIF(Dec_Period_2_Tbl[[#All],[STAFF:]],$A38,Dec_Period_2_Tbl[[#All],['# POINTS USED]]))</f>
        <v>0</v>
      </c>
      <c r="T38" s="152">
        <f>(SUMIF(Jan_Period_1_Tbl[[#All],[STAFF:]],$A38,Jan_Period_1_Tbl[[#All],['# CLASSES LEAD]])+
SUMIF(Feb_Period_1_Tbl[[#All],[STAFF:]],$A38,Feb_Period_1_Tbl[[#All],['# CLASSES LEAD]])+SUMIF(Mar_Period_1_Tbl[[#All],[STAFF:]],$A38,Mar_Period_1_Tbl[[#All],['# CLASSES LEAD]])+SUMIF(Apr_Period_1_Tbl[[#All],[STAFF:]],$A38,Apr_Period_1_Tbl[[#All],['# CLASSES LEAD]])+   SUMIF(May_Period_1_Tbl[[#All],[STAFF:]],$A38,May_Period_1_Tbl[[#All],['# CLASSES LEAD]])+   SUMIF(Jun_Period_1_Tbl[[#All],[STAFF:]],$A38,Jun_Period_1_Tbl[[#All],['# CLASSES LEAD]])+  SUMIF(Jul_Period_1_Tbl[[#All],[STAFF:]],$A38,Jul_Period_1_Tbl[[#All],['# CLASSES LEAD]])+  SUMIF(Aug_Period_1_Tbl[[#All],[STAFF:]],$A38,Aug_Period_1_Tbl[[#All],['# CLASSES LEAD]])+  SUMIF(Sep_Period_1_Tbl[[#All],[STAFF:]],$A38,Sep_Period_1_Tbl[[#All],['# CLASSES LEAD]])+  SUMIF(Oct_Period_1_Tbl[[#All],[STAFF:]],$A38,Oct_Period_1_Tbl[[#All],['# CLASSES LEAD]])+     SUMIF(Nov_Period_1_Tbl[[#All],[STAFF:]],$A38,Nov_Period_1_Tbl[[#All],['# CLASSES LEAD]])+  SUMIF(Dec_Period_1_Tbl[[#All],[STAFF:]],$A38,Dec_Period_1_Tbl[[#All],['# CLASSES LEAD]]))+   (SUMIF(Jan_Period_2_Tbl[[#All],[STAFF:]],$A38,Jan_Period_2_Tbl[[#All],['# CLASSES LEAD]])+
SUMIF(Feb_Period_2_Tbl[[#All],[STAFF:]],$A38,Feb_Period_2_Tbl[[#All],['# CLASSES LEAD]])+SUMIF(Mar_Period_2_Tbl[[#All],[STAFF:]],$A38,Mar_Period_2_Tbl[[#All],['# CLASSES LEAD]])+SUMIF(Apr_Period_2_Tbl[[#All],[STAFF:]],$A38,Apr_Period_2_Tbl[[#All],['# CLASSES LEAD]])+   SUMIF(May_Period_2_Tbl[[#All],[STAFF:]],$A38,May_Period_2_Tbl[[#All],['# CLASSES LEAD]])+   SUMIF(Jun_Period_2_Tbl[[#All],[STAFF:]],$A38,Jun_Period_2_Tbl[[#All],['# CLASSES LEAD]])+  SUMIF(Jul_Period_2_Tbl[[#All],[STAFF:]],$A38,Jul_Period_2_Tbl[[#All],['# CLASSES LEAD]])+  SUMIF(Aug_Period_2_Tbl[[#All],[STAFF:]],$A38,Aug_Period_2_Tbl[[#All],['# CLASSES LEAD]])+  SUMIF(Sep_Period_2_Tbl[[#All],[STAFF:]],$A38,Sep_Period_2_Tbl[[#All],['# CLASSES LEAD]])+  SUMIF(Oct_Period_2_Tbl[[#All],[STAFF:]],$A38,Oct_Period_2_Tbl[[#All],['# CLASSES LEAD]])+     SUMIF(Nov_Period_2_Tbl[[#All],[STAFF:]],$A38,Nov_Period_2_Tbl[[#All],['# CLASSES LEAD]])+  SUMIF(Dec_Period_2_Tbl[[#All],[STAFF:]],$A38,Dec_Period_2_Tbl[[#All],['# CLASSES LEAD]]))</f>
        <v>0</v>
      </c>
      <c r="U38" s="152">
        <f>(SUMIF(Jan_Period_1_Tbl[[#All],[STAFF:]],$A38,Jan_Period_1_Tbl[[#All],['# CLASSES SHOW]])+
SUMIF(Feb_Period_1_Tbl[[#All],[STAFF:]],$A38,Feb_Period_1_Tbl[[#All],['# CLASSES SHOW]])+SUMIF(Mar_Period_1_Tbl[[#All],[STAFF:]],$A38,Mar_Period_1_Tbl[[#All],['# CLASSES SHOW]])+SUMIF(Apr_Period_1_Tbl[[#All],[STAFF:]],$A38,Apr_Period_1_Tbl[[#All],['# CLASSES SHOW]])+   SUMIF(May_Period_1_Tbl[[#All],[STAFF:]],$A38,May_Period_1_Tbl[[#All],['# CLASSES SHOW]])+   SUMIF(Jun_Period_1_Tbl[[#All],[STAFF:]],$A38,Jun_Period_1_Tbl[[#All],['# CLASSES SHOW]])+  SUMIF(Jul_Period_1_Tbl[[#All],[STAFF:]],$A38,Jul_Period_1_Tbl[[#All],['# CLASSES SHOW]])+  SUMIF(Aug_Period_1_Tbl[[#All],[STAFF:]],$A38,Aug_Period_1_Tbl[[#All],['# CLASSES SHOW]])+  SUMIF(Sep_Period_1_Tbl[[#All],[STAFF:]],$A38,Sep_Period_1_Tbl[[#All],['# CLASSES SHOW]])+  SUMIF(Oct_Period_1_Tbl[[#All],[STAFF:]],$A38,Oct_Period_1_Tbl[[#All],['# CLASSES SHOW]])+     SUMIF(Nov_Period_1_Tbl[[#All],[STAFF:]],$A38,Nov_Period_1_Tbl[[#All],['# CLASSES SHOW]])+  SUMIF(Dec_Period_1_Tbl[[#All],[STAFF:]],$A38,Dec_Period_1_Tbl[[#All],['# CLASSES SHOW]]))+   (SUMIF(Jan_Period_2_Tbl[[#All],[STAFF:]],$A38,Jan_Period_2_Tbl[[#All],['# CLASSES SHOW]])+
SUMIF(Feb_Period_2_Tbl[[#All],[STAFF:]],$A38,Feb_Period_2_Tbl[[#All],['# CLASSES SHOW]])+SUMIF(Mar_Period_2_Tbl[[#All],[STAFF:]],$A38,Mar_Period_2_Tbl[[#All],['# CLASSES SHOW]])+SUMIF(Apr_Period_2_Tbl[[#All],[STAFF:]],$A38,Apr_Period_2_Tbl[[#All],['# CLASSES SHOW]])+   SUMIF(May_Period_2_Tbl[[#All],[STAFF:]],$A38,May_Period_2_Tbl[[#All],['# CLASSES SHOW]])+   SUMIF(Jun_Period_2_Tbl[[#All],[STAFF:]],$A38,Jun_Period_2_Tbl[[#All],['# CLASSES SHOW]])+  SUMIF(Jul_Period_2_Tbl[[#All],[STAFF:]],$A38,Jul_Period_2_Tbl[[#All],['# CLASSES SHOW]])+  SUMIF(Aug_Period_2_Tbl[[#All],[STAFF:]],$A38,Aug_Period_2_Tbl[[#All],['# CLASSES SHOW]])+  SUMIF(Sep_Period_2_Tbl[[#All],[STAFF:]],$A38,Sep_Period_2_Tbl[[#All],['# CLASSES SHOW]])+  SUMIF(Oct_Period_2_Tbl[[#All],[STAFF:]],$A38,Oct_Period_2_Tbl[[#All],['# CLASSES SHOW]])+     SUMIF(Nov_Period_2_Tbl[[#All],[STAFF:]],$A38,Nov_Period_2_Tbl[[#All],['# CLASSES SHOW]])+  SUMIF(Dec_Period_2_Tbl[[#All],[STAFF:]],$A38,Dec_Period_2_Tbl[[#All],['# CLASSES SHOW]]))</f>
        <v>0</v>
      </c>
      <c r="V38" s="156"/>
      <c r="W38" s="156"/>
      <c r="X38" s="154">
        <f t="shared" si="10"/>
        <v>0</v>
      </c>
      <c r="Y38" s="154">
        <f t="shared" si="11"/>
        <v>0</v>
      </c>
      <c r="Z38" s="154">
        <f t="shared" si="12"/>
        <v>0</v>
      </c>
      <c r="AA38" s="154">
        <f t="shared" si="13"/>
        <v>0</v>
      </c>
      <c r="AB38" s="154">
        <f t="shared" si="14"/>
        <v>0</v>
      </c>
      <c r="AC38" s="154">
        <f t="shared" si="15"/>
        <v>0</v>
      </c>
      <c r="AD38" s="154">
        <f t="shared" si="16"/>
        <v>0</v>
      </c>
      <c r="AE38" s="149"/>
      <c r="AF38" s="149"/>
      <c r="AG38" s="149"/>
      <c r="AH38" s="149"/>
      <c r="AJ38" s="75" t="str">
        <f t="shared" si="17"/>
        <v>zBlank</v>
      </c>
      <c r="AK38" s="210"/>
      <c r="AL38" s="168">
        <f>IFERROR(VLOOKUP(B38,List!$A:$B,2,FALSE),-1)</f>
        <v>-1</v>
      </c>
      <c r="AM38" s="168">
        <f>IFERROR(VLOOKUP(C38,List!$A:$B,2,FALSE),-1)</f>
        <v>-1</v>
      </c>
    </row>
    <row r="39" spans="1:39" ht="15" hidden="1" customHeight="1" x14ac:dyDescent="0.25">
      <c r="A39" s="20"/>
      <c r="B39" s="186"/>
      <c r="C39" s="186"/>
      <c r="D39" s="187"/>
      <c r="E39" s="188">
        <f>(SUMIF(Jan_Period_1_Tbl[[#All],[STAFF:]],$A39,Jan_Period_1_Tbl[[#All],['# PTO USED]])+
SUMIF(Feb_Period_1_Tbl[[#All],[STAFF:]],$A39,Feb_Period_1_Tbl[[#All],['# PTO USED]])+SUMIF(Mar_Period_1_Tbl[[#All],[STAFF:]],$A39,Mar_Period_1_Tbl[[#All],['# PTO USED]])+SUMIF(Apr_Period_1_Tbl[[#All],[STAFF:]],$A39,Apr_Period_1_Tbl[[#All],['# PTO USED]])+   SUMIF(May_Period_1_Tbl[[#All],[STAFF:]],$A39,May_Period_1_Tbl[[#All],['# PTO USED]])+   SUMIF(Jun_Period_1_Tbl[[#All],[STAFF:]],$A39,Jun_Period_1_Tbl[[#All],['# PTO USED]])+  SUMIF(Jul_Period_1_Tbl[[#All],[STAFF:]],$A39,Jul_Period_1_Tbl[[#All],['# PTO USED]])+  SUMIF(Aug_Period_1_Tbl[[#All],[STAFF:]],$A39,Aug_Period_1_Tbl[[#All],['# PTO USED]])+  SUMIF(Sep_Period_1_Tbl[[#All],[STAFF:]],$A39,Sep_Period_1_Tbl[[#All],['# PTO USED]])+  SUMIF(Oct_Period_1_Tbl[[#All],[STAFF:]],$A39,Oct_Period_1_Tbl[[#All],['# PTO USED]])+     SUMIF(Nov_Period_1_Tbl[[#All],[STAFF:]],$A39,Nov_Period_1_Tbl[[#All],['# PTO USED]])+  SUMIF(Dec_Period_1_Tbl[[#All],[STAFF:]],$A39,Dec_Period_1_Tbl[[#All],['# PTO USED]]))+   (SUMIF(Jan_Period_2_Tbl[[#All],[STAFF:]],$A39,Jan_Period_2_Tbl[[#All],['# PTO USED]])+
SUMIF(Feb_Period_2_Tbl[[#All],[STAFF:]],$A39,Feb_Period_2_Tbl[[#All],['# PTO USED]])+SUMIF(Mar_Period_2_Tbl[[#All],[STAFF:]],$A39,Mar_Period_2_Tbl[[#All],['# PTO USED]])+SUMIF(Apr_Period_2_Tbl[[#All],[STAFF:]],$A39,Apr_Period_2_Tbl[[#All],['# PTO USED]])+   SUMIF(May_Period_2_Tbl[[#All],[STAFF:]],$A39,May_Period_2_Tbl[[#All],['# PTO USED]])+   SUMIF(Jun_Period_2_Tbl[[#All],[STAFF:]],$A39,Jun_Period_2_Tbl[[#All],['# PTO USED]])+  SUMIF(Jul_Period_2_Tbl[[#All],[STAFF:]],$A39,Jul_Period_2_Tbl[[#All],['# PTO USED]])+  SUMIF(Aug_Period_2_Tbl[[#All],[STAFF:]],$A39,Aug_Period_2_Tbl[[#All],['# PTO USED]])+  SUMIF(Sep_Period_2_Tbl[[#All],[STAFF:]],$A39,Sep_Period_2_Tbl[[#All],['# PTO USED]])+  SUMIF(Oct_Period_2_Tbl[[#All],[STAFF:]],$A39,Oct_Period_2_Tbl[[#All],['# PTO USED]])+     SUMIF(Nov_Period_2_Tbl[[#All],[STAFF:]],$A39,Nov_Period_2_Tbl[[#All],['# PTO USED]])+  SUMIF(Dec_Period_2_Tbl[[#All],[STAFF:]],$A39,Dec_Period_2_Tbl[[#All],['# PTO USED]]))</f>
        <v>0</v>
      </c>
      <c r="F39" s="189">
        <f>(SUMIF(Jan_Period_1_Tbl[[#All],[STAFF:]],$A39,Jan_Period_1_Tbl[[#All],['# HRS WORKED]])+
SUMIF(Feb_Period_1_Tbl[[#All],[STAFF:]],$A39,Feb_Period_1_Tbl[[#All],['# HRS WORKED]])+SUMIF(Mar_Period_1_Tbl[[#All],[STAFF:]],$A39,Mar_Period_1_Tbl[[#All],['# HRS WORKED]])+SUMIF(Apr_Period_1_Tbl[[#All],[STAFF:]],$A39,Apr_Period_1_Tbl[[#All],['# HRS WORKED]])+   SUMIF(May_Period_1_Tbl[[#All],[STAFF:]],$A39,May_Period_1_Tbl[[#All],['# HRS WORKED]])+   SUMIF(Jun_Period_1_Tbl[[#All],[STAFF:]],$A39,Jun_Period_1_Tbl[[#All],['# HRS WORKED]])+  SUMIF(Jul_Period_1_Tbl[[#All],[STAFF:]],$A39,Jul_Period_1_Tbl[[#All],['# HRS WORKED]])+  SUMIF(Aug_Period_1_Tbl[[#All],[STAFF:]],$A39,Aug_Period_1_Tbl[[#All],['# HRS WORKED]])+  SUMIF(Sep_Period_1_Tbl[[#All],[STAFF:]],$A39,Sep_Period_1_Tbl[[#All],['# HRS WORKED]])+  SUMIF(Oct_Period_1_Tbl[[#All],[STAFF:]],$A39,Oct_Period_1_Tbl[[#All],['# HRS WORKED]])+     SUMIF(Nov_Period_1_Tbl[[#All],[STAFF:]],$A39,Nov_Period_1_Tbl[[#All],['# HRS WORKED]])+  SUMIF(Dec_Period_1_Tbl[[#All],[STAFF:]],$A39,Dec_Period_1_Tbl[[#All],['# HRS WORKED]]))+   (SUMIF(Jan_Period_2_Tbl[[#All],[STAFF:]],$A39,Jan_Period_2_Tbl[[#All],['# HRS WORKED]])+
SUMIF(Feb_Period_2_Tbl[[#All],[STAFF:]],$A39,Feb_Period_2_Tbl[[#All],['# HRS WORKED]])+SUMIF(Mar_Period_2_Tbl[[#All],[STAFF:]],$A39,Mar_Period_2_Tbl[[#All],['# HRS WORKED]])+SUMIF(Apr_Period_2_Tbl[[#All],[STAFF:]],$A39,Apr_Period_2_Tbl[[#All],['# HRS WORKED]])+   SUMIF(May_Period_2_Tbl[[#All],[STAFF:]],$A39,May_Period_2_Tbl[[#All],['# HRS WORKED]])+   SUMIF(Jun_Period_2_Tbl[[#All],[STAFF:]],$A39,Jun_Period_2_Tbl[[#All],['# HRS WORKED]])+  SUMIF(Jul_Period_2_Tbl[[#All],[STAFF:]],$A39,Jul_Period_2_Tbl[[#All],['# HRS WORKED]])+  SUMIF(Aug_Period_2_Tbl[[#All],[STAFF:]],$A39,Aug_Period_2_Tbl[[#All],['# HRS WORKED]])+  SUMIF(Sep_Period_2_Tbl[[#All],[STAFF:]],$A39,Sep_Period_2_Tbl[[#All],['# HRS WORKED]])+  SUMIF(Oct_Period_2_Tbl[[#All],[STAFF:]],$A39,Oct_Period_2_Tbl[[#All],['# HRS WORKED]])+     SUMIF(Nov_Period_2_Tbl[[#All],[STAFF:]],$A39,Nov_Period_2_Tbl[[#All],['# HRS WORKED]])+  SUMIF(Dec_Period_2_Tbl[[#All],[STAFF:]],$A39,Dec_Period_2_Tbl[[#All],['# HRS WORKED]]))</f>
        <v>0</v>
      </c>
      <c r="G39" s="190">
        <f>(SUMIF(Jan_Period_1_Tbl[[#All],[STAFF:]],$A39,Jan_Period_1_Tbl[[#All],[$ Hourly WAGES]])+
SUMIF(Feb_Period_1_Tbl[[#All],[STAFF:]],$A39,Feb_Period_1_Tbl[[#All],[$ Hourly WAGES]])+SUMIF(Mar_Period_1_Tbl[[#All],[STAFF:]],$A39,Mar_Period_1_Tbl[[#All],[$ Hourly WAGES]])+SUMIF(Apr_Period_1_Tbl[[#All],[STAFF:]],$A39,Apr_Period_1_Tbl[[#All],[$ Hourly WAGES]])+   SUMIF(May_Period_1_Tbl[[#All],[STAFF:]],$A39,May_Period_1_Tbl[[#All],[$ Hourly WAGES]])+   SUMIF(Jun_Period_1_Tbl[[#All],[STAFF:]],$A39,Jun_Period_1_Tbl[[#All],[$ Hourly WAGES]])+  SUMIF(Jul_Period_1_Tbl[[#All],[STAFF:]],$A39,Jul_Period_1_Tbl[[#All],[$ Hourly WAGES]])+  SUMIF(Aug_Period_1_Tbl[[#All],[STAFF:]],$A39,Aug_Period_1_Tbl[[#All],[$ Hourly WAGES]])+  SUMIF(Sep_Period_1_Tbl[[#All],[STAFF:]],$A39,Sep_Period_1_Tbl[[#All],[$ Hourly WAGES]])+  SUMIF(Oct_Period_1_Tbl[[#All],[STAFF:]],$A39,Oct_Period_1_Tbl[[#All],[$ Hourly WAGES]])+     SUMIF(Nov_Period_1_Tbl[[#All],[STAFF:]],$A39,Nov_Period_1_Tbl[[#All],[$ Hourly WAGES]])+  SUMIF(Dec_Period_1_Tbl[[#All],[STAFF:]],$A39,Dec_Period_1_Tbl[[#All],[$ Hourly WAGES]]))+   (SUMIF(Jan_Period_2_Tbl[[#All],[STAFF:]],$A39,Jan_Period_2_Tbl[[#All],[$ Hourly WAGES]])+
SUMIF(Feb_Period_2_Tbl[[#All],[STAFF:]],$A39,Feb_Period_2_Tbl[[#All],[$ Hourly WAGES]])+SUMIF(Mar_Period_2_Tbl[[#All],[STAFF:]],$A39,Mar_Period_2_Tbl[[#All],[$ Hourly WAGES]])+SUMIF(Apr_Period_2_Tbl[[#All],[STAFF:]],$A39,Apr_Period_2_Tbl[[#All],[$ Hourly WAGES]])+   SUMIF(May_Period_2_Tbl[[#All],[STAFF:]],$A39,May_Period_2_Tbl[[#All],[$ Hourly WAGES]])+   SUMIF(Jun_Period_2_Tbl[[#All],[STAFF:]],$A39,Jun_Period_2_Tbl[[#All],[$ Hourly WAGES]])+  SUMIF(Jul_Period_2_Tbl[[#All],[STAFF:]],$A39,Jul_Period_2_Tbl[[#All],[$ Hourly WAGES]])+  SUMIF(Aug_Period_2_Tbl[[#All],[STAFF:]],$A39,Aug_Period_2_Tbl[[#All],[$ Hourly WAGES]])+  SUMIF(Sep_Period_2_Tbl[[#All],[STAFF:]],$A39,Sep_Period_2_Tbl[[#All],[$ Hourly WAGES]])+  SUMIF(Oct_Period_2_Tbl[[#All],[STAFF:]],$A39,Oct_Period_2_Tbl[[#All],[$ Hourly WAGES]])+     SUMIF(Nov_Period_2_Tbl[[#All],[STAFF:]],$A39,Nov_Period_2_Tbl[[#All],[$ Hourly WAGES]])+  SUMIF(Dec_Period_2_Tbl[[#All],[STAFF:]],$A39,Dec_Period_2_Tbl[[#All],[$ Hourly WAGES]]))</f>
        <v>0</v>
      </c>
      <c r="H39" s="190">
        <f>(SUMIF(Jan_Period_1_Tbl[[#All],[STAFF:]],$A39,Jan_Period_1_Tbl[[#All],[$ SALARY]])+
SUMIF(Feb_Period_1_Tbl[[#All],[STAFF:]],$A39,Feb_Period_1_Tbl[[#All],[$ SALARY]])+SUMIF(Mar_Period_1_Tbl[[#All],[STAFF:]],$A39,Mar_Period_1_Tbl[[#All],[$ SALARY]])+SUMIF(Apr_Period_1_Tbl[[#All],[STAFF:]],$A39,Apr_Period_1_Tbl[[#All],[$ SALARY]])+   SUMIF(May_Period_1_Tbl[[#All],[STAFF:]],$A39,May_Period_1_Tbl[[#All],[$ SALARY]])+   SUMIF(Jun_Period_1_Tbl[[#All],[STAFF:]],$A39,Jun_Period_1_Tbl[[#All],[$ SALARY]])+  SUMIF(Jul_Period_1_Tbl[[#All],[STAFF:]],$A39,Jul_Period_1_Tbl[[#All],[$ SALARY]])+  SUMIF(Aug_Period_1_Tbl[[#All],[STAFF:]],$A39,Aug_Period_1_Tbl[[#All],[$ SALARY]])+  SUMIF(Sep_Period_1_Tbl[[#All],[STAFF:]],$A39,Sep_Period_1_Tbl[[#All],[$ SALARY]])+  SUMIF(Oct_Period_1_Tbl[[#All],[STAFF:]],$A39,Oct_Period_1_Tbl[[#All],[$ SALARY]])+     SUMIF(Nov_Period_1_Tbl[[#All],[STAFF:]],$A39,Nov_Period_1_Tbl[[#All],[$ SALARY]])+  SUMIF(Dec_Period_1_Tbl[[#All],[STAFF:]],$A39,Dec_Period_1_Tbl[[#All],[$ SALARY]]))+   (SUMIF(Jan_Period_2_Tbl[[#All],[STAFF:]],$A39,Jan_Period_2_Tbl[[#All],[$ SALARY]])+
SUMIF(Feb_Period_2_Tbl[[#All],[STAFF:]],$A39,Feb_Period_2_Tbl[[#All],[$ SALARY]])+SUMIF(Mar_Period_2_Tbl[[#All],[STAFF:]],$A39,Mar_Period_2_Tbl[[#All],[$ SALARY]])+SUMIF(Apr_Period_2_Tbl[[#All],[STAFF:]],$A39,Apr_Period_2_Tbl[[#All],[$ SALARY]])+   SUMIF(May_Period_2_Tbl[[#All],[STAFF:]],$A39,May_Period_2_Tbl[[#All],[$ SALARY]])+   SUMIF(Jun_Period_2_Tbl[[#All],[STAFF:]],$A39,Jun_Period_2_Tbl[[#All],[$ SALARY]])+  SUMIF(Jul_Period_2_Tbl[[#All],[STAFF:]],$A39,Jul_Period_2_Tbl[[#All],[$ SALARY]])+  SUMIF(Aug_Period_2_Tbl[[#All],[STAFF:]],$A39,Aug_Period_2_Tbl[[#All],[$ SALARY]])+  SUMIF(Sep_Period_2_Tbl[[#All],[STAFF:]],$A39,Sep_Period_2_Tbl[[#All],[$ SALARY]])+  SUMIF(Oct_Period_2_Tbl[[#All],[STAFF:]],$A39,Oct_Period_2_Tbl[[#All],[$ SALARY]])+     SUMIF(Nov_Period_2_Tbl[[#All],[STAFF:]],$A39,Nov_Period_2_Tbl[[#All],[$ SALARY]])+  SUMIF(Dec_Period_2_Tbl[[#All],[STAFF:]],$A39,Dec_Period_2_Tbl[[#All],[$ SALARY]]))</f>
        <v>0</v>
      </c>
      <c r="I39" s="190">
        <f>(SUMIF(Jan_Period_1_Tbl[[#All],[STAFF:]],$A39,Jan_Period_1_Tbl[[#All],[$ SALARY PT]])+
SUMIF(Feb_Period_1_Tbl[[#All],[STAFF:]],$A39,Feb_Period_1_Tbl[[#All],[$ SALARY PT]])+SUMIF(Mar_Period_1_Tbl[[#All],[STAFF:]],$A39,Mar_Period_1_Tbl[[#All],[$ SALARY PT]])+SUMIF(Apr_Period_1_Tbl[[#All],[STAFF:]],$A39,Apr_Period_1_Tbl[[#All],[$ SALARY PT]])+   SUMIF(May_Period_1_Tbl[[#All],[STAFF:]],$A39,May_Period_1_Tbl[[#All],[$ SALARY PT]])+   SUMIF(Jun_Period_1_Tbl[[#All],[STAFF:]],$A39,Jun_Period_1_Tbl[[#All],[$ SALARY PT]])+  SUMIF(Jul_Period_1_Tbl[[#All],[STAFF:]],$A39,Jul_Period_1_Tbl[[#All],[$ SALARY PT]])+  SUMIF(Aug_Period_1_Tbl[[#All],[STAFF:]],$A39,Aug_Period_1_Tbl[[#All],[$ SALARY PT]])+  SUMIF(Sep_Period_1_Tbl[[#All],[STAFF:]],$A39,Sep_Period_1_Tbl[[#All],[$ SALARY PT]])+  SUMIF(Oct_Period_1_Tbl[[#All],[STAFF:]],$A39,Oct_Period_1_Tbl[[#All],[$ SALARY PT]])+     SUMIF(Nov_Period_1_Tbl[[#All],[STAFF:]],$A39,Nov_Period_1_Tbl[[#All],[$ SALARY PT]])+  SUMIF(Dec_Period_1_Tbl[[#All],[STAFF:]],$A39,Dec_Period_1_Tbl[[#All],[$ SALARY PT]]))+   (SUMIF(Jan_Period_2_Tbl[[#All],[STAFF:]],$A39,Jan_Period_2_Tbl[[#All],[$ SALARY PT]])+
SUMIF(Feb_Period_2_Tbl[[#All],[STAFF:]],$A39,Feb_Period_2_Tbl[[#All],[$ SALARY PT]])+SUMIF(Mar_Period_2_Tbl[[#All],[STAFF:]],$A39,Mar_Period_2_Tbl[[#All],[$ SALARY PT]])+SUMIF(Apr_Period_2_Tbl[[#All],[STAFF:]],$A39,Apr_Period_2_Tbl[[#All],[$ SALARY PT]])+   SUMIF(May_Period_2_Tbl[[#All],[STAFF:]],$A39,May_Period_2_Tbl[[#All],[$ SALARY PT]])+   SUMIF(Jun_Period_2_Tbl[[#All],[STAFF:]],$A39,Jun_Period_2_Tbl[[#All],[$ SALARY PT]])+  SUMIF(Jul_Period_2_Tbl[[#All],[STAFF:]],$A39,Jul_Period_2_Tbl[[#All],[$ SALARY PT]])+  SUMIF(Aug_Period_2_Tbl[[#All],[STAFF:]],$A39,Aug_Period_2_Tbl[[#All],[$ SALARY PT]])+  SUMIF(Sep_Period_2_Tbl[[#All],[STAFF:]],$A39,Sep_Period_2_Tbl[[#All],[$ SALARY PT]])+  SUMIF(Oct_Period_2_Tbl[[#All],[STAFF:]],$A39,Oct_Period_2_Tbl[[#All],[$ SALARY PT]])+     SUMIF(Nov_Period_2_Tbl[[#All],[STAFF:]],$A39,Nov_Period_2_Tbl[[#All],[$ SALARY PT]])+  SUMIF(Dec_Period_2_Tbl[[#All],[STAFF:]],$A39,Dec_Period_2_Tbl[[#All],[$ SALARY PT]]))</f>
        <v>0</v>
      </c>
      <c r="J39" s="190">
        <f>(SUMIF(Jan_Period_1_Tbl[[#All],[STAFF:]],$A39,Jan_Period_1_Tbl[[#All],[$ FREE PT]])+
SUMIF(Feb_Period_1_Tbl[[#All],[STAFF:]],$A39,Feb_Period_1_Tbl[[#All],[$ FREE PT]])+SUMIF(Mar_Period_1_Tbl[[#All],[STAFF:]],$A39,Mar_Period_1_Tbl[[#All],[$ FREE PT]])+SUMIF(Apr_Period_1_Tbl[[#All],[STAFF:]],$A39,Apr_Period_1_Tbl[[#All],[$ FREE PT]])+   SUMIF(May_Period_1_Tbl[[#All],[STAFF:]],$A39,May_Period_1_Tbl[[#All],[$ FREE PT]])+   SUMIF(Jun_Period_1_Tbl[[#All],[STAFF:]],$A39,Jun_Period_1_Tbl[[#All],[$ FREE PT]])+  SUMIF(Jul_Period_1_Tbl[[#All],[STAFF:]],$A39,Jul_Period_1_Tbl[[#All],[$ FREE PT]])+  SUMIF(Aug_Period_1_Tbl[[#All],[STAFF:]],$A39,Aug_Period_1_Tbl[[#All],[$ FREE PT]])+  SUMIF(Sep_Period_1_Tbl[[#All],[STAFF:]],$A39,Sep_Period_1_Tbl[[#All],[$ FREE PT]])+  SUMIF(Oct_Period_1_Tbl[[#All],[STAFF:]],$A39,Oct_Period_1_Tbl[[#All],[$ FREE PT]])+     SUMIF(Nov_Period_1_Tbl[[#All],[STAFF:]],$A39,Nov_Period_1_Tbl[[#All],[$ FREE PT]])+  SUMIF(Dec_Period_1_Tbl[[#All],[STAFF:]],$A39,Dec_Period_1_Tbl[[#All],[$ FREE PT]]))+   (SUMIF(Jan_Period_2_Tbl[[#All],[STAFF:]],$A39,Jan_Period_2_Tbl[[#All],[$ FREE PT]])+
SUMIF(Feb_Period_2_Tbl[[#All],[STAFF:]],$A39,Feb_Period_2_Tbl[[#All],[$ FREE PT]])+SUMIF(Mar_Period_2_Tbl[[#All],[STAFF:]],$A39,Mar_Period_2_Tbl[[#All],[$ FREE PT]])+SUMIF(Apr_Period_2_Tbl[[#All],[STAFF:]],$A39,Apr_Period_2_Tbl[[#All],[$ FREE PT]])+   SUMIF(May_Period_2_Tbl[[#All],[STAFF:]],$A39,May_Period_2_Tbl[[#All],[$ FREE PT]])+   SUMIF(Jun_Period_2_Tbl[[#All],[STAFF:]],$A39,Jun_Period_2_Tbl[[#All],[$ FREE PT]])+  SUMIF(Jul_Period_2_Tbl[[#All],[STAFF:]],$A39,Jul_Period_2_Tbl[[#All],[$ FREE PT]])+  SUMIF(Aug_Period_2_Tbl[[#All],[STAFF:]],$A39,Aug_Period_2_Tbl[[#All],[$ FREE PT]])+  SUMIF(Sep_Period_2_Tbl[[#All],[STAFF:]],$A39,Sep_Period_2_Tbl[[#All],[$ FREE PT]])+  SUMIF(Oct_Period_2_Tbl[[#All],[STAFF:]],$A39,Oct_Period_2_Tbl[[#All],[$ FREE PT]])+     SUMIF(Nov_Period_2_Tbl[[#All],[STAFF:]],$A39,Nov_Period_2_Tbl[[#All],[$ FREE PT]])+  SUMIF(Dec_Period_2_Tbl[[#All],[STAFF:]],$A39,Dec_Period_2_Tbl[[#All],[$ FREE PT]]))</f>
        <v>0</v>
      </c>
      <c r="K39" s="190">
        <f>(SUMIF(Jan_Period_1_Tbl[[#All],[STAFF:]],$A39,Jan_Period_1_Tbl[[#All],[$ PAID PT]])+
SUMIF(Feb_Period_1_Tbl[[#All],[STAFF:]],$A39,Feb_Period_1_Tbl[[#All],[$ PAID PT]])+SUMIF(Mar_Period_1_Tbl[[#All],[STAFF:]],$A39,Mar_Period_1_Tbl[[#All],[$ PAID PT]])+SUMIF(Apr_Period_1_Tbl[[#All],[STAFF:]],$A39,Apr_Period_1_Tbl[[#All],[$ PAID PT]])+   SUMIF(May_Period_1_Tbl[[#All],[STAFF:]],$A39,May_Period_1_Tbl[[#All],[$ PAID PT]])+   SUMIF(Jun_Period_1_Tbl[[#All],[STAFF:]],$A39,Jun_Period_1_Tbl[[#All],[$ PAID PT]])+  SUMIF(Jul_Period_1_Tbl[[#All],[STAFF:]],$A39,Jul_Period_1_Tbl[[#All],[$ PAID PT]])+  SUMIF(Aug_Period_1_Tbl[[#All],[STAFF:]],$A39,Aug_Period_1_Tbl[[#All],[$ PAID PT]])+  SUMIF(Sep_Period_1_Tbl[[#All],[STAFF:]],$A39,Sep_Period_1_Tbl[[#All],[$ PAID PT]])+  SUMIF(Oct_Period_1_Tbl[[#All],[STAFF:]],$A39,Oct_Period_1_Tbl[[#All],[$ PAID PT]])+     SUMIF(Nov_Period_1_Tbl[[#All],[STAFF:]],$A39,Nov_Period_1_Tbl[[#All],[$ PAID PT]])+  SUMIF(Dec_Period_1_Tbl[[#All],[STAFF:]],$A39,Dec_Period_1_Tbl[[#All],[$ PAID PT]]))+   (SUMIF(Jan_Period_2_Tbl[[#All],[STAFF:]],$A39,Jan_Period_2_Tbl[[#All],[$ PAID PT]])+
SUMIF(Feb_Period_2_Tbl[[#All],[STAFF:]],$A39,Feb_Period_2_Tbl[[#All],[$ PAID PT]])+SUMIF(Mar_Period_2_Tbl[[#All],[STAFF:]],$A39,Mar_Period_2_Tbl[[#All],[$ PAID PT]])+SUMIF(Apr_Period_2_Tbl[[#All],[STAFF:]],$A39,Apr_Period_2_Tbl[[#All],[$ PAID PT]])+   SUMIF(May_Period_2_Tbl[[#All],[STAFF:]],$A39,May_Period_2_Tbl[[#All],[$ PAID PT]])+   SUMIF(Jun_Period_2_Tbl[[#All],[STAFF:]],$A39,Jun_Period_2_Tbl[[#All],[$ PAID PT]])+  SUMIF(Jul_Period_2_Tbl[[#All],[STAFF:]],$A39,Jul_Period_2_Tbl[[#All],[$ PAID PT]])+  SUMIF(Aug_Period_2_Tbl[[#All],[STAFF:]],$A39,Aug_Period_2_Tbl[[#All],[$ PAID PT]])+  SUMIF(Sep_Period_2_Tbl[[#All],[STAFF:]],$A39,Sep_Period_2_Tbl[[#All],[$ PAID PT]])+  SUMIF(Oct_Period_2_Tbl[[#All],[STAFF:]],$A39,Oct_Period_2_Tbl[[#All],[$ PAID PT]])+     SUMIF(Nov_Period_2_Tbl[[#All],[STAFF:]],$A39,Nov_Period_2_Tbl[[#All],[$ PAID PT]])+  SUMIF(Dec_Period_2_Tbl[[#All],[STAFF:]],$A39,Dec_Period_2_Tbl[[#All],[$ PAID PT]]))</f>
        <v>0</v>
      </c>
      <c r="L39" s="190">
        <f>(SUMIF(Jan_Period_1_Tbl[[#All],[STAFF:]],$A39,Jan_Period_1_Tbl[[#All],[$ PT COMM]])+
SUMIF(Feb_Period_1_Tbl[[#All],[STAFF:]],$A39,Feb_Period_1_Tbl[[#All],[$ PT COMM]])+SUMIF(Mar_Period_1_Tbl[[#All],[STAFF:]],$A39,Mar_Period_1_Tbl[[#All],[$ PT COMM]])+SUMIF(Apr_Period_1_Tbl[[#All],[STAFF:]],$A39,Apr_Period_1_Tbl[[#All],[$ PT COMM]])+   SUMIF(May_Period_1_Tbl[[#All],[STAFF:]],$A39,May_Period_1_Tbl[[#All],[$ PT COMM]])+   SUMIF(Jun_Period_1_Tbl[[#All],[STAFF:]],$A39,Jun_Period_1_Tbl[[#All],[$ PT COMM]])+  SUMIF(Jul_Period_1_Tbl[[#All],[STAFF:]],$A39,Jul_Period_1_Tbl[[#All],[$ PT COMM]])+  SUMIF(Aug_Period_1_Tbl[[#All],[STAFF:]],$A39,Aug_Period_1_Tbl[[#All],[$ PT COMM]])+  SUMIF(Sep_Period_1_Tbl[[#All],[STAFF:]],$A39,Sep_Period_1_Tbl[[#All],[$ PT COMM]])+  SUMIF(Oct_Period_1_Tbl[[#All],[STAFF:]],$A39,Oct_Period_1_Tbl[[#All],[$ PT COMM]])+     SUMIF(Nov_Period_1_Tbl[[#All],[STAFF:]],$A39,Nov_Period_1_Tbl[[#All],[$ PT COMM]])+  SUMIF(Dec_Period_1_Tbl[[#All],[STAFF:]],$A39,Dec_Period_1_Tbl[[#All],[$ PT COMM]]))+   (SUMIF(Jan_Period_2_Tbl[[#All],[STAFF:]],$A39,Jan_Period_2_Tbl[[#All],[$ PT COMM]])+
SUMIF(Feb_Period_2_Tbl[[#All],[STAFF:]],$A39,Feb_Period_2_Tbl[[#All],[$ PT COMM]])+SUMIF(Mar_Period_2_Tbl[[#All],[STAFF:]],$A39,Mar_Period_2_Tbl[[#All],[$ PT COMM]])+SUMIF(Apr_Period_2_Tbl[[#All],[STAFF:]],$A39,Apr_Period_2_Tbl[[#All],[$ PT COMM]])+   SUMIF(May_Period_2_Tbl[[#All],[STAFF:]],$A39,May_Period_2_Tbl[[#All],[$ PT COMM]])+   SUMIF(Jun_Period_2_Tbl[[#All],[STAFF:]],$A39,Jun_Period_2_Tbl[[#All],[$ PT COMM]])+  SUMIF(Jul_Period_2_Tbl[[#All],[STAFF:]],$A39,Jul_Period_2_Tbl[[#All],[$ PT COMM]])+  SUMIF(Aug_Period_2_Tbl[[#All],[STAFF:]],$A39,Aug_Period_2_Tbl[[#All],[$ PT COMM]])+  SUMIF(Sep_Period_2_Tbl[[#All],[STAFF:]],$A39,Sep_Period_2_Tbl[[#All],[$ PT COMM]])+  SUMIF(Oct_Period_2_Tbl[[#All],[STAFF:]],$A39,Oct_Period_2_Tbl[[#All],[$ PT COMM]])+     SUMIF(Nov_Period_2_Tbl[[#All],[STAFF:]],$A39,Nov_Period_2_Tbl[[#All],[$ PT COMM]])+  SUMIF(Dec_Period_2_Tbl[[#All],[STAFF:]],$A39,Dec_Period_2_Tbl[[#All],[$ PT COMM]]))</f>
        <v>0</v>
      </c>
      <c r="M39" s="190">
        <f>(SUMIF(Jan_Period_1_Tbl[[#All],[STAFF:]],$A39,Jan_Period_1_Tbl[[#All],[$ EFT COMM]])+
SUMIF(Feb_Period_1_Tbl[[#All],[STAFF:]],$A39,Feb_Period_1_Tbl[[#All],[$ EFT COMM]])+SUMIF(Mar_Period_1_Tbl[[#All],[STAFF:]],$A39,Mar_Period_1_Tbl[[#All],[$ EFT COMM]])+SUMIF(Apr_Period_1_Tbl[[#All],[STAFF:]],$A39,Apr_Period_1_Tbl[[#All],[$ EFT COMM]])+   SUMIF(May_Period_1_Tbl[[#All],[STAFF:]],$A39,May_Period_1_Tbl[[#All],[$ EFT COMM]])+   SUMIF(Jun_Period_1_Tbl[[#All],[STAFF:]],$A39,Jun_Period_1_Tbl[[#All],[$ EFT COMM]])+  SUMIF(Jul_Period_1_Tbl[[#All],[STAFF:]],$A39,Jul_Period_1_Tbl[[#All],[$ EFT COMM]])+  SUMIF(Aug_Period_1_Tbl[[#All],[STAFF:]],$A39,Aug_Period_1_Tbl[[#All],[$ EFT COMM]])+  SUMIF(Sep_Period_1_Tbl[[#All],[STAFF:]],$A39,Sep_Period_1_Tbl[[#All],[$ EFT COMM]])+  SUMIF(Oct_Period_1_Tbl[[#All],[STAFF:]],$A39,Oct_Period_1_Tbl[[#All],[$ EFT COMM]])+     SUMIF(Nov_Period_1_Tbl[[#All],[STAFF:]],$A39,Nov_Period_1_Tbl[[#All],[$ EFT COMM]])+  SUMIF(Dec_Period_1_Tbl[[#All],[STAFF:]],$A39,Dec_Period_1_Tbl[[#All],[$ EFT COMM]]))+   (SUMIF(Jan_Period_2_Tbl[[#All],[STAFF:]],$A39,Jan_Period_2_Tbl[[#All],[$ EFT COMM]])+
SUMIF(Feb_Period_2_Tbl[[#All],[STAFF:]],$A39,Feb_Period_2_Tbl[[#All],[$ EFT COMM]])+SUMIF(Mar_Period_2_Tbl[[#All],[STAFF:]],$A39,Mar_Period_2_Tbl[[#All],[$ EFT COMM]])+SUMIF(Apr_Period_2_Tbl[[#All],[STAFF:]],$A39,Apr_Period_2_Tbl[[#All],[$ EFT COMM]])+   SUMIF(May_Period_2_Tbl[[#All],[STAFF:]],$A39,May_Period_2_Tbl[[#All],[$ EFT COMM]])+   SUMIF(Jun_Period_2_Tbl[[#All],[STAFF:]],$A39,Jun_Period_2_Tbl[[#All],[$ EFT COMM]])+  SUMIF(Jul_Period_2_Tbl[[#All],[STAFF:]],$A39,Jul_Period_2_Tbl[[#All],[$ EFT COMM]])+  SUMIF(Aug_Period_2_Tbl[[#All],[STAFF:]],$A39,Aug_Period_2_Tbl[[#All],[$ EFT COMM]])+  SUMIF(Sep_Period_2_Tbl[[#All],[STAFF:]],$A39,Sep_Period_2_Tbl[[#All],[$ EFT COMM]])+  SUMIF(Oct_Period_2_Tbl[[#All],[STAFF:]],$A39,Oct_Period_2_Tbl[[#All],[$ EFT COMM]])+     SUMIF(Nov_Period_2_Tbl[[#All],[STAFF:]],$A39,Nov_Period_2_Tbl[[#All],[$ EFT COMM]])+  SUMIF(Dec_Period_2_Tbl[[#All],[STAFF:]],$A39,Dec_Period_2_Tbl[[#All],[$ EFT COMM]]))</f>
        <v>0</v>
      </c>
      <c r="N39" s="190">
        <f>(SUMIF(Jan_Period_1_Tbl[[#All],[STAFF:]],$A39,Jan_Period_1_Tbl[[#All],[$ CLASS PAY]])+
SUMIF(Feb_Period_1_Tbl[[#All],[STAFF:]],$A39,Feb_Period_1_Tbl[[#All],[$ CLASS PAY]])+SUMIF(Mar_Period_1_Tbl[[#All],[STAFF:]],$A39,Mar_Period_1_Tbl[[#All],[$ CLASS PAY]])+SUMIF(Apr_Period_1_Tbl[[#All],[STAFF:]],$A39,Apr_Period_1_Tbl[[#All],[$ CLASS PAY]])+   SUMIF(May_Period_1_Tbl[[#All],[STAFF:]],$A39,May_Period_1_Tbl[[#All],[$ CLASS PAY]])+   SUMIF(Jun_Period_1_Tbl[[#All],[STAFF:]],$A39,Jun_Period_1_Tbl[[#All],[$ CLASS PAY]])+  SUMIF(Jul_Period_1_Tbl[[#All],[STAFF:]],$A39,Jul_Period_1_Tbl[[#All],[$ CLASS PAY]])+  SUMIF(Aug_Period_1_Tbl[[#All],[STAFF:]],$A39,Aug_Period_1_Tbl[[#All],[$ CLASS PAY]])+  SUMIF(Sep_Period_1_Tbl[[#All],[STAFF:]],$A39,Sep_Period_1_Tbl[[#All],[$ CLASS PAY]])+  SUMIF(Oct_Period_1_Tbl[[#All],[STAFF:]],$A39,Oct_Period_1_Tbl[[#All],[$ CLASS PAY]])+     SUMIF(Nov_Period_1_Tbl[[#All],[STAFF:]],$A39,Nov_Period_1_Tbl[[#All],[$ CLASS PAY]])+  SUMIF(Dec_Period_1_Tbl[[#All],[STAFF:]],$A39,Dec_Period_1_Tbl[[#All],[$ CLASS PAY]]))+   (SUMIF(Jan_Period_2_Tbl[[#All],[STAFF:]],$A39,Jan_Period_2_Tbl[[#All],[$ CLASS PAY]])+
SUMIF(Feb_Period_2_Tbl[[#All],[STAFF:]],$A39,Feb_Period_2_Tbl[[#All],[$ CLASS PAY]])+SUMIF(Mar_Period_2_Tbl[[#All],[STAFF:]],$A39,Mar_Period_2_Tbl[[#All],[$ CLASS PAY]])+SUMIF(Apr_Period_2_Tbl[[#All],[STAFF:]],$A39,Apr_Period_2_Tbl[[#All],[$ CLASS PAY]])+   SUMIF(May_Period_2_Tbl[[#All],[STAFF:]],$A39,May_Period_2_Tbl[[#All],[$ CLASS PAY]])+   SUMIF(Jun_Period_2_Tbl[[#All],[STAFF:]],$A39,Jun_Period_2_Tbl[[#All],[$ CLASS PAY]])+  SUMIF(Jul_Period_2_Tbl[[#All],[STAFF:]],$A39,Jul_Period_2_Tbl[[#All],[$ CLASS PAY]])+  SUMIF(Aug_Period_2_Tbl[[#All],[STAFF:]],$A39,Aug_Period_2_Tbl[[#All],[$ CLASS PAY]])+  SUMIF(Sep_Period_2_Tbl[[#All],[STAFF:]],$A39,Sep_Period_2_Tbl[[#All],[$ CLASS PAY]])+  SUMIF(Oct_Period_2_Tbl[[#All],[STAFF:]],$A39,Oct_Period_2_Tbl[[#All],[$ CLASS PAY]])+     SUMIF(Nov_Period_2_Tbl[[#All],[STAFF:]],$A39,Nov_Period_2_Tbl[[#All],[$ CLASS PAY]])+  SUMIF(Dec_Period_2_Tbl[[#All],[STAFF:]],$A39,Dec_Period_2_Tbl[[#All],[$ CLASS PAY]]))</f>
        <v>0</v>
      </c>
      <c r="O39" s="191">
        <f>(SUMIF(Jan_Period_1_Tbl[[#All],[STAFF:]],$A39,Jan_Period_1_Tbl[[#All],[$ BONUS PAY]])+
SUMIF(Feb_Period_1_Tbl[[#All],[STAFF:]],$A39,Feb_Period_1_Tbl[[#All],[$ BONUS PAY]])+SUMIF(Mar_Period_1_Tbl[[#All],[STAFF:]],$A39,Mar_Period_1_Tbl[[#All],[$ BONUS PAY]])+SUMIF(Apr_Period_1_Tbl[[#All],[STAFF:]],$A39,Apr_Period_1_Tbl[[#All],[$ BONUS PAY]])+   SUMIF(May_Period_1_Tbl[[#All],[STAFF:]],$A39,May_Period_1_Tbl[[#All],[$ BONUS PAY]])+   SUMIF(Jun_Period_1_Tbl[[#All],[STAFF:]],$A39,Jun_Period_1_Tbl[[#All],[$ BONUS PAY]])+  SUMIF(Jul_Period_1_Tbl[[#All],[STAFF:]],$A39,Jul_Period_1_Tbl[[#All],[$ BONUS PAY]])+  SUMIF(Aug_Period_1_Tbl[[#All],[STAFF:]],$A39,Aug_Period_1_Tbl[[#All],[$ BONUS PAY]])+  SUMIF(Sep_Period_1_Tbl[[#All],[STAFF:]],$A39,Sep_Period_1_Tbl[[#All],[$ BONUS PAY]])+  SUMIF(Oct_Period_1_Tbl[[#All],[STAFF:]],$A39,Oct_Period_1_Tbl[[#All],[$ BONUS PAY]])+     SUMIF(Nov_Period_1_Tbl[[#All],[STAFF:]],$A39,Nov_Period_1_Tbl[[#All],[$ BONUS PAY]])+  SUMIF(Dec_Period_1_Tbl[[#All],[STAFF:]],$A39,Dec_Period_1_Tbl[[#All],[$ BONUS PAY]]))+   (SUMIF(Jan_Period_2_Tbl[[#All],[STAFF:]],$A39,Jan_Period_2_Tbl[[#All],[$ BONUS PAY]])+
SUMIF(Feb_Period_2_Tbl[[#All],[STAFF:]],$A39,Feb_Period_2_Tbl[[#All],[$ BONUS PAY]])+SUMIF(Mar_Period_2_Tbl[[#All],[STAFF:]],$A39,Mar_Period_2_Tbl[[#All],[$ BONUS PAY]])+SUMIF(Apr_Period_2_Tbl[[#All],[STAFF:]],$A39,Apr_Period_2_Tbl[[#All],[$ BONUS PAY]])+   SUMIF(May_Period_2_Tbl[[#All],[STAFF:]],$A39,May_Period_2_Tbl[[#All],[$ BONUS PAY]])+   SUMIF(Jun_Period_2_Tbl[[#All],[STAFF:]],$A39,Jun_Period_2_Tbl[[#All],[$ BONUS PAY]])+  SUMIF(Jul_Period_2_Tbl[[#All],[STAFF:]],$A39,Jul_Period_2_Tbl[[#All],[$ BONUS PAY]])+  SUMIF(Aug_Period_2_Tbl[[#All],[STAFF:]],$A39,Aug_Period_2_Tbl[[#All],[$ BONUS PAY]])+  SUMIF(Sep_Period_2_Tbl[[#All],[STAFF:]],$A39,Sep_Period_2_Tbl[[#All],[$ BONUS PAY]])+  SUMIF(Oct_Period_2_Tbl[[#All],[STAFF:]],$A39,Oct_Period_2_Tbl[[#All],[$ BONUS PAY]])+     SUMIF(Nov_Period_2_Tbl[[#All],[STAFF:]],$A39,Nov_Period_2_Tbl[[#All],[$ BONUS PAY]])+  SUMIF(Dec_Period_2_Tbl[[#All],[STAFF:]],$A39,Dec_Period_2_Tbl[[#All],[$ BONUS PAY]]))</f>
        <v>0</v>
      </c>
      <c r="P39" s="179">
        <f t="shared" si="9"/>
        <v>0</v>
      </c>
      <c r="Q39" s="149"/>
      <c r="R39" s="153">
        <f>(SUMIF(Jan_Period_1_Tbl[[#All],[STAFF:]],$A39,Jan_Period_1_Tbl[[#All],['# POINTS EARNED]])+
SUMIF(Feb_Period_1_Tbl[[#All],[STAFF:]],$A39,Feb_Period_1_Tbl[[#All],['# POINTS EARNED]])+SUMIF(Mar_Period_1_Tbl[[#All],[STAFF:]],$A39,Mar_Period_1_Tbl[[#All],['# POINTS EARNED]])+SUMIF(Apr_Period_1_Tbl[[#All],[STAFF:]],$A39,Apr_Period_1_Tbl[[#All],['# POINTS EARNED]])+   SUMIF(May_Period_1_Tbl[[#All],[STAFF:]],$A39,May_Period_1_Tbl[[#All],['# POINTS EARNED]])+   SUMIF(Jun_Period_1_Tbl[[#All],[STAFF:]],$A39,Jun_Period_1_Tbl[[#All],['# POINTS EARNED]])+  SUMIF(Jul_Period_1_Tbl[[#All],[STAFF:]],$A39,Jul_Period_1_Tbl[[#All],['# POINTS EARNED]])+  SUMIF(Aug_Period_1_Tbl[[#All],[STAFF:]],$A39,Aug_Period_1_Tbl[[#All],['# POINTS EARNED]])+  SUMIF(Sep_Period_1_Tbl[[#All],[STAFF:]],$A39,Sep_Period_1_Tbl[[#All],['# POINTS EARNED]])+  SUMIF(Oct_Period_1_Tbl[[#All],[STAFF:]],$A39,Oct_Period_1_Tbl[[#All],['# POINTS EARNED]])+     SUMIF(Nov_Period_1_Tbl[[#All],[STAFF:]],$A39,Nov_Period_1_Tbl[[#All],['# POINTS EARNED]])+  SUMIF(Dec_Period_1_Tbl[[#All],[STAFF:]],$A39,Dec_Period_1_Tbl[[#All],['# POINTS EARNED]]))+   (SUMIF(Jan_Period_2_Tbl[[#All],[STAFF:]],$A39,Jan_Period_2_Tbl[[#All],['# POINTS EARNED]])+
SUMIF(Feb_Period_2_Tbl[[#All],[STAFF:]],$A39,Feb_Period_2_Tbl[[#All],['# POINTS EARNED]])+SUMIF(Mar_Period_2_Tbl[[#All],[STAFF:]],$A39,Mar_Period_2_Tbl[[#All],['# POINTS EARNED]])+SUMIF(Apr_Period_2_Tbl[[#All],[STAFF:]],$A39,Apr_Period_2_Tbl[[#All],['# POINTS EARNED]])+   SUMIF(May_Period_2_Tbl[[#All],[STAFF:]],$A39,May_Period_2_Tbl[[#All],['# POINTS EARNED]])+   SUMIF(Jun_Period_2_Tbl[[#All],[STAFF:]],$A39,Jun_Period_2_Tbl[[#All],['# POINTS EARNED]])+  SUMIF(Jul_Period_2_Tbl[[#All],[STAFF:]],$A39,Jul_Period_2_Tbl[[#All],['# POINTS EARNED]])+  SUMIF(Aug_Period_2_Tbl[[#All],[STAFF:]],$A39,Aug_Period_2_Tbl[[#All],['# POINTS EARNED]])+  SUMIF(Sep_Period_2_Tbl[[#All],[STAFF:]],$A39,Sep_Period_2_Tbl[[#All],['# POINTS EARNED]])+  SUMIF(Oct_Period_2_Tbl[[#All],[STAFF:]],$A39,Oct_Period_2_Tbl[[#All],['# POINTS EARNED]])+     SUMIF(Nov_Period_2_Tbl[[#All],[STAFF:]],$A39,Nov_Period_2_Tbl[[#All],['# POINTS EARNED]])+  SUMIF(Dec_Period_2_Tbl[[#All],[STAFF:]],$A39,Dec_Period_2_Tbl[[#All],['# POINTS EARNED]]))</f>
        <v>0</v>
      </c>
      <c r="S39" s="153">
        <f>(SUMIF(Jan_Period_1_Tbl[[#All],[STAFF:]],$A39,Jan_Period_1_Tbl[[#All],['# POINTS USED]])+
SUMIF(Feb_Period_1_Tbl[[#All],[STAFF:]],$A39,Feb_Period_1_Tbl[[#All],['# POINTS USED]])+SUMIF(Mar_Period_1_Tbl[[#All],[STAFF:]],$A39,Mar_Period_1_Tbl[[#All],['# POINTS USED]])+SUMIF(Apr_Period_1_Tbl[[#All],[STAFF:]],$A39,Apr_Period_1_Tbl[[#All],['# POINTS USED]])+   SUMIF(May_Period_1_Tbl[[#All],[STAFF:]],$A39,May_Period_1_Tbl[[#All],['# POINTS USED]])+   SUMIF(Jun_Period_1_Tbl[[#All],[STAFF:]],$A39,Jun_Period_1_Tbl[[#All],['# POINTS USED]])+  SUMIF(Jul_Period_1_Tbl[[#All],[STAFF:]],$A39,Jul_Period_1_Tbl[[#All],['# POINTS USED]])+  SUMIF(Aug_Period_1_Tbl[[#All],[STAFF:]],$A39,Aug_Period_1_Tbl[[#All],['# POINTS USED]])+  SUMIF(Sep_Period_1_Tbl[[#All],[STAFF:]],$A39,Sep_Period_1_Tbl[[#All],['# POINTS USED]])+  SUMIF(Oct_Period_1_Tbl[[#All],[STAFF:]],$A39,Oct_Period_1_Tbl[[#All],['# POINTS USED]])+     SUMIF(Nov_Period_1_Tbl[[#All],[STAFF:]],$A39,Nov_Period_1_Tbl[[#All],['# POINTS USED]])+  SUMIF(Dec_Period_1_Tbl[[#All],[STAFF:]],$A39,Dec_Period_1_Tbl[[#All],['# POINTS USED]]))+   (SUMIF(Jan_Period_2_Tbl[[#All],[STAFF:]],$A39,Jan_Period_2_Tbl[[#All],['# POINTS USED]])+
SUMIF(Feb_Period_2_Tbl[[#All],[STAFF:]],$A39,Feb_Period_2_Tbl[[#All],['# POINTS USED]])+SUMIF(Mar_Period_2_Tbl[[#All],[STAFF:]],$A39,Mar_Period_2_Tbl[[#All],['# POINTS USED]])+SUMIF(Apr_Period_2_Tbl[[#All],[STAFF:]],$A39,Apr_Period_2_Tbl[[#All],['# POINTS USED]])+   SUMIF(May_Period_2_Tbl[[#All],[STAFF:]],$A39,May_Period_2_Tbl[[#All],['# POINTS USED]])+   SUMIF(Jun_Period_2_Tbl[[#All],[STAFF:]],$A39,Jun_Period_2_Tbl[[#All],['# POINTS USED]])+  SUMIF(Jul_Period_2_Tbl[[#All],[STAFF:]],$A39,Jul_Period_2_Tbl[[#All],['# POINTS USED]])+  SUMIF(Aug_Period_2_Tbl[[#All],[STAFF:]],$A39,Aug_Period_2_Tbl[[#All],['# POINTS USED]])+  SUMIF(Sep_Period_2_Tbl[[#All],[STAFF:]],$A39,Sep_Period_2_Tbl[[#All],['# POINTS USED]])+  SUMIF(Oct_Period_2_Tbl[[#All],[STAFF:]],$A39,Oct_Period_2_Tbl[[#All],['# POINTS USED]])+     SUMIF(Nov_Period_2_Tbl[[#All],[STAFF:]],$A39,Nov_Period_2_Tbl[[#All],['# POINTS USED]])+  SUMIF(Dec_Period_2_Tbl[[#All],[STAFF:]],$A39,Dec_Period_2_Tbl[[#All],['# POINTS USED]]))</f>
        <v>0</v>
      </c>
      <c r="T39" s="153">
        <f>(SUMIF(Jan_Period_1_Tbl[[#All],[STAFF:]],$A39,Jan_Period_1_Tbl[[#All],['# CLASSES LEAD]])+
SUMIF(Feb_Period_1_Tbl[[#All],[STAFF:]],$A39,Feb_Period_1_Tbl[[#All],['# CLASSES LEAD]])+SUMIF(Mar_Period_1_Tbl[[#All],[STAFF:]],$A39,Mar_Period_1_Tbl[[#All],['# CLASSES LEAD]])+SUMIF(Apr_Period_1_Tbl[[#All],[STAFF:]],$A39,Apr_Period_1_Tbl[[#All],['# CLASSES LEAD]])+   SUMIF(May_Period_1_Tbl[[#All],[STAFF:]],$A39,May_Period_1_Tbl[[#All],['# CLASSES LEAD]])+   SUMIF(Jun_Period_1_Tbl[[#All],[STAFF:]],$A39,Jun_Period_1_Tbl[[#All],['# CLASSES LEAD]])+  SUMIF(Jul_Period_1_Tbl[[#All],[STAFF:]],$A39,Jul_Period_1_Tbl[[#All],['# CLASSES LEAD]])+  SUMIF(Aug_Period_1_Tbl[[#All],[STAFF:]],$A39,Aug_Period_1_Tbl[[#All],['# CLASSES LEAD]])+  SUMIF(Sep_Period_1_Tbl[[#All],[STAFF:]],$A39,Sep_Period_1_Tbl[[#All],['# CLASSES LEAD]])+  SUMIF(Oct_Period_1_Tbl[[#All],[STAFF:]],$A39,Oct_Period_1_Tbl[[#All],['# CLASSES LEAD]])+     SUMIF(Nov_Period_1_Tbl[[#All],[STAFF:]],$A39,Nov_Period_1_Tbl[[#All],['# CLASSES LEAD]])+  SUMIF(Dec_Period_1_Tbl[[#All],[STAFF:]],$A39,Dec_Period_1_Tbl[[#All],['# CLASSES LEAD]]))+   (SUMIF(Jan_Period_2_Tbl[[#All],[STAFF:]],$A39,Jan_Period_2_Tbl[[#All],['# CLASSES LEAD]])+
SUMIF(Feb_Period_2_Tbl[[#All],[STAFF:]],$A39,Feb_Period_2_Tbl[[#All],['# CLASSES LEAD]])+SUMIF(Mar_Period_2_Tbl[[#All],[STAFF:]],$A39,Mar_Period_2_Tbl[[#All],['# CLASSES LEAD]])+SUMIF(Apr_Period_2_Tbl[[#All],[STAFF:]],$A39,Apr_Period_2_Tbl[[#All],['# CLASSES LEAD]])+   SUMIF(May_Period_2_Tbl[[#All],[STAFF:]],$A39,May_Period_2_Tbl[[#All],['# CLASSES LEAD]])+   SUMIF(Jun_Period_2_Tbl[[#All],[STAFF:]],$A39,Jun_Period_2_Tbl[[#All],['# CLASSES LEAD]])+  SUMIF(Jul_Period_2_Tbl[[#All],[STAFF:]],$A39,Jul_Period_2_Tbl[[#All],['# CLASSES LEAD]])+  SUMIF(Aug_Period_2_Tbl[[#All],[STAFF:]],$A39,Aug_Period_2_Tbl[[#All],['# CLASSES LEAD]])+  SUMIF(Sep_Period_2_Tbl[[#All],[STAFF:]],$A39,Sep_Period_2_Tbl[[#All],['# CLASSES LEAD]])+  SUMIF(Oct_Period_2_Tbl[[#All],[STAFF:]],$A39,Oct_Period_2_Tbl[[#All],['# CLASSES LEAD]])+     SUMIF(Nov_Period_2_Tbl[[#All],[STAFF:]],$A39,Nov_Period_2_Tbl[[#All],['# CLASSES LEAD]])+  SUMIF(Dec_Period_2_Tbl[[#All],[STAFF:]],$A39,Dec_Period_2_Tbl[[#All],['# CLASSES LEAD]]))</f>
        <v>0</v>
      </c>
      <c r="U39" s="153">
        <f>(SUMIF(Jan_Period_1_Tbl[[#All],[STAFF:]],$A39,Jan_Period_1_Tbl[[#All],['# CLASSES SHOW]])+
SUMIF(Feb_Period_1_Tbl[[#All],[STAFF:]],$A39,Feb_Period_1_Tbl[[#All],['# CLASSES SHOW]])+SUMIF(Mar_Period_1_Tbl[[#All],[STAFF:]],$A39,Mar_Period_1_Tbl[[#All],['# CLASSES SHOW]])+SUMIF(Apr_Period_1_Tbl[[#All],[STAFF:]],$A39,Apr_Period_1_Tbl[[#All],['# CLASSES SHOW]])+   SUMIF(May_Period_1_Tbl[[#All],[STAFF:]],$A39,May_Period_1_Tbl[[#All],['# CLASSES SHOW]])+   SUMIF(Jun_Period_1_Tbl[[#All],[STAFF:]],$A39,Jun_Period_1_Tbl[[#All],['# CLASSES SHOW]])+  SUMIF(Jul_Period_1_Tbl[[#All],[STAFF:]],$A39,Jul_Period_1_Tbl[[#All],['# CLASSES SHOW]])+  SUMIF(Aug_Period_1_Tbl[[#All],[STAFF:]],$A39,Aug_Period_1_Tbl[[#All],['# CLASSES SHOW]])+  SUMIF(Sep_Period_1_Tbl[[#All],[STAFF:]],$A39,Sep_Period_1_Tbl[[#All],['# CLASSES SHOW]])+  SUMIF(Oct_Period_1_Tbl[[#All],[STAFF:]],$A39,Oct_Period_1_Tbl[[#All],['# CLASSES SHOW]])+     SUMIF(Nov_Period_1_Tbl[[#All],[STAFF:]],$A39,Nov_Period_1_Tbl[[#All],['# CLASSES SHOW]])+  SUMIF(Dec_Period_1_Tbl[[#All],[STAFF:]],$A39,Dec_Period_1_Tbl[[#All],['# CLASSES SHOW]]))+   (SUMIF(Jan_Period_2_Tbl[[#All],[STAFF:]],$A39,Jan_Period_2_Tbl[[#All],['# CLASSES SHOW]])+
SUMIF(Feb_Period_2_Tbl[[#All],[STAFF:]],$A39,Feb_Period_2_Tbl[[#All],['# CLASSES SHOW]])+SUMIF(Mar_Period_2_Tbl[[#All],[STAFF:]],$A39,Mar_Period_2_Tbl[[#All],['# CLASSES SHOW]])+SUMIF(Apr_Period_2_Tbl[[#All],[STAFF:]],$A39,Apr_Period_2_Tbl[[#All],['# CLASSES SHOW]])+   SUMIF(May_Period_2_Tbl[[#All],[STAFF:]],$A39,May_Period_2_Tbl[[#All],['# CLASSES SHOW]])+   SUMIF(Jun_Period_2_Tbl[[#All],[STAFF:]],$A39,Jun_Period_2_Tbl[[#All],['# CLASSES SHOW]])+  SUMIF(Jul_Period_2_Tbl[[#All],[STAFF:]],$A39,Jul_Period_2_Tbl[[#All],['# CLASSES SHOW]])+  SUMIF(Aug_Period_2_Tbl[[#All],[STAFF:]],$A39,Aug_Period_2_Tbl[[#All],['# CLASSES SHOW]])+  SUMIF(Sep_Period_2_Tbl[[#All],[STAFF:]],$A39,Sep_Period_2_Tbl[[#All],['# CLASSES SHOW]])+  SUMIF(Oct_Period_2_Tbl[[#All],[STAFF:]],$A39,Oct_Period_2_Tbl[[#All],['# CLASSES SHOW]])+     SUMIF(Nov_Period_2_Tbl[[#All],[STAFF:]],$A39,Nov_Period_2_Tbl[[#All],['# CLASSES SHOW]])+  SUMIF(Dec_Period_2_Tbl[[#All],[STAFF:]],$A39,Dec_Period_2_Tbl[[#All],['# CLASSES SHOW]]))</f>
        <v>0</v>
      </c>
      <c r="V39" s="156"/>
      <c r="W39" s="156"/>
      <c r="X39" s="155">
        <f t="shared" si="10"/>
        <v>0</v>
      </c>
      <c r="Y39" s="155">
        <f t="shared" si="11"/>
        <v>0</v>
      </c>
      <c r="Z39" s="155">
        <f t="shared" si="12"/>
        <v>0</v>
      </c>
      <c r="AA39" s="155">
        <f t="shared" si="13"/>
        <v>0</v>
      </c>
      <c r="AB39" s="155">
        <f t="shared" si="14"/>
        <v>0</v>
      </c>
      <c r="AC39" s="155">
        <f t="shared" si="15"/>
        <v>0</v>
      </c>
      <c r="AD39" s="155">
        <f t="shared" si="16"/>
        <v>0</v>
      </c>
      <c r="AE39" s="149"/>
      <c r="AF39" s="149"/>
      <c r="AG39" s="149"/>
      <c r="AH39" s="149"/>
      <c r="AJ39" s="75" t="str">
        <f t="shared" si="17"/>
        <v>zBlank</v>
      </c>
      <c r="AK39" s="210"/>
      <c r="AL39" s="168">
        <f>IFERROR(VLOOKUP(B39,List!$A:$B,2,FALSE),-1)</f>
        <v>-1</v>
      </c>
      <c r="AM39" s="168">
        <f>IFERROR(VLOOKUP(C39,List!$A:$B,2,FALSE),-1)</f>
        <v>-1</v>
      </c>
    </row>
    <row r="40" spans="1:39" ht="15" hidden="1" customHeight="1" x14ac:dyDescent="0.25">
      <c r="A40" s="20"/>
      <c r="B40" s="186"/>
      <c r="C40" s="186"/>
      <c r="D40" s="187"/>
      <c r="E40" s="188">
        <f>(SUMIF(Jan_Period_1_Tbl[[#All],[STAFF:]],$A40,Jan_Period_1_Tbl[[#All],['# PTO USED]])+
SUMIF(Feb_Period_1_Tbl[[#All],[STAFF:]],$A40,Feb_Period_1_Tbl[[#All],['# PTO USED]])+SUMIF(Mar_Period_1_Tbl[[#All],[STAFF:]],$A40,Mar_Period_1_Tbl[[#All],['# PTO USED]])+SUMIF(Apr_Period_1_Tbl[[#All],[STAFF:]],$A40,Apr_Period_1_Tbl[[#All],['# PTO USED]])+   SUMIF(May_Period_1_Tbl[[#All],[STAFF:]],$A40,May_Period_1_Tbl[[#All],['# PTO USED]])+   SUMIF(Jun_Period_1_Tbl[[#All],[STAFF:]],$A40,Jun_Period_1_Tbl[[#All],['# PTO USED]])+  SUMIF(Jul_Period_1_Tbl[[#All],[STAFF:]],$A40,Jul_Period_1_Tbl[[#All],['# PTO USED]])+  SUMIF(Aug_Period_1_Tbl[[#All],[STAFF:]],$A40,Aug_Period_1_Tbl[[#All],['# PTO USED]])+  SUMIF(Sep_Period_1_Tbl[[#All],[STAFF:]],$A40,Sep_Period_1_Tbl[[#All],['# PTO USED]])+  SUMIF(Oct_Period_1_Tbl[[#All],[STAFF:]],$A40,Oct_Period_1_Tbl[[#All],['# PTO USED]])+     SUMIF(Nov_Period_1_Tbl[[#All],[STAFF:]],$A40,Nov_Period_1_Tbl[[#All],['# PTO USED]])+  SUMIF(Dec_Period_1_Tbl[[#All],[STAFF:]],$A40,Dec_Period_1_Tbl[[#All],['# PTO USED]]))+   (SUMIF(Jan_Period_2_Tbl[[#All],[STAFF:]],$A40,Jan_Period_2_Tbl[[#All],['# PTO USED]])+
SUMIF(Feb_Period_2_Tbl[[#All],[STAFF:]],$A40,Feb_Period_2_Tbl[[#All],['# PTO USED]])+SUMIF(Mar_Period_2_Tbl[[#All],[STAFF:]],$A40,Mar_Period_2_Tbl[[#All],['# PTO USED]])+SUMIF(Apr_Period_2_Tbl[[#All],[STAFF:]],$A40,Apr_Period_2_Tbl[[#All],['# PTO USED]])+   SUMIF(May_Period_2_Tbl[[#All],[STAFF:]],$A40,May_Period_2_Tbl[[#All],['# PTO USED]])+   SUMIF(Jun_Period_2_Tbl[[#All],[STAFF:]],$A40,Jun_Period_2_Tbl[[#All],['# PTO USED]])+  SUMIF(Jul_Period_2_Tbl[[#All],[STAFF:]],$A40,Jul_Period_2_Tbl[[#All],['# PTO USED]])+  SUMIF(Aug_Period_2_Tbl[[#All],[STAFF:]],$A40,Aug_Period_2_Tbl[[#All],['# PTO USED]])+  SUMIF(Sep_Period_2_Tbl[[#All],[STAFF:]],$A40,Sep_Period_2_Tbl[[#All],['# PTO USED]])+  SUMIF(Oct_Period_2_Tbl[[#All],[STAFF:]],$A40,Oct_Period_2_Tbl[[#All],['# PTO USED]])+     SUMIF(Nov_Period_2_Tbl[[#All],[STAFF:]],$A40,Nov_Period_2_Tbl[[#All],['# PTO USED]])+  SUMIF(Dec_Period_2_Tbl[[#All],[STAFF:]],$A40,Dec_Period_2_Tbl[[#All],['# PTO USED]]))</f>
        <v>0</v>
      </c>
      <c r="F40" s="189">
        <f>(SUMIF(Jan_Period_1_Tbl[[#All],[STAFF:]],$A40,Jan_Period_1_Tbl[[#All],['# HRS WORKED]])+
SUMIF(Feb_Period_1_Tbl[[#All],[STAFF:]],$A40,Feb_Period_1_Tbl[[#All],['# HRS WORKED]])+SUMIF(Mar_Period_1_Tbl[[#All],[STAFF:]],$A40,Mar_Period_1_Tbl[[#All],['# HRS WORKED]])+SUMIF(Apr_Period_1_Tbl[[#All],[STAFF:]],$A40,Apr_Period_1_Tbl[[#All],['# HRS WORKED]])+   SUMIF(May_Period_1_Tbl[[#All],[STAFF:]],$A40,May_Period_1_Tbl[[#All],['# HRS WORKED]])+   SUMIF(Jun_Period_1_Tbl[[#All],[STAFF:]],$A40,Jun_Period_1_Tbl[[#All],['# HRS WORKED]])+  SUMIF(Jul_Period_1_Tbl[[#All],[STAFF:]],$A40,Jul_Period_1_Tbl[[#All],['# HRS WORKED]])+  SUMIF(Aug_Period_1_Tbl[[#All],[STAFF:]],$A40,Aug_Period_1_Tbl[[#All],['# HRS WORKED]])+  SUMIF(Sep_Period_1_Tbl[[#All],[STAFF:]],$A40,Sep_Period_1_Tbl[[#All],['# HRS WORKED]])+  SUMIF(Oct_Period_1_Tbl[[#All],[STAFF:]],$A40,Oct_Period_1_Tbl[[#All],['# HRS WORKED]])+     SUMIF(Nov_Period_1_Tbl[[#All],[STAFF:]],$A40,Nov_Period_1_Tbl[[#All],['# HRS WORKED]])+  SUMIF(Dec_Period_1_Tbl[[#All],[STAFF:]],$A40,Dec_Period_1_Tbl[[#All],['# HRS WORKED]]))+   (SUMIF(Jan_Period_2_Tbl[[#All],[STAFF:]],$A40,Jan_Period_2_Tbl[[#All],['# HRS WORKED]])+
SUMIF(Feb_Period_2_Tbl[[#All],[STAFF:]],$A40,Feb_Period_2_Tbl[[#All],['# HRS WORKED]])+SUMIF(Mar_Period_2_Tbl[[#All],[STAFF:]],$A40,Mar_Period_2_Tbl[[#All],['# HRS WORKED]])+SUMIF(Apr_Period_2_Tbl[[#All],[STAFF:]],$A40,Apr_Period_2_Tbl[[#All],['# HRS WORKED]])+   SUMIF(May_Period_2_Tbl[[#All],[STAFF:]],$A40,May_Period_2_Tbl[[#All],['# HRS WORKED]])+   SUMIF(Jun_Period_2_Tbl[[#All],[STAFF:]],$A40,Jun_Period_2_Tbl[[#All],['# HRS WORKED]])+  SUMIF(Jul_Period_2_Tbl[[#All],[STAFF:]],$A40,Jul_Period_2_Tbl[[#All],['# HRS WORKED]])+  SUMIF(Aug_Period_2_Tbl[[#All],[STAFF:]],$A40,Aug_Period_2_Tbl[[#All],['# HRS WORKED]])+  SUMIF(Sep_Period_2_Tbl[[#All],[STAFF:]],$A40,Sep_Period_2_Tbl[[#All],['# HRS WORKED]])+  SUMIF(Oct_Period_2_Tbl[[#All],[STAFF:]],$A40,Oct_Period_2_Tbl[[#All],['# HRS WORKED]])+     SUMIF(Nov_Period_2_Tbl[[#All],[STAFF:]],$A40,Nov_Period_2_Tbl[[#All],['# HRS WORKED]])+  SUMIF(Dec_Period_2_Tbl[[#All],[STAFF:]],$A40,Dec_Period_2_Tbl[[#All],['# HRS WORKED]]))</f>
        <v>0</v>
      </c>
      <c r="G40" s="190">
        <f>(SUMIF(Jan_Period_1_Tbl[[#All],[STAFF:]],$A40,Jan_Period_1_Tbl[[#All],[$ Hourly WAGES]])+
SUMIF(Feb_Period_1_Tbl[[#All],[STAFF:]],$A40,Feb_Period_1_Tbl[[#All],[$ Hourly WAGES]])+SUMIF(Mar_Period_1_Tbl[[#All],[STAFF:]],$A40,Mar_Period_1_Tbl[[#All],[$ Hourly WAGES]])+SUMIF(Apr_Period_1_Tbl[[#All],[STAFF:]],$A40,Apr_Period_1_Tbl[[#All],[$ Hourly WAGES]])+   SUMIF(May_Period_1_Tbl[[#All],[STAFF:]],$A40,May_Period_1_Tbl[[#All],[$ Hourly WAGES]])+   SUMIF(Jun_Period_1_Tbl[[#All],[STAFF:]],$A40,Jun_Period_1_Tbl[[#All],[$ Hourly WAGES]])+  SUMIF(Jul_Period_1_Tbl[[#All],[STAFF:]],$A40,Jul_Period_1_Tbl[[#All],[$ Hourly WAGES]])+  SUMIF(Aug_Period_1_Tbl[[#All],[STAFF:]],$A40,Aug_Period_1_Tbl[[#All],[$ Hourly WAGES]])+  SUMIF(Sep_Period_1_Tbl[[#All],[STAFF:]],$A40,Sep_Period_1_Tbl[[#All],[$ Hourly WAGES]])+  SUMIF(Oct_Period_1_Tbl[[#All],[STAFF:]],$A40,Oct_Period_1_Tbl[[#All],[$ Hourly WAGES]])+     SUMIF(Nov_Period_1_Tbl[[#All],[STAFF:]],$A40,Nov_Period_1_Tbl[[#All],[$ Hourly WAGES]])+  SUMIF(Dec_Period_1_Tbl[[#All],[STAFF:]],$A40,Dec_Period_1_Tbl[[#All],[$ Hourly WAGES]]))+   (SUMIF(Jan_Period_2_Tbl[[#All],[STAFF:]],$A40,Jan_Period_2_Tbl[[#All],[$ Hourly WAGES]])+
SUMIF(Feb_Period_2_Tbl[[#All],[STAFF:]],$A40,Feb_Period_2_Tbl[[#All],[$ Hourly WAGES]])+SUMIF(Mar_Period_2_Tbl[[#All],[STAFF:]],$A40,Mar_Period_2_Tbl[[#All],[$ Hourly WAGES]])+SUMIF(Apr_Period_2_Tbl[[#All],[STAFF:]],$A40,Apr_Period_2_Tbl[[#All],[$ Hourly WAGES]])+   SUMIF(May_Period_2_Tbl[[#All],[STAFF:]],$A40,May_Period_2_Tbl[[#All],[$ Hourly WAGES]])+   SUMIF(Jun_Period_2_Tbl[[#All],[STAFF:]],$A40,Jun_Period_2_Tbl[[#All],[$ Hourly WAGES]])+  SUMIF(Jul_Period_2_Tbl[[#All],[STAFF:]],$A40,Jul_Period_2_Tbl[[#All],[$ Hourly WAGES]])+  SUMIF(Aug_Period_2_Tbl[[#All],[STAFF:]],$A40,Aug_Period_2_Tbl[[#All],[$ Hourly WAGES]])+  SUMIF(Sep_Period_2_Tbl[[#All],[STAFF:]],$A40,Sep_Period_2_Tbl[[#All],[$ Hourly WAGES]])+  SUMIF(Oct_Period_2_Tbl[[#All],[STAFF:]],$A40,Oct_Period_2_Tbl[[#All],[$ Hourly WAGES]])+     SUMIF(Nov_Period_2_Tbl[[#All],[STAFF:]],$A40,Nov_Period_2_Tbl[[#All],[$ Hourly WAGES]])+  SUMIF(Dec_Period_2_Tbl[[#All],[STAFF:]],$A40,Dec_Period_2_Tbl[[#All],[$ Hourly WAGES]]))</f>
        <v>0</v>
      </c>
      <c r="H40" s="190">
        <f>(SUMIF(Jan_Period_1_Tbl[[#All],[STAFF:]],$A40,Jan_Period_1_Tbl[[#All],[$ SALARY]])+
SUMIF(Feb_Period_1_Tbl[[#All],[STAFF:]],$A40,Feb_Period_1_Tbl[[#All],[$ SALARY]])+SUMIF(Mar_Period_1_Tbl[[#All],[STAFF:]],$A40,Mar_Period_1_Tbl[[#All],[$ SALARY]])+SUMIF(Apr_Period_1_Tbl[[#All],[STAFF:]],$A40,Apr_Period_1_Tbl[[#All],[$ SALARY]])+   SUMIF(May_Period_1_Tbl[[#All],[STAFF:]],$A40,May_Period_1_Tbl[[#All],[$ SALARY]])+   SUMIF(Jun_Period_1_Tbl[[#All],[STAFF:]],$A40,Jun_Period_1_Tbl[[#All],[$ SALARY]])+  SUMIF(Jul_Period_1_Tbl[[#All],[STAFF:]],$A40,Jul_Period_1_Tbl[[#All],[$ SALARY]])+  SUMIF(Aug_Period_1_Tbl[[#All],[STAFF:]],$A40,Aug_Period_1_Tbl[[#All],[$ SALARY]])+  SUMIF(Sep_Period_1_Tbl[[#All],[STAFF:]],$A40,Sep_Period_1_Tbl[[#All],[$ SALARY]])+  SUMIF(Oct_Period_1_Tbl[[#All],[STAFF:]],$A40,Oct_Period_1_Tbl[[#All],[$ SALARY]])+     SUMIF(Nov_Period_1_Tbl[[#All],[STAFF:]],$A40,Nov_Period_1_Tbl[[#All],[$ SALARY]])+  SUMIF(Dec_Period_1_Tbl[[#All],[STAFF:]],$A40,Dec_Period_1_Tbl[[#All],[$ SALARY]]))+   (SUMIF(Jan_Period_2_Tbl[[#All],[STAFF:]],$A40,Jan_Period_2_Tbl[[#All],[$ SALARY]])+
SUMIF(Feb_Period_2_Tbl[[#All],[STAFF:]],$A40,Feb_Period_2_Tbl[[#All],[$ SALARY]])+SUMIF(Mar_Period_2_Tbl[[#All],[STAFF:]],$A40,Mar_Period_2_Tbl[[#All],[$ SALARY]])+SUMIF(Apr_Period_2_Tbl[[#All],[STAFF:]],$A40,Apr_Period_2_Tbl[[#All],[$ SALARY]])+   SUMIF(May_Period_2_Tbl[[#All],[STAFF:]],$A40,May_Period_2_Tbl[[#All],[$ SALARY]])+   SUMIF(Jun_Period_2_Tbl[[#All],[STAFF:]],$A40,Jun_Period_2_Tbl[[#All],[$ SALARY]])+  SUMIF(Jul_Period_2_Tbl[[#All],[STAFF:]],$A40,Jul_Period_2_Tbl[[#All],[$ SALARY]])+  SUMIF(Aug_Period_2_Tbl[[#All],[STAFF:]],$A40,Aug_Period_2_Tbl[[#All],[$ SALARY]])+  SUMIF(Sep_Period_2_Tbl[[#All],[STAFF:]],$A40,Sep_Period_2_Tbl[[#All],[$ SALARY]])+  SUMIF(Oct_Period_2_Tbl[[#All],[STAFF:]],$A40,Oct_Period_2_Tbl[[#All],[$ SALARY]])+     SUMIF(Nov_Period_2_Tbl[[#All],[STAFF:]],$A40,Nov_Period_2_Tbl[[#All],[$ SALARY]])+  SUMIF(Dec_Period_2_Tbl[[#All],[STAFF:]],$A40,Dec_Period_2_Tbl[[#All],[$ SALARY]]))</f>
        <v>0</v>
      </c>
      <c r="I40" s="190">
        <f>(SUMIF(Jan_Period_1_Tbl[[#All],[STAFF:]],$A40,Jan_Period_1_Tbl[[#All],[$ SALARY PT]])+
SUMIF(Feb_Period_1_Tbl[[#All],[STAFF:]],$A40,Feb_Period_1_Tbl[[#All],[$ SALARY PT]])+SUMIF(Mar_Period_1_Tbl[[#All],[STAFF:]],$A40,Mar_Period_1_Tbl[[#All],[$ SALARY PT]])+SUMIF(Apr_Period_1_Tbl[[#All],[STAFF:]],$A40,Apr_Period_1_Tbl[[#All],[$ SALARY PT]])+   SUMIF(May_Period_1_Tbl[[#All],[STAFF:]],$A40,May_Period_1_Tbl[[#All],[$ SALARY PT]])+   SUMIF(Jun_Period_1_Tbl[[#All],[STAFF:]],$A40,Jun_Period_1_Tbl[[#All],[$ SALARY PT]])+  SUMIF(Jul_Period_1_Tbl[[#All],[STAFF:]],$A40,Jul_Period_1_Tbl[[#All],[$ SALARY PT]])+  SUMIF(Aug_Period_1_Tbl[[#All],[STAFF:]],$A40,Aug_Period_1_Tbl[[#All],[$ SALARY PT]])+  SUMIF(Sep_Period_1_Tbl[[#All],[STAFF:]],$A40,Sep_Period_1_Tbl[[#All],[$ SALARY PT]])+  SUMIF(Oct_Period_1_Tbl[[#All],[STAFF:]],$A40,Oct_Period_1_Tbl[[#All],[$ SALARY PT]])+     SUMIF(Nov_Period_1_Tbl[[#All],[STAFF:]],$A40,Nov_Period_1_Tbl[[#All],[$ SALARY PT]])+  SUMIF(Dec_Period_1_Tbl[[#All],[STAFF:]],$A40,Dec_Period_1_Tbl[[#All],[$ SALARY PT]]))+   (SUMIF(Jan_Period_2_Tbl[[#All],[STAFF:]],$A40,Jan_Period_2_Tbl[[#All],[$ SALARY PT]])+
SUMIF(Feb_Period_2_Tbl[[#All],[STAFF:]],$A40,Feb_Period_2_Tbl[[#All],[$ SALARY PT]])+SUMIF(Mar_Period_2_Tbl[[#All],[STAFF:]],$A40,Mar_Period_2_Tbl[[#All],[$ SALARY PT]])+SUMIF(Apr_Period_2_Tbl[[#All],[STAFF:]],$A40,Apr_Period_2_Tbl[[#All],[$ SALARY PT]])+   SUMIF(May_Period_2_Tbl[[#All],[STAFF:]],$A40,May_Period_2_Tbl[[#All],[$ SALARY PT]])+   SUMIF(Jun_Period_2_Tbl[[#All],[STAFF:]],$A40,Jun_Period_2_Tbl[[#All],[$ SALARY PT]])+  SUMIF(Jul_Period_2_Tbl[[#All],[STAFF:]],$A40,Jul_Period_2_Tbl[[#All],[$ SALARY PT]])+  SUMIF(Aug_Period_2_Tbl[[#All],[STAFF:]],$A40,Aug_Period_2_Tbl[[#All],[$ SALARY PT]])+  SUMIF(Sep_Period_2_Tbl[[#All],[STAFF:]],$A40,Sep_Period_2_Tbl[[#All],[$ SALARY PT]])+  SUMIF(Oct_Period_2_Tbl[[#All],[STAFF:]],$A40,Oct_Period_2_Tbl[[#All],[$ SALARY PT]])+     SUMIF(Nov_Period_2_Tbl[[#All],[STAFF:]],$A40,Nov_Period_2_Tbl[[#All],[$ SALARY PT]])+  SUMIF(Dec_Period_2_Tbl[[#All],[STAFF:]],$A40,Dec_Period_2_Tbl[[#All],[$ SALARY PT]]))</f>
        <v>0</v>
      </c>
      <c r="J40" s="190">
        <f>(SUMIF(Jan_Period_1_Tbl[[#All],[STAFF:]],$A40,Jan_Period_1_Tbl[[#All],[$ FREE PT]])+
SUMIF(Feb_Period_1_Tbl[[#All],[STAFF:]],$A40,Feb_Period_1_Tbl[[#All],[$ FREE PT]])+SUMIF(Mar_Period_1_Tbl[[#All],[STAFF:]],$A40,Mar_Period_1_Tbl[[#All],[$ FREE PT]])+SUMIF(Apr_Period_1_Tbl[[#All],[STAFF:]],$A40,Apr_Period_1_Tbl[[#All],[$ FREE PT]])+   SUMIF(May_Period_1_Tbl[[#All],[STAFF:]],$A40,May_Period_1_Tbl[[#All],[$ FREE PT]])+   SUMIF(Jun_Period_1_Tbl[[#All],[STAFF:]],$A40,Jun_Period_1_Tbl[[#All],[$ FREE PT]])+  SUMIF(Jul_Period_1_Tbl[[#All],[STAFF:]],$A40,Jul_Period_1_Tbl[[#All],[$ FREE PT]])+  SUMIF(Aug_Period_1_Tbl[[#All],[STAFF:]],$A40,Aug_Period_1_Tbl[[#All],[$ FREE PT]])+  SUMIF(Sep_Period_1_Tbl[[#All],[STAFF:]],$A40,Sep_Period_1_Tbl[[#All],[$ FREE PT]])+  SUMIF(Oct_Period_1_Tbl[[#All],[STAFF:]],$A40,Oct_Period_1_Tbl[[#All],[$ FREE PT]])+     SUMIF(Nov_Period_1_Tbl[[#All],[STAFF:]],$A40,Nov_Period_1_Tbl[[#All],[$ FREE PT]])+  SUMIF(Dec_Period_1_Tbl[[#All],[STAFF:]],$A40,Dec_Period_1_Tbl[[#All],[$ FREE PT]]))+   (SUMIF(Jan_Period_2_Tbl[[#All],[STAFF:]],$A40,Jan_Period_2_Tbl[[#All],[$ FREE PT]])+
SUMIF(Feb_Period_2_Tbl[[#All],[STAFF:]],$A40,Feb_Period_2_Tbl[[#All],[$ FREE PT]])+SUMIF(Mar_Period_2_Tbl[[#All],[STAFF:]],$A40,Mar_Period_2_Tbl[[#All],[$ FREE PT]])+SUMIF(Apr_Period_2_Tbl[[#All],[STAFF:]],$A40,Apr_Period_2_Tbl[[#All],[$ FREE PT]])+   SUMIF(May_Period_2_Tbl[[#All],[STAFF:]],$A40,May_Period_2_Tbl[[#All],[$ FREE PT]])+   SUMIF(Jun_Period_2_Tbl[[#All],[STAFF:]],$A40,Jun_Period_2_Tbl[[#All],[$ FREE PT]])+  SUMIF(Jul_Period_2_Tbl[[#All],[STAFF:]],$A40,Jul_Period_2_Tbl[[#All],[$ FREE PT]])+  SUMIF(Aug_Period_2_Tbl[[#All],[STAFF:]],$A40,Aug_Period_2_Tbl[[#All],[$ FREE PT]])+  SUMIF(Sep_Period_2_Tbl[[#All],[STAFF:]],$A40,Sep_Period_2_Tbl[[#All],[$ FREE PT]])+  SUMIF(Oct_Period_2_Tbl[[#All],[STAFF:]],$A40,Oct_Period_2_Tbl[[#All],[$ FREE PT]])+     SUMIF(Nov_Period_2_Tbl[[#All],[STAFF:]],$A40,Nov_Period_2_Tbl[[#All],[$ FREE PT]])+  SUMIF(Dec_Period_2_Tbl[[#All],[STAFF:]],$A40,Dec_Period_2_Tbl[[#All],[$ FREE PT]]))</f>
        <v>0</v>
      </c>
      <c r="K40" s="190">
        <f>(SUMIF(Jan_Period_1_Tbl[[#All],[STAFF:]],$A40,Jan_Period_1_Tbl[[#All],[$ PAID PT]])+
SUMIF(Feb_Period_1_Tbl[[#All],[STAFF:]],$A40,Feb_Period_1_Tbl[[#All],[$ PAID PT]])+SUMIF(Mar_Period_1_Tbl[[#All],[STAFF:]],$A40,Mar_Period_1_Tbl[[#All],[$ PAID PT]])+SUMIF(Apr_Period_1_Tbl[[#All],[STAFF:]],$A40,Apr_Period_1_Tbl[[#All],[$ PAID PT]])+   SUMIF(May_Period_1_Tbl[[#All],[STAFF:]],$A40,May_Period_1_Tbl[[#All],[$ PAID PT]])+   SUMIF(Jun_Period_1_Tbl[[#All],[STAFF:]],$A40,Jun_Period_1_Tbl[[#All],[$ PAID PT]])+  SUMIF(Jul_Period_1_Tbl[[#All],[STAFF:]],$A40,Jul_Period_1_Tbl[[#All],[$ PAID PT]])+  SUMIF(Aug_Period_1_Tbl[[#All],[STAFF:]],$A40,Aug_Period_1_Tbl[[#All],[$ PAID PT]])+  SUMIF(Sep_Period_1_Tbl[[#All],[STAFF:]],$A40,Sep_Period_1_Tbl[[#All],[$ PAID PT]])+  SUMIF(Oct_Period_1_Tbl[[#All],[STAFF:]],$A40,Oct_Period_1_Tbl[[#All],[$ PAID PT]])+     SUMIF(Nov_Period_1_Tbl[[#All],[STAFF:]],$A40,Nov_Period_1_Tbl[[#All],[$ PAID PT]])+  SUMIF(Dec_Period_1_Tbl[[#All],[STAFF:]],$A40,Dec_Period_1_Tbl[[#All],[$ PAID PT]]))+   (SUMIF(Jan_Period_2_Tbl[[#All],[STAFF:]],$A40,Jan_Period_2_Tbl[[#All],[$ PAID PT]])+
SUMIF(Feb_Period_2_Tbl[[#All],[STAFF:]],$A40,Feb_Period_2_Tbl[[#All],[$ PAID PT]])+SUMIF(Mar_Period_2_Tbl[[#All],[STAFF:]],$A40,Mar_Period_2_Tbl[[#All],[$ PAID PT]])+SUMIF(Apr_Period_2_Tbl[[#All],[STAFF:]],$A40,Apr_Period_2_Tbl[[#All],[$ PAID PT]])+   SUMIF(May_Period_2_Tbl[[#All],[STAFF:]],$A40,May_Period_2_Tbl[[#All],[$ PAID PT]])+   SUMIF(Jun_Period_2_Tbl[[#All],[STAFF:]],$A40,Jun_Period_2_Tbl[[#All],[$ PAID PT]])+  SUMIF(Jul_Period_2_Tbl[[#All],[STAFF:]],$A40,Jul_Period_2_Tbl[[#All],[$ PAID PT]])+  SUMIF(Aug_Period_2_Tbl[[#All],[STAFF:]],$A40,Aug_Period_2_Tbl[[#All],[$ PAID PT]])+  SUMIF(Sep_Period_2_Tbl[[#All],[STAFF:]],$A40,Sep_Period_2_Tbl[[#All],[$ PAID PT]])+  SUMIF(Oct_Period_2_Tbl[[#All],[STAFF:]],$A40,Oct_Period_2_Tbl[[#All],[$ PAID PT]])+     SUMIF(Nov_Period_2_Tbl[[#All],[STAFF:]],$A40,Nov_Period_2_Tbl[[#All],[$ PAID PT]])+  SUMIF(Dec_Period_2_Tbl[[#All],[STAFF:]],$A40,Dec_Period_2_Tbl[[#All],[$ PAID PT]]))</f>
        <v>0</v>
      </c>
      <c r="L40" s="190">
        <f>(SUMIF(Jan_Period_1_Tbl[[#All],[STAFF:]],$A40,Jan_Period_1_Tbl[[#All],[$ PT COMM]])+
SUMIF(Feb_Period_1_Tbl[[#All],[STAFF:]],$A40,Feb_Period_1_Tbl[[#All],[$ PT COMM]])+SUMIF(Mar_Period_1_Tbl[[#All],[STAFF:]],$A40,Mar_Period_1_Tbl[[#All],[$ PT COMM]])+SUMIF(Apr_Period_1_Tbl[[#All],[STAFF:]],$A40,Apr_Period_1_Tbl[[#All],[$ PT COMM]])+   SUMIF(May_Period_1_Tbl[[#All],[STAFF:]],$A40,May_Period_1_Tbl[[#All],[$ PT COMM]])+   SUMIF(Jun_Period_1_Tbl[[#All],[STAFF:]],$A40,Jun_Period_1_Tbl[[#All],[$ PT COMM]])+  SUMIF(Jul_Period_1_Tbl[[#All],[STAFF:]],$A40,Jul_Period_1_Tbl[[#All],[$ PT COMM]])+  SUMIF(Aug_Period_1_Tbl[[#All],[STAFF:]],$A40,Aug_Period_1_Tbl[[#All],[$ PT COMM]])+  SUMIF(Sep_Period_1_Tbl[[#All],[STAFF:]],$A40,Sep_Period_1_Tbl[[#All],[$ PT COMM]])+  SUMIF(Oct_Period_1_Tbl[[#All],[STAFF:]],$A40,Oct_Period_1_Tbl[[#All],[$ PT COMM]])+     SUMIF(Nov_Period_1_Tbl[[#All],[STAFF:]],$A40,Nov_Period_1_Tbl[[#All],[$ PT COMM]])+  SUMIF(Dec_Period_1_Tbl[[#All],[STAFF:]],$A40,Dec_Period_1_Tbl[[#All],[$ PT COMM]]))+   (SUMIF(Jan_Period_2_Tbl[[#All],[STAFF:]],$A40,Jan_Period_2_Tbl[[#All],[$ PT COMM]])+
SUMIF(Feb_Period_2_Tbl[[#All],[STAFF:]],$A40,Feb_Period_2_Tbl[[#All],[$ PT COMM]])+SUMIF(Mar_Period_2_Tbl[[#All],[STAFF:]],$A40,Mar_Period_2_Tbl[[#All],[$ PT COMM]])+SUMIF(Apr_Period_2_Tbl[[#All],[STAFF:]],$A40,Apr_Period_2_Tbl[[#All],[$ PT COMM]])+   SUMIF(May_Period_2_Tbl[[#All],[STAFF:]],$A40,May_Period_2_Tbl[[#All],[$ PT COMM]])+   SUMIF(Jun_Period_2_Tbl[[#All],[STAFF:]],$A40,Jun_Period_2_Tbl[[#All],[$ PT COMM]])+  SUMIF(Jul_Period_2_Tbl[[#All],[STAFF:]],$A40,Jul_Period_2_Tbl[[#All],[$ PT COMM]])+  SUMIF(Aug_Period_2_Tbl[[#All],[STAFF:]],$A40,Aug_Period_2_Tbl[[#All],[$ PT COMM]])+  SUMIF(Sep_Period_2_Tbl[[#All],[STAFF:]],$A40,Sep_Period_2_Tbl[[#All],[$ PT COMM]])+  SUMIF(Oct_Period_2_Tbl[[#All],[STAFF:]],$A40,Oct_Period_2_Tbl[[#All],[$ PT COMM]])+     SUMIF(Nov_Period_2_Tbl[[#All],[STAFF:]],$A40,Nov_Period_2_Tbl[[#All],[$ PT COMM]])+  SUMIF(Dec_Period_2_Tbl[[#All],[STAFF:]],$A40,Dec_Period_2_Tbl[[#All],[$ PT COMM]]))</f>
        <v>0</v>
      </c>
      <c r="M40" s="190">
        <f>(SUMIF(Jan_Period_1_Tbl[[#All],[STAFF:]],$A40,Jan_Period_1_Tbl[[#All],[$ EFT COMM]])+
SUMIF(Feb_Period_1_Tbl[[#All],[STAFF:]],$A40,Feb_Period_1_Tbl[[#All],[$ EFT COMM]])+SUMIF(Mar_Period_1_Tbl[[#All],[STAFF:]],$A40,Mar_Period_1_Tbl[[#All],[$ EFT COMM]])+SUMIF(Apr_Period_1_Tbl[[#All],[STAFF:]],$A40,Apr_Period_1_Tbl[[#All],[$ EFT COMM]])+   SUMIF(May_Period_1_Tbl[[#All],[STAFF:]],$A40,May_Period_1_Tbl[[#All],[$ EFT COMM]])+   SUMIF(Jun_Period_1_Tbl[[#All],[STAFF:]],$A40,Jun_Period_1_Tbl[[#All],[$ EFT COMM]])+  SUMIF(Jul_Period_1_Tbl[[#All],[STAFF:]],$A40,Jul_Period_1_Tbl[[#All],[$ EFT COMM]])+  SUMIF(Aug_Period_1_Tbl[[#All],[STAFF:]],$A40,Aug_Period_1_Tbl[[#All],[$ EFT COMM]])+  SUMIF(Sep_Period_1_Tbl[[#All],[STAFF:]],$A40,Sep_Period_1_Tbl[[#All],[$ EFT COMM]])+  SUMIF(Oct_Period_1_Tbl[[#All],[STAFF:]],$A40,Oct_Period_1_Tbl[[#All],[$ EFT COMM]])+     SUMIF(Nov_Period_1_Tbl[[#All],[STAFF:]],$A40,Nov_Period_1_Tbl[[#All],[$ EFT COMM]])+  SUMIF(Dec_Period_1_Tbl[[#All],[STAFF:]],$A40,Dec_Period_1_Tbl[[#All],[$ EFT COMM]]))+   (SUMIF(Jan_Period_2_Tbl[[#All],[STAFF:]],$A40,Jan_Period_2_Tbl[[#All],[$ EFT COMM]])+
SUMIF(Feb_Period_2_Tbl[[#All],[STAFF:]],$A40,Feb_Period_2_Tbl[[#All],[$ EFT COMM]])+SUMIF(Mar_Period_2_Tbl[[#All],[STAFF:]],$A40,Mar_Period_2_Tbl[[#All],[$ EFT COMM]])+SUMIF(Apr_Period_2_Tbl[[#All],[STAFF:]],$A40,Apr_Period_2_Tbl[[#All],[$ EFT COMM]])+   SUMIF(May_Period_2_Tbl[[#All],[STAFF:]],$A40,May_Period_2_Tbl[[#All],[$ EFT COMM]])+   SUMIF(Jun_Period_2_Tbl[[#All],[STAFF:]],$A40,Jun_Period_2_Tbl[[#All],[$ EFT COMM]])+  SUMIF(Jul_Period_2_Tbl[[#All],[STAFF:]],$A40,Jul_Period_2_Tbl[[#All],[$ EFT COMM]])+  SUMIF(Aug_Period_2_Tbl[[#All],[STAFF:]],$A40,Aug_Period_2_Tbl[[#All],[$ EFT COMM]])+  SUMIF(Sep_Period_2_Tbl[[#All],[STAFF:]],$A40,Sep_Period_2_Tbl[[#All],[$ EFT COMM]])+  SUMIF(Oct_Period_2_Tbl[[#All],[STAFF:]],$A40,Oct_Period_2_Tbl[[#All],[$ EFT COMM]])+     SUMIF(Nov_Period_2_Tbl[[#All],[STAFF:]],$A40,Nov_Period_2_Tbl[[#All],[$ EFT COMM]])+  SUMIF(Dec_Period_2_Tbl[[#All],[STAFF:]],$A40,Dec_Period_2_Tbl[[#All],[$ EFT COMM]]))</f>
        <v>0</v>
      </c>
      <c r="N40" s="190">
        <f>(SUMIF(Jan_Period_1_Tbl[[#All],[STAFF:]],$A40,Jan_Period_1_Tbl[[#All],[$ CLASS PAY]])+
SUMIF(Feb_Period_1_Tbl[[#All],[STAFF:]],$A40,Feb_Period_1_Tbl[[#All],[$ CLASS PAY]])+SUMIF(Mar_Period_1_Tbl[[#All],[STAFF:]],$A40,Mar_Period_1_Tbl[[#All],[$ CLASS PAY]])+SUMIF(Apr_Period_1_Tbl[[#All],[STAFF:]],$A40,Apr_Period_1_Tbl[[#All],[$ CLASS PAY]])+   SUMIF(May_Period_1_Tbl[[#All],[STAFF:]],$A40,May_Period_1_Tbl[[#All],[$ CLASS PAY]])+   SUMIF(Jun_Period_1_Tbl[[#All],[STAFF:]],$A40,Jun_Period_1_Tbl[[#All],[$ CLASS PAY]])+  SUMIF(Jul_Period_1_Tbl[[#All],[STAFF:]],$A40,Jul_Period_1_Tbl[[#All],[$ CLASS PAY]])+  SUMIF(Aug_Period_1_Tbl[[#All],[STAFF:]],$A40,Aug_Period_1_Tbl[[#All],[$ CLASS PAY]])+  SUMIF(Sep_Period_1_Tbl[[#All],[STAFF:]],$A40,Sep_Period_1_Tbl[[#All],[$ CLASS PAY]])+  SUMIF(Oct_Period_1_Tbl[[#All],[STAFF:]],$A40,Oct_Period_1_Tbl[[#All],[$ CLASS PAY]])+     SUMIF(Nov_Period_1_Tbl[[#All],[STAFF:]],$A40,Nov_Period_1_Tbl[[#All],[$ CLASS PAY]])+  SUMIF(Dec_Period_1_Tbl[[#All],[STAFF:]],$A40,Dec_Period_1_Tbl[[#All],[$ CLASS PAY]]))+   (SUMIF(Jan_Period_2_Tbl[[#All],[STAFF:]],$A40,Jan_Period_2_Tbl[[#All],[$ CLASS PAY]])+
SUMIF(Feb_Period_2_Tbl[[#All],[STAFF:]],$A40,Feb_Period_2_Tbl[[#All],[$ CLASS PAY]])+SUMIF(Mar_Period_2_Tbl[[#All],[STAFF:]],$A40,Mar_Period_2_Tbl[[#All],[$ CLASS PAY]])+SUMIF(Apr_Period_2_Tbl[[#All],[STAFF:]],$A40,Apr_Period_2_Tbl[[#All],[$ CLASS PAY]])+   SUMIF(May_Period_2_Tbl[[#All],[STAFF:]],$A40,May_Period_2_Tbl[[#All],[$ CLASS PAY]])+   SUMIF(Jun_Period_2_Tbl[[#All],[STAFF:]],$A40,Jun_Period_2_Tbl[[#All],[$ CLASS PAY]])+  SUMIF(Jul_Period_2_Tbl[[#All],[STAFF:]],$A40,Jul_Period_2_Tbl[[#All],[$ CLASS PAY]])+  SUMIF(Aug_Period_2_Tbl[[#All],[STAFF:]],$A40,Aug_Period_2_Tbl[[#All],[$ CLASS PAY]])+  SUMIF(Sep_Period_2_Tbl[[#All],[STAFF:]],$A40,Sep_Period_2_Tbl[[#All],[$ CLASS PAY]])+  SUMIF(Oct_Period_2_Tbl[[#All],[STAFF:]],$A40,Oct_Period_2_Tbl[[#All],[$ CLASS PAY]])+     SUMIF(Nov_Period_2_Tbl[[#All],[STAFF:]],$A40,Nov_Period_2_Tbl[[#All],[$ CLASS PAY]])+  SUMIF(Dec_Period_2_Tbl[[#All],[STAFF:]],$A40,Dec_Period_2_Tbl[[#All],[$ CLASS PAY]]))</f>
        <v>0</v>
      </c>
      <c r="O40" s="191">
        <f>(SUMIF(Jan_Period_1_Tbl[[#All],[STAFF:]],$A40,Jan_Period_1_Tbl[[#All],[$ BONUS PAY]])+
SUMIF(Feb_Period_1_Tbl[[#All],[STAFF:]],$A40,Feb_Period_1_Tbl[[#All],[$ BONUS PAY]])+SUMIF(Mar_Period_1_Tbl[[#All],[STAFF:]],$A40,Mar_Period_1_Tbl[[#All],[$ BONUS PAY]])+SUMIF(Apr_Period_1_Tbl[[#All],[STAFF:]],$A40,Apr_Period_1_Tbl[[#All],[$ BONUS PAY]])+   SUMIF(May_Period_1_Tbl[[#All],[STAFF:]],$A40,May_Period_1_Tbl[[#All],[$ BONUS PAY]])+   SUMIF(Jun_Period_1_Tbl[[#All],[STAFF:]],$A40,Jun_Period_1_Tbl[[#All],[$ BONUS PAY]])+  SUMIF(Jul_Period_1_Tbl[[#All],[STAFF:]],$A40,Jul_Period_1_Tbl[[#All],[$ BONUS PAY]])+  SUMIF(Aug_Period_1_Tbl[[#All],[STAFF:]],$A40,Aug_Period_1_Tbl[[#All],[$ BONUS PAY]])+  SUMIF(Sep_Period_1_Tbl[[#All],[STAFF:]],$A40,Sep_Period_1_Tbl[[#All],[$ BONUS PAY]])+  SUMIF(Oct_Period_1_Tbl[[#All],[STAFF:]],$A40,Oct_Period_1_Tbl[[#All],[$ BONUS PAY]])+     SUMIF(Nov_Period_1_Tbl[[#All],[STAFF:]],$A40,Nov_Period_1_Tbl[[#All],[$ BONUS PAY]])+  SUMIF(Dec_Period_1_Tbl[[#All],[STAFF:]],$A40,Dec_Period_1_Tbl[[#All],[$ BONUS PAY]]))+   (SUMIF(Jan_Period_2_Tbl[[#All],[STAFF:]],$A40,Jan_Period_2_Tbl[[#All],[$ BONUS PAY]])+
SUMIF(Feb_Period_2_Tbl[[#All],[STAFF:]],$A40,Feb_Period_2_Tbl[[#All],[$ BONUS PAY]])+SUMIF(Mar_Period_2_Tbl[[#All],[STAFF:]],$A40,Mar_Period_2_Tbl[[#All],[$ BONUS PAY]])+SUMIF(Apr_Period_2_Tbl[[#All],[STAFF:]],$A40,Apr_Period_2_Tbl[[#All],[$ BONUS PAY]])+   SUMIF(May_Period_2_Tbl[[#All],[STAFF:]],$A40,May_Period_2_Tbl[[#All],[$ BONUS PAY]])+   SUMIF(Jun_Period_2_Tbl[[#All],[STAFF:]],$A40,Jun_Period_2_Tbl[[#All],[$ BONUS PAY]])+  SUMIF(Jul_Period_2_Tbl[[#All],[STAFF:]],$A40,Jul_Period_2_Tbl[[#All],[$ BONUS PAY]])+  SUMIF(Aug_Period_2_Tbl[[#All],[STAFF:]],$A40,Aug_Period_2_Tbl[[#All],[$ BONUS PAY]])+  SUMIF(Sep_Period_2_Tbl[[#All],[STAFF:]],$A40,Sep_Period_2_Tbl[[#All],[$ BONUS PAY]])+  SUMIF(Oct_Period_2_Tbl[[#All],[STAFF:]],$A40,Oct_Period_2_Tbl[[#All],[$ BONUS PAY]])+     SUMIF(Nov_Period_2_Tbl[[#All],[STAFF:]],$A40,Nov_Period_2_Tbl[[#All],[$ BONUS PAY]])+  SUMIF(Dec_Period_2_Tbl[[#All],[STAFF:]],$A40,Dec_Period_2_Tbl[[#All],[$ BONUS PAY]]))</f>
        <v>0</v>
      </c>
      <c r="P40" s="179">
        <f t="shared" si="9"/>
        <v>0</v>
      </c>
      <c r="Q40" s="149"/>
      <c r="R40" s="152">
        <f>(SUMIF(Jan_Period_1_Tbl[[#All],[STAFF:]],$A40,Jan_Period_1_Tbl[[#All],['# POINTS EARNED]])+
SUMIF(Feb_Period_1_Tbl[[#All],[STAFF:]],$A40,Feb_Period_1_Tbl[[#All],['# POINTS EARNED]])+SUMIF(Mar_Period_1_Tbl[[#All],[STAFF:]],$A40,Mar_Period_1_Tbl[[#All],['# POINTS EARNED]])+SUMIF(Apr_Period_1_Tbl[[#All],[STAFF:]],$A40,Apr_Period_1_Tbl[[#All],['# POINTS EARNED]])+   SUMIF(May_Period_1_Tbl[[#All],[STAFF:]],$A40,May_Period_1_Tbl[[#All],['# POINTS EARNED]])+   SUMIF(Jun_Period_1_Tbl[[#All],[STAFF:]],$A40,Jun_Period_1_Tbl[[#All],['# POINTS EARNED]])+  SUMIF(Jul_Period_1_Tbl[[#All],[STAFF:]],$A40,Jul_Period_1_Tbl[[#All],['# POINTS EARNED]])+  SUMIF(Aug_Period_1_Tbl[[#All],[STAFF:]],$A40,Aug_Period_1_Tbl[[#All],['# POINTS EARNED]])+  SUMIF(Sep_Period_1_Tbl[[#All],[STAFF:]],$A40,Sep_Period_1_Tbl[[#All],['# POINTS EARNED]])+  SUMIF(Oct_Period_1_Tbl[[#All],[STAFF:]],$A40,Oct_Period_1_Tbl[[#All],['# POINTS EARNED]])+     SUMIF(Nov_Period_1_Tbl[[#All],[STAFF:]],$A40,Nov_Period_1_Tbl[[#All],['# POINTS EARNED]])+  SUMIF(Dec_Period_1_Tbl[[#All],[STAFF:]],$A40,Dec_Period_1_Tbl[[#All],['# POINTS EARNED]]))+   (SUMIF(Jan_Period_2_Tbl[[#All],[STAFF:]],$A40,Jan_Period_2_Tbl[[#All],['# POINTS EARNED]])+
SUMIF(Feb_Period_2_Tbl[[#All],[STAFF:]],$A40,Feb_Period_2_Tbl[[#All],['# POINTS EARNED]])+SUMIF(Mar_Period_2_Tbl[[#All],[STAFF:]],$A40,Mar_Period_2_Tbl[[#All],['# POINTS EARNED]])+SUMIF(Apr_Period_2_Tbl[[#All],[STAFF:]],$A40,Apr_Period_2_Tbl[[#All],['# POINTS EARNED]])+   SUMIF(May_Period_2_Tbl[[#All],[STAFF:]],$A40,May_Period_2_Tbl[[#All],['# POINTS EARNED]])+   SUMIF(Jun_Period_2_Tbl[[#All],[STAFF:]],$A40,Jun_Period_2_Tbl[[#All],['# POINTS EARNED]])+  SUMIF(Jul_Period_2_Tbl[[#All],[STAFF:]],$A40,Jul_Period_2_Tbl[[#All],['# POINTS EARNED]])+  SUMIF(Aug_Period_2_Tbl[[#All],[STAFF:]],$A40,Aug_Period_2_Tbl[[#All],['# POINTS EARNED]])+  SUMIF(Sep_Period_2_Tbl[[#All],[STAFF:]],$A40,Sep_Period_2_Tbl[[#All],['# POINTS EARNED]])+  SUMIF(Oct_Period_2_Tbl[[#All],[STAFF:]],$A40,Oct_Period_2_Tbl[[#All],['# POINTS EARNED]])+     SUMIF(Nov_Period_2_Tbl[[#All],[STAFF:]],$A40,Nov_Period_2_Tbl[[#All],['# POINTS EARNED]])+  SUMIF(Dec_Period_2_Tbl[[#All],[STAFF:]],$A40,Dec_Period_2_Tbl[[#All],['# POINTS EARNED]]))</f>
        <v>0</v>
      </c>
      <c r="S40" s="152">
        <f>(SUMIF(Jan_Period_1_Tbl[[#All],[STAFF:]],$A40,Jan_Period_1_Tbl[[#All],['# POINTS USED]])+
SUMIF(Feb_Period_1_Tbl[[#All],[STAFF:]],$A40,Feb_Period_1_Tbl[[#All],['# POINTS USED]])+SUMIF(Mar_Period_1_Tbl[[#All],[STAFF:]],$A40,Mar_Period_1_Tbl[[#All],['# POINTS USED]])+SUMIF(Apr_Period_1_Tbl[[#All],[STAFF:]],$A40,Apr_Period_1_Tbl[[#All],['# POINTS USED]])+   SUMIF(May_Period_1_Tbl[[#All],[STAFF:]],$A40,May_Period_1_Tbl[[#All],['# POINTS USED]])+   SUMIF(Jun_Period_1_Tbl[[#All],[STAFF:]],$A40,Jun_Period_1_Tbl[[#All],['# POINTS USED]])+  SUMIF(Jul_Period_1_Tbl[[#All],[STAFF:]],$A40,Jul_Period_1_Tbl[[#All],['# POINTS USED]])+  SUMIF(Aug_Period_1_Tbl[[#All],[STAFF:]],$A40,Aug_Period_1_Tbl[[#All],['# POINTS USED]])+  SUMIF(Sep_Period_1_Tbl[[#All],[STAFF:]],$A40,Sep_Period_1_Tbl[[#All],['# POINTS USED]])+  SUMIF(Oct_Period_1_Tbl[[#All],[STAFF:]],$A40,Oct_Period_1_Tbl[[#All],['# POINTS USED]])+     SUMIF(Nov_Period_1_Tbl[[#All],[STAFF:]],$A40,Nov_Period_1_Tbl[[#All],['# POINTS USED]])+  SUMIF(Dec_Period_1_Tbl[[#All],[STAFF:]],$A40,Dec_Period_1_Tbl[[#All],['# POINTS USED]]))+   (SUMIF(Jan_Period_2_Tbl[[#All],[STAFF:]],$A40,Jan_Period_2_Tbl[[#All],['# POINTS USED]])+
SUMIF(Feb_Period_2_Tbl[[#All],[STAFF:]],$A40,Feb_Period_2_Tbl[[#All],['# POINTS USED]])+SUMIF(Mar_Period_2_Tbl[[#All],[STAFF:]],$A40,Mar_Period_2_Tbl[[#All],['# POINTS USED]])+SUMIF(Apr_Period_2_Tbl[[#All],[STAFF:]],$A40,Apr_Period_2_Tbl[[#All],['# POINTS USED]])+   SUMIF(May_Period_2_Tbl[[#All],[STAFF:]],$A40,May_Period_2_Tbl[[#All],['# POINTS USED]])+   SUMIF(Jun_Period_2_Tbl[[#All],[STAFF:]],$A40,Jun_Period_2_Tbl[[#All],['# POINTS USED]])+  SUMIF(Jul_Period_2_Tbl[[#All],[STAFF:]],$A40,Jul_Period_2_Tbl[[#All],['# POINTS USED]])+  SUMIF(Aug_Period_2_Tbl[[#All],[STAFF:]],$A40,Aug_Period_2_Tbl[[#All],['# POINTS USED]])+  SUMIF(Sep_Period_2_Tbl[[#All],[STAFF:]],$A40,Sep_Period_2_Tbl[[#All],['# POINTS USED]])+  SUMIF(Oct_Period_2_Tbl[[#All],[STAFF:]],$A40,Oct_Period_2_Tbl[[#All],['# POINTS USED]])+     SUMIF(Nov_Period_2_Tbl[[#All],[STAFF:]],$A40,Nov_Period_2_Tbl[[#All],['# POINTS USED]])+  SUMIF(Dec_Period_2_Tbl[[#All],[STAFF:]],$A40,Dec_Period_2_Tbl[[#All],['# POINTS USED]]))</f>
        <v>0</v>
      </c>
      <c r="T40" s="152">
        <f>(SUMIF(Jan_Period_1_Tbl[[#All],[STAFF:]],$A40,Jan_Period_1_Tbl[[#All],['# CLASSES LEAD]])+
SUMIF(Feb_Period_1_Tbl[[#All],[STAFF:]],$A40,Feb_Period_1_Tbl[[#All],['# CLASSES LEAD]])+SUMIF(Mar_Period_1_Tbl[[#All],[STAFF:]],$A40,Mar_Period_1_Tbl[[#All],['# CLASSES LEAD]])+SUMIF(Apr_Period_1_Tbl[[#All],[STAFF:]],$A40,Apr_Period_1_Tbl[[#All],['# CLASSES LEAD]])+   SUMIF(May_Period_1_Tbl[[#All],[STAFF:]],$A40,May_Period_1_Tbl[[#All],['# CLASSES LEAD]])+   SUMIF(Jun_Period_1_Tbl[[#All],[STAFF:]],$A40,Jun_Period_1_Tbl[[#All],['# CLASSES LEAD]])+  SUMIF(Jul_Period_1_Tbl[[#All],[STAFF:]],$A40,Jul_Period_1_Tbl[[#All],['# CLASSES LEAD]])+  SUMIF(Aug_Period_1_Tbl[[#All],[STAFF:]],$A40,Aug_Period_1_Tbl[[#All],['# CLASSES LEAD]])+  SUMIF(Sep_Period_1_Tbl[[#All],[STAFF:]],$A40,Sep_Period_1_Tbl[[#All],['# CLASSES LEAD]])+  SUMIF(Oct_Period_1_Tbl[[#All],[STAFF:]],$A40,Oct_Period_1_Tbl[[#All],['# CLASSES LEAD]])+     SUMIF(Nov_Period_1_Tbl[[#All],[STAFF:]],$A40,Nov_Period_1_Tbl[[#All],['# CLASSES LEAD]])+  SUMIF(Dec_Period_1_Tbl[[#All],[STAFF:]],$A40,Dec_Period_1_Tbl[[#All],['# CLASSES LEAD]]))+   (SUMIF(Jan_Period_2_Tbl[[#All],[STAFF:]],$A40,Jan_Period_2_Tbl[[#All],['# CLASSES LEAD]])+
SUMIF(Feb_Period_2_Tbl[[#All],[STAFF:]],$A40,Feb_Period_2_Tbl[[#All],['# CLASSES LEAD]])+SUMIF(Mar_Period_2_Tbl[[#All],[STAFF:]],$A40,Mar_Period_2_Tbl[[#All],['# CLASSES LEAD]])+SUMIF(Apr_Period_2_Tbl[[#All],[STAFF:]],$A40,Apr_Period_2_Tbl[[#All],['# CLASSES LEAD]])+   SUMIF(May_Period_2_Tbl[[#All],[STAFF:]],$A40,May_Period_2_Tbl[[#All],['# CLASSES LEAD]])+   SUMIF(Jun_Period_2_Tbl[[#All],[STAFF:]],$A40,Jun_Period_2_Tbl[[#All],['# CLASSES LEAD]])+  SUMIF(Jul_Period_2_Tbl[[#All],[STAFF:]],$A40,Jul_Period_2_Tbl[[#All],['# CLASSES LEAD]])+  SUMIF(Aug_Period_2_Tbl[[#All],[STAFF:]],$A40,Aug_Period_2_Tbl[[#All],['# CLASSES LEAD]])+  SUMIF(Sep_Period_2_Tbl[[#All],[STAFF:]],$A40,Sep_Period_2_Tbl[[#All],['# CLASSES LEAD]])+  SUMIF(Oct_Period_2_Tbl[[#All],[STAFF:]],$A40,Oct_Period_2_Tbl[[#All],['# CLASSES LEAD]])+     SUMIF(Nov_Period_2_Tbl[[#All],[STAFF:]],$A40,Nov_Period_2_Tbl[[#All],['# CLASSES LEAD]])+  SUMIF(Dec_Period_2_Tbl[[#All],[STAFF:]],$A40,Dec_Period_2_Tbl[[#All],['# CLASSES LEAD]]))</f>
        <v>0</v>
      </c>
      <c r="U40" s="152">
        <f>(SUMIF(Jan_Period_1_Tbl[[#All],[STAFF:]],$A40,Jan_Period_1_Tbl[[#All],['# CLASSES SHOW]])+
SUMIF(Feb_Period_1_Tbl[[#All],[STAFF:]],$A40,Feb_Period_1_Tbl[[#All],['# CLASSES SHOW]])+SUMIF(Mar_Period_1_Tbl[[#All],[STAFF:]],$A40,Mar_Period_1_Tbl[[#All],['# CLASSES SHOW]])+SUMIF(Apr_Period_1_Tbl[[#All],[STAFF:]],$A40,Apr_Period_1_Tbl[[#All],['# CLASSES SHOW]])+   SUMIF(May_Period_1_Tbl[[#All],[STAFF:]],$A40,May_Period_1_Tbl[[#All],['# CLASSES SHOW]])+   SUMIF(Jun_Period_1_Tbl[[#All],[STAFF:]],$A40,Jun_Period_1_Tbl[[#All],['# CLASSES SHOW]])+  SUMIF(Jul_Period_1_Tbl[[#All],[STAFF:]],$A40,Jul_Period_1_Tbl[[#All],['# CLASSES SHOW]])+  SUMIF(Aug_Period_1_Tbl[[#All],[STAFF:]],$A40,Aug_Period_1_Tbl[[#All],['# CLASSES SHOW]])+  SUMIF(Sep_Period_1_Tbl[[#All],[STAFF:]],$A40,Sep_Period_1_Tbl[[#All],['# CLASSES SHOW]])+  SUMIF(Oct_Period_1_Tbl[[#All],[STAFF:]],$A40,Oct_Period_1_Tbl[[#All],['# CLASSES SHOW]])+     SUMIF(Nov_Period_1_Tbl[[#All],[STAFF:]],$A40,Nov_Period_1_Tbl[[#All],['# CLASSES SHOW]])+  SUMIF(Dec_Period_1_Tbl[[#All],[STAFF:]],$A40,Dec_Period_1_Tbl[[#All],['# CLASSES SHOW]]))+   (SUMIF(Jan_Period_2_Tbl[[#All],[STAFF:]],$A40,Jan_Period_2_Tbl[[#All],['# CLASSES SHOW]])+
SUMIF(Feb_Period_2_Tbl[[#All],[STAFF:]],$A40,Feb_Period_2_Tbl[[#All],['# CLASSES SHOW]])+SUMIF(Mar_Period_2_Tbl[[#All],[STAFF:]],$A40,Mar_Period_2_Tbl[[#All],['# CLASSES SHOW]])+SUMIF(Apr_Period_2_Tbl[[#All],[STAFF:]],$A40,Apr_Period_2_Tbl[[#All],['# CLASSES SHOW]])+   SUMIF(May_Period_2_Tbl[[#All],[STAFF:]],$A40,May_Period_2_Tbl[[#All],['# CLASSES SHOW]])+   SUMIF(Jun_Period_2_Tbl[[#All],[STAFF:]],$A40,Jun_Period_2_Tbl[[#All],['# CLASSES SHOW]])+  SUMIF(Jul_Period_2_Tbl[[#All],[STAFF:]],$A40,Jul_Period_2_Tbl[[#All],['# CLASSES SHOW]])+  SUMIF(Aug_Period_2_Tbl[[#All],[STAFF:]],$A40,Aug_Period_2_Tbl[[#All],['# CLASSES SHOW]])+  SUMIF(Sep_Period_2_Tbl[[#All],[STAFF:]],$A40,Sep_Period_2_Tbl[[#All],['# CLASSES SHOW]])+  SUMIF(Oct_Period_2_Tbl[[#All],[STAFF:]],$A40,Oct_Period_2_Tbl[[#All],['# CLASSES SHOW]])+     SUMIF(Nov_Period_2_Tbl[[#All],[STAFF:]],$A40,Nov_Period_2_Tbl[[#All],['# CLASSES SHOW]])+  SUMIF(Dec_Period_2_Tbl[[#All],[STAFF:]],$A40,Dec_Period_2_Tbl[[#All],['# CLASSES SHOW]]))</f>
        <v>0</v>
      </c>
      <c r="V40" s="156"/>
      <c r="W40" s="156"/>
      <c r="X40" s="154">
        <f t="shared" si="10"/>
        <v>0</v>
      </c>
      <c r="Y40" s="154">
        <f t="shared" si="11"/>
        <v>0</v>
      </c>
      <c r="Z40" s="154">
        <f t="shared" si="12"/>
        <v>0</v>
      </c>
      <c r="AA40" s="154">
        <f t="shared" si="13"/>
        <v>0</v>
      </c>
      <c r="AB40" s="154">
        <f t="shared" si="14"/>
        <v>0</v>
      </c>
      <c r="AC40" s="154">
        <f t="shared" si="15"/>
        <v>0</v>
      </c>
      <c r="AD40" s="154">
        <f t="shared" si="16"/>
        <v>0</v>
      </c>
      <c r="AE40" s="149"/>
      <c r="AF40" s="149"/>
      <c r="AG40" s="149"/>
      <c r="AH40" s="149"/>
      <c r="AJ40" s="75" t="str">
        <f t="shared" si="17"/>
        <v>zBlank</v>
      </c>
      <c r="AK40" s="210"/>
      <c r="AL40" s="168">
        <f>IFERROR(VLOOKUP(B40,List!$A:$B,2,FALSE),-1)</f>
        <v>-1</v>
      </c>
      <c r="AM40" s="168">
        <f>IFERROR(VLOOKUP(C40,List!$A:$B,2,FALSE),-1)</f>
        <v>-1</v>
      </c>
    </row>
    <row r="41" spans="1:39" ht="15" hidden="1" customHeight="1" x14ac:dyDescent="0.25">
      <c r="A41" s="20"/>
      <c r="B41" s="186"/>
      <c r="C41" s="186"/>
      <c r="D41" s="187"/>
      <c r="E41" s="188">
        <f>(SUMIF(Jan_Period_1_Tbl[[#All],[STAFF:]],$A41,Jan_Period_1_Tbl[[#All],['# PTO USED]])+
SUMIF(Feb_Period_1_Tbl[[#All],[STAFF:]],$A41,Feb_Period_1_Tbl[[#All],['# PTO USED]])+SUMIF(Mar_Period_1_Tbl[[#All],[STAFF:]],$A41,Mar_Period_1_Tbl[[#All],['# PTO USED]])+SUMIF(Apr_Period_1_Tbl[[#All],[STAFF:]],$A41,Apr_Period_1_Tbl[[#All],['# PTO USED]])+   SUMIF(May_Period_1_Tbl[[#All],[STAFF:]],$A41,May_Period_1_Tbl[[#All],['# PTO USED]])+   SUMIF(Jun_Period_1_Tbl[[#All],[STAFF:]],$A41,Jun_Period_1_Tbl[[#All],['# PTO USED]])+  SUMIF(Jul_Period_1_Tbl[[#All],[STAFF:]],$A41,Jul_Period_1_Tbl[[#All],['# PTO USED]])+  SUMIF(Aug_Period_1_Tbl[[#All],[STAFF:]],$A41,Aug_Period_1_Tbl[[#All],['# PTO USED]])+  SUMIF(Sep_Period_1_Tbl[[#All],[STAFF:]],$A41,Sep_Period_1_Tbl[[#All],['# PTO USED]])+  SUMIF(Oct_Period_1_Tbl[[#All],[STAFF:]],$A41,Oct_Period_1_Tbl[[#All],['# PTO USED]])+     SUMIF(Nov_Period_1_Tbl[[#All],[STAFF:]],$A41,Nov_Period_1_Tbl[[#All],['# PTO USED]])+  SUMIF(Dec_Period_1_Tbl[[#All],[STAFF:]],$A41,Dec_Period_1_Tbl[[#All],['# PTO USED]]))+   (SUMIF(Jan_Period_2_Tbl[[#All],[STAFF:]],$A41,Jan_Period_2_Tbl[[#All],['# PTO USED]])+
SUMIF(Feb_Period_2_Tbl[[#All],[STAFF:]],$A41,Feb_Period_2_Tbl[[#All],['# PTO USED]])+SUMIF(Mar_Period_2_Tbl[[#All],[STAFF:]],$A41,Mar_Period_2_Tbl[[#All],['# PTO USED]])+SUMIF(Apr_Period_2_Tbl[[#All],[STAFF:]],$A41,Apr_Period_2_Tbl[[#All],['# PTO USED]])+   SUMIF(May_Period_2_Tbl[[#All],[STAFF:]],$A41,May_Period_2_Tbl[[#All],['# PTO USED]])+   SUMIF(Jun_Period_2_Tbl[[#All],[STAFF:]],$A41,Jun_Period_2_Tbl[[#All],['# PTO USED]])+  SUMIF(Jul_Period_2_Tbl[[#All],[STAFF:]],$A41,Jul_Period_2_Tbl[[#All],['# PTO USED]])+  SUMIF(Aug_Period_2_Tbl[[#All],[STAFF:]],$A41,Aug_Period_2_Tbl[[#All],['# PTO USED]])+  SUMIF(Sep_Period_2_Tbl[[#All],[STAFF:]],$A41,Sep_Period_2_Tbl[[#All],['# PTO USED]])+  SUMIF(Oct_Period_2_Tbl[[#All],[STAFF:]],$A41,Oct_Period_2_Tbl[[#All],['# PTO USED]])+     SUMIF(Nov_Period_2_Tbl[[#All],[STAFF:]],$A41,Nov_Period_2_Tbl[[#All],['# PTO USED]])+  SUMIF(Dec_Period_2_Tbl[[#All],[STAFF:]],$A41,Dec_Period_2_Tbl[[#All],['# PTO USED]]))</f>
        <v>0</v>
      </c>
      <c r="F41" s="189">
        <f>(SUMIF(Jan_Period_1_Tbl[[#All],[STAFF:]],$A41,Jan_Period_1_Tbl[[#All],['# HRS WORKED]])+
SUMIF(Feb_Period_1_Tbl[[#All],[STAFF:]],$A41,Feb_Period_1_Tbl[[#All],['# HRS WORKED]])+SUMIF(Mar_Period_1_Tbl[[#All],[STAFF:]],$A41,Mar_Period_1_Tbl[[#All],['# HRS WORKED]])+SUMIF(Apr_Period_1_Tbl[[#All],[STAFF:]],$A41,Apr_Period_1_Tbl[[#All],['# HRS WORKED]])+   SUMIF(May_Period_1_Tbl[[#All],[STAFF:]],$A41,May_Period_1_Tbl[[#All],['# HRS WORKED]])+   SUMIF(Jun_Period_1_Tbl[[#All],[STAFF:]],$A41,Jun_Period_1_Tbl[[#All],['# HRS WORKED]])+  SUMIF(Jul_Period_1_Tbl[[#All],[STAFF:]],$A41,Jul_Period_1_Tbl[[#All],['# HRS WORKED]])+  SUMIF(Aug_Period_1_Tbl[[#All],[STAFF:]],$A41,Aug_Period_1_Tbl[[#All],['# HRS WORKED]])+  SUMIF(Sep_Period_1_Tbl[[#All],[STAFF:]],$A41,Sep_Period_1_Tbl[[#All],['# HRS WORKED]])+  SUMIF(Oct_Period_1_Tbl[[#All],[STAFF:]],$A41,Oct_Period_1_Tbl[[#All],['# HRS WORKED]])+     SUMIF(Nov_Period_1_Tbl[[#All],[STAFF:]],$A41,Nov_Period_1_Tbl[[#All],['# HRS WORKED]])+  SUMIF(Dec_Period_1_Tbl[[#All],[STAFF:]],$A41,Dec_Period_1_Tbl[[#All],['# HRS WORKED]]))+   (SUMIF(Jan_Period_2_Tbl[[#All],[STAFF:]],$A41,Jan_Period_2_Tbl[[#All],['# HRS WORKED]])+
SUMIF(Feb_Period_2_Tbl[[#All],[STAFF:]],$A41,Feb_Period_2_Tbl[[#All],['# HRS WORKED]])+SUMIF(Mar_Period_2_Tbl[[#All],[STAFF:]],$A41,Mar_Period_2_Tbl[[#All],['# HRS WORKED]])+SUMIF(Apr_Period_2_Tbl[[#All],[STAFF:]],$A41,Apr_Period_2_Tbl[[#All],['# HRS WORKED]])+   SUMIF(May_Period_2_Tbl[[#All],[STAFF:]],$A41,May_Period_2_Tbl[[#All],['# HRS WORKED]])+   SUMIF(Jun_Period_2_Tbl[[#All],[STAFF:]],$A41,Jun_Period_2_Tbl[[#All],['# HRS WORKED]])+  SUMIF(Jul_Period_2_Tbl[[#All],[STAFF:]],$A41,Jul_Period_2_Tbl[[#All],['# HRS WORKED]])+  SUMIF(Aug_Period_2_Tbl[[#All],[STAFF:]],$A41,Aug_Period_2_Tbl[[#All],['# HRS WORKED]])+  SUMIF(Sep_Period_2_Tbl[[#All],[STAFF:]],$A41,Sep_Period_2_Tbl[[#All],['# HRS WORKED]])+  SUMIF(Oct_Period_2_Tbl[[#All],[STAFF:]],$A41,Oct_Period_2_Tbl[[#All],['# HRS WORKED]])+     SUMIF(Nov_Period_2_Tbl[[#All],[STAFF:]],$A41,Nov_Period_2_Tbl[[#All],['# HRS WORKED]])+  SUMIF(Dec_Period_2_Tbl[[#All],[STAFF:]],$A41,Dec_Period_2_Tbl[[#All],['# HRS WORKED]]))</f>
        <v>0</v>
      </c>
      <c r="G41" s="190">
        <f>(SUMIF(Jan_Period_1_Tbl[[#All],[STAFF:]],$A41,Jan_Period_1_Tbl[[#All],[$ Hourly WAGES]])+
SUMIF(Feb_Period_1_Tbl[[#All],[STAFF:]],$A41,Feb_Period_1_Tbl[[#All],[$ Hourly WAGES]])+SUMIF(Mar_Period_1_Tbl[[#All],[STAFF:]],$A41,Mar_Period_1_Tbl[[#All],[$ Hourly WAGES]])+SUMIF(Apr_Period_1_Tbl[[#All],[STAFF:]],$A41,Apr_Period_1_Tbl[[#All],[$ Hourly WAGES]])+   SUMIF(May_Period_1_Tbl[[#All],[STAFF:]],$A41,May_Period_1_Tbl[[#All],[$ Hourly WAGES]])+   SUMIF(Jun_Period_1_Tbl[[#All],[STAFF:]],$A41,Jun_Period_1_Tbl[[#All],[$ Hourly WAGES]])+  SUMIF(Jul_Period_1_Tbl[[#All],[STAFF:]],$A41,Jul_Period_1_Tbl[[#All],[$ Hourly WAGES]])+  SUMIF(Aug_Period_1_Tbl[[#All],[STAFF:]],$A41,Aug_Period_1_Tbl[[#All],[$ Hourly WAGES]])+  SUMIF(Sep_Period_1_Tbl[[#All],[STAFF:]],$A41,Sep_Period_1_Tbl[[#All],[$ Hourly WAGES]])+  SUMIF(Oct_Period_1_Tbl[[#All],[STAFF:]],$A41,Oct_Period_1_Tbl[[#All],[$ Hourly WAGES]])+     SUMIF(Nov_Period_1_Tbl[[#All],[STAFF:]],$A41,Nov_Period_1_Tbl[[#All],[$ Hourly WAGES]])+  SUMIF(Dec_Period_1_Tbl[[#All],[STAFF:]],$A41,Dec_Period_1_Tbl[[#All],[$ Hourly WAGES]]))+   (SUMIF(Jan_Period_2_Tbl[[#All],[STAFF:]],$A41,Jan_Period_2_Tbl[[#All],[$ Hourly WAGES]])+
SUMIF(Feb_Period_2_Tbl[[#All],[STAFF:]],$A41,Feb_Period_2_Tbl[[#All],[$ Hourly WAGES]])+SUMIF(Mar_Period_2_Tbl[[#All],[STAFF:]],$A41,Mar_Period_2_Tbl[[#All],[$ Hourly WAGES]])+SUMIF(Apr_Period_2_Tbl[[#All],[STAFF:]],$A41,Apr_Period_2_Tbl[[#All],[$ Hourly WAGES]])+   SUMIF(May_Period_2_Tbl[[#All],[STAFF:]],$A41,May_Period_2_Tbl[[#All],[$ Hourly WAGES]])+   SUMIF(Jun_Period_2_Tbl[[#All],[STAFF:]],$A41,Jun_Period_2_Tbl[[#All],[$ Hourly WAGES]])+  SUMIF(Jul_Period_2_Tbl[[#All],[STAFF:]],$A41,Jul_Period_2_Tbl[[#All],[$ Hourly WAGES]])+  SUMIF(Aug_Period_2_Tbl[[#All],[STAFF:]],$A41,Aug_Period_2_Tbl[[#All],[$ Hourly WAGES]])+  SUMIF(Sep_Period_2_Tbl[[#All],[STAFF:]],$A41,Sep_Period_2_Tbl[[#All],[$ Hourly WAGES]])+  SUMIF(Oct_Period_2_Tbl[[#All],[STAFF:]],$A41,Oct_Period_2_Tbl[[#All],[$ Hourly WAGES]])+     SUMIF(Nov_Period_2_Tbl[[#All],[STAFF:]],$A41,Nov_Period_2_Tbl[[#All],[$ Hourly WAGES]])+  SUMIF(Dec_Period_2_Tbl[[#All],[STAFF:]],$A41,Dec_Period_2_Tbl[[#All],[$ Hourly WAGES]]))</f>
        <v>0</v>
      </c>
      <c r="H41" s="190">
        <f>(SUMIF(Jan_Period_1_Tbl[[#All],[STAFF:]],$A41,Jan_Period_1_Tbl[[#All],[$ SALARY]])+
SUMIF(Feb_Period_1_Tbl[[#All],[STAFF:]],$A41,Feb_Period_1_Tbl[[#All],[$ SALARY]])+SUMIF(Mar_Period_1_Tbl[[#All],[STAFF:]],$A41,Mar_Period_1_Tbl[[#All],[$ SALARY]])+SUMIF(Apr_Period_1_Tbl[[#All],[STAFF:]],$A41,Apr_Period_1_Tbl[[#All],[$ SALARY]])+   SUMIF(May_Period_1_Tbl[[#All],[STAFF:]],$A41,May_Period_1_Tbl[[#All],[$ SALARY]])+   SUMIF(Jun_Period_1_Tbl[[#All],[STAFF:]],$A41,Jun_Period_1_Tbl[[#All],[$ SALARY]])+  SUMIF(Jul_Period_1_Tbl[[#All],[STAFF:]],$A41,Jul_Period_1_Tbl[[#All],[$ SALARY]])+  SUMIF(Aug_Period_1_Tbl[[#All],[STAFF:]],$A41,Aug_Period_1_Tbl[[#All],[$ SALARY]])+  SUMIF(Sep_Period_1_Tbl[[#All],[STAFF:]],$A41,Sep_Period_1_Tbl[[#All],[$ SALARY]])+  SUMIF(Oct_Period_1_Tbl[[#All],[STAFF:]],$A41,Oct_Period_1_Tbl[[#All],[$ SALARY]])+     SUMIF(Nov_Period_1_Tbl[[#All],[STAFF:]],$A41,Nov_Period_1_Tbl[[#All],[$ SALARY]])+  SUMIF(Dec_Period_1_Tbl[[#All],[STAFF:]],$A41,Dec_Period_1_Tbl[[#All],[$ SALARY]]))+   (SUMIF(Jan_Period_2_Tbl[[#All],[STAFF:]],$A41,Jan_Period_2_Tbl[[#All],[$ SALARY]])+
SUMIF(Feb_Period_2_Tbl[[#All],[STAFF:]],$A41,Feb_Period_2_Tbl[[#All],[$ SALARY]])+SUMIF(Mar_Period_2_Tbl[[#All],[STAFF:]],$A41,Mar_Period_2_Tbl[[#All],[$ SALARY]])+SUMIF(Apr_Period_2_Tbl[[#All],[STAFF:]],$A41,Apr_Period_2_Tbl[[#All],[$ SALARY]])+   SUMIF(May_Period_2_Tbl[[#All],[STAFF:]],$A41,May_Period_2_Tbl[[#All],[$ SALARY]])+   SUMIF(Jun_Period_2_Tbl[[#All],[STAFF:]],$A41,Jun_Period_2_Tbl[[#All],[$ SALARY]])+  SUMIF(Jul_Period_2_Tbl[[#All],[STAFF:]],$A41,Jul_Period_2_Tbl[[#All],[$ SALARY]])+  SUMIF(Aug_Period_2_Tbl[[#All],[STAFF:]],$A41,Aug_Period_2_Tbl[[#All],[$ SALARY]])+  SUMIF(Sep_Period_2_Tbl[[#All],[STAFF:]],$A41,Sep_Period_2_Tbl[[#All],[$ SALARY]])+  SUMIF(Oct_Period_2_Tbl[[#All],[STAFF:]],$A41,Oct_Period_2_Tbl[[#All],[$ SALARY]])+     SUMIF(Nov_Period_2_Tbl[[#All],[STAFF:]],$A41,Nov_Period_2_Tbl[[#All],[$ SALARY]])+  SUMIF(Dec_Period_2_Tbl[[#All],[STAFF:]],$A41,Dec_Period_2_Tbl[[#All],[$ SALARY]]))</f>
        <v>0</v>
      </c>
      <c r="I41" s="190">
        <f>(SUMIF(Jan_Period_1_Tbl[[#All],[STAFF:]],$A41,Jan_Period_1_Tbl[[#All],[$ SALARY PT]])+
SUMIF(Feb_Period_1_Tbl[[#All],[STAFF:]],$A41,Feb_Period_1_Tbl[[#All],[$ SALARY PT]])+SUMIF(Mar_Period_1_Tbl[[#All],[STAFF:]],$A41,Mar_Period_1_Tbl[[#All],[$ SALARY PT]])+SUMIF(Apr_Period_1_Tbl[[#All],[STAFF:]],$A41,Apr_Period_1_Tbl[[#All],[$ SALARY PT]])+   SUMIF(May_Period_1_Tbl[[#All],[STAFF:]],$A41,May_Period_1_Tbl[[#All],[$ SALARY PT]])+   SUMIF(Jun_Period_1_Tbl[[#All],[STAFF:]],$A41,Jun_Period_1_Tbl[[#All],[$ SALARY PT]])+  SUMIF(Jul_Period_1_Tbl[[#All],[STAFF:]],$A41,Jul_Period_1_Tbl[[#All],[$ SALARY PT]])+  SUMIF(Aug_Period_1_Tbl[[#All],[STAFF:]],$A41,Aug_Period_1_Tbl[[#All],[$ SALARY PT]])+  SUMIF(Sep_Period_1_Tbl[[#All],[STAFF:]],$A41,Sep_Period_1_Tbl[[#All],[$ SALARY PT]])+  SUMIF(Oct_Period_1_Tbl[[#All],[STAFF:]],$A41,Oct_Period_1_Tbl[[#All],[$ SALARY PT]])+     SUMIF(Nov_Period_1_Tbl[[#All],[STAFF:]],$A41,Nov_Period_1_Tbl[[#All],[$ SALARY PT]])+  SUMIF(Dec_Period_1_Tbl[[#All],[STAFF:]],$A41,Dec_Period_1_Tbl[[#All],[$ SALARY PT]]))+   (SUMIF(Jan_Period_2_Tbl[[#All],[STAFF:]],$A41,Jan_Period_2_Tbl[[#All],[$ SALARY PT]])+
SUMIF(Feb_Period_2_Tbl[[#All],[STAFF:]],$A41,Feb_Period_2_Tbl[[#All],[$ SALARY PT]])+SUMIF(Mar_Period_2_Tbl[[#All],[STAFF:]],$A41,Mar_Period_2_Tbl[[#All],[$ SALARY PT]])+SUMIF(Apr_Period_2_Tbl[[#All],[STAFF:]],$A41,Apr_Period_2_Tbl[[#All],[$ SALARY PT]])+   SUMIF(May_Period_2_Tbl[[#All],[STAFF:]],$A41,May_Period_2_Tbl[[#All],[$ SALARY PT]])+   SUMIF(Jun_Period_2_Tbl[[#All],[STAFF:]],$A41,Jun_Period_2_Tbl[[#All],[$ SALARY PT]])+  SUMIF(Jul_Period_2_Tbl[[#All],[STAFF:]],$A41,Jul_Period_2_Tbl[[#All],[$ SALARY PT]])+  SUMIF(Aug_Period_2_Tbl[[#All],[STAFF:]],$A41,Aug_Period_2_Tbl[[#All],[$ SALARY PT]])+  SUMIF(Sep_Period_2_Tbl[[#All],[STAFF:]],$A41,Sep_Period_2_Tbl[[#All],[$ SALARY PT]])+  SUMIF(Oct_Period_2_Tbl[[#All],[STAFF:]],$A41,Oct_Period_2_Tbl[[#All],[$ SALARY PT]])+     SUMIF(Nov_Period_2_Tbl[[#All],[STAFF:]],$A41,Nov_Period_2_Tbl[[#All],[$ SALARY PT]])+  SUMIF(Dec_Period_2_Tbl[[#All],[STAFF:]],$A41,Dec_Period_2_Tbl[[#All],[$ SALARY PT]]))</f>
        <v>0</v>
      </c>
      <c r="J41" s="190">
        <f>(SUMIF(Jan_Period_1_Tbl[[#All],[STAFF:]],$A41,Jan_Period_1_Tbl[[#All],[$ FREE PT]])+
SUMIF(Feb_Period_1_Tbl[[#All],[STAFF:]],$A41,Feb_Period_1_Tbl[[#All],[$ FREE PT]])+SUMIF(Mar_Period_1_Tbl[[#All],[STAFF:]],$A41,Mar_Period_1_Tbl[[#All],[$ FREE PT]])+SUMIF(Apr_Period_1_Tbl[[#All],[STAFF:]],$A41,Apr_Period_1_Tbl[[#All],[$ FREE PT]])+   SUMIF(May_Period_1_Tbl[[#All],[STAFF:]],$A41,May_Period_1_Tbl[[#All],[$ FREE PT]])+   SUMIF(Jun_Period_1_Tbl[[#All],[STAFF:]],$A41,Jun_Period_1_Tbl[[#All],[$ FREE PT]])+  SUMIF(Jul_Period_1_Tbl[[#All],[STAFF:]],$A41,Jul_Period_1_Tbl[[#All],[$ FREE PT]])+  SUMIF(Aug_Period_1_Tbl[[#All],[STAFF:]],$A41,Aug_Period_1_Tbl[[#All],[$ FREE PT]])+  SUMIF(Sep_Period_1_Tbl[[#All],[STAFF:]],$A41,Sep_Period_1_Tbl[[#All],[$ FREE PT]])+  SUMIF(Oct_Period_1_Tbl[[#All],[STAFF:]],$A41,Oct_Period_1_Tbl[[#All],[$ FREE PT]])+     SUMIF(Nov_Period_1_Tbl[[#All],[STAFF:]],$A41,Nov_Period_1_Tbl[[#All],[$ FREE PT]])+  SUMIF(Dec_Period_1_Tbl[[#All],[STAFF:]],$A41,Dec_Period_1_Tbl[[#All],[$ FREE PT]]))+   (SUMIF(Jan_Period_2_Tbl[[#All],[STAFF:]],$A41,Jan_Period_2_Tbl[[#All],[$ FREE PT]])+
SUMIF(Feb_Period_2_Tbl[[#All],[STAFF:]],$A41,Feb_Period_2_Tbl[[#All],[$ FREE PT]])+SUMIF(Mar_Period_2_Tbl[[#All],[STAFF:]],$A41,Mar_Period_2_Tbl[[#All],[$ FREE PT]])+SUMIF(Apr_Period_2_Tbl[[#All],[STAFF:]],$A41,Apr_Period_2_Tbl[[#All],[$ FREE PT]])+   SUMIF(May_Period_2_Tbl[[#All],[STAFF:]],$A41,May_Period_2_Tbl[[#All],[$ FREE PT]])+   SUMIF(Jun_Period_2_Tbl[[#All],[STAFF:]],$A41,Jun_Period_2_Tbl[[#All],[$ FREE PT]])+  SUMIF(Jul_Period_2_Tbl[[#All],[STAFF:]],$A41,Jul_Period_2_Tbl[[#All],[$ FREE PT]])+  SUMIF(Aug_Period_2_Tbl[[#All],[STAFF:]],$A41,Aug_Period_2_Tbl[[#All],[$ FREE PT]])+  SUMIF(Sep_Period_2_Tbl[[#All],[STAFF:]],$A41,Sep_Period_2_Tbl[[#All],[$ FREE PT]])+  SUMIF(Oct_Period_2_Tbl[[#All],[STAFF:]],$A41,Oct_Period_2_Tbl[[#All],[$ FREE PT]])+     SUMIF(Nov_Period_2_Tbl[[#All],[STAFF:]],$A41,Nov_Period_2_Tbl[[#All],[$ FREE PT]])+  SUMIF(Dec_Period_2_Tbl[[#All],[STAFF:]],$A41,Dec_Period_2_Tbl[[#All],[$ FREE PT]]))</f>
        <v>0</v>
      </c>
      <c r="K41" s="190">
        <f>(SUMIF(Jan_Period_1_Tbl[[#All],[STAFF:]],$A41,Jan_Period_1_Tbl[[#All],[$ PAID PT]])+
SUMIF(Feb_Period_1_Tbl[[#All],[STAFF:]],$A41,Feb_Period_1_Tbl[[#All],[$ PAID PT]])+SUMIF(Mar_Period_1_Tbl[[#All],[STAFF:]],$A41,Mar_Period_1_Tbl[[#All],[$ PAID PT]])+SUMIF(Apr_Period_1_Tbl[[#All],[STAFF:]],$A41,Apr_Period_1_Tbl[[#All],[$ PAID PT]])+   SUMIF(May_Period_1_Tbl[[#All],[STAFF:]],$A41,May_Period_1_Tbl[[#All],[$ PAID PT]])+   SUMIF(Jun_Period_1_Tbl[[#All],[STAFF:]],$A41,Jun_Period_1_Tbl[[#All],[$ PAID PT]])+  SUMIF(Jul_Period_1_Tbl[[#All],[STAFF:]],$A41,Jul_Period_1_Tbl[[#All],[$ PAID PT]])+  SUMIF(Aug_Period_1_Tbl[[#All],[STAFF:]],$A41,Aug_Period_1_Tbl[[#All],[$ PAID PT]])+  SUMIF(Sep_Period_1_Tbl[[#All],[STAFF:]],$A41,Sep_Period_1_Tbl[[#All],[$ PAID PT]])+  SUMIF(Oct_Period_1_Tbl[[#All],[STAFF:]],$A41,Oct_Period_1_Tbl[[#All],[$ PAID PT]])+     SUMIF(Nov_Period_1_Tbl[[#All],[STAFF:]],$A41,Nov_Period_1_Tbl[[#All],[$ PAID PT]])+  SUMIF(Dec_Period_1_Tbl[[#All],[STAFF:]],$A41,Dec_Period_1_Tbl[[#All],[$ PAID PT]]))+   (SUMIF(Jan_Period_2_Tbl[[#All],[STAFF:]],$A41,Jan_Period_2_Tbl[[#All],[$ PAID PT]])+
SUMIF(Feb_Period_2_Tbl[[#All],[STAFF:]],$A41,Feb_Period_2_Tbl[[#All],[$ PAID PT]])+SUMIF(Mar_Period_2_Tbl[[#All],[STAFF:]],$A41,Mar_Period_2_Tbl[[#All],[$ PAID PT]])+SUMIF(Apr_Period_2_Tbl[[#All],[STAFF:]],$A41,Apr_Period_2_Tbl[[#All],[$ PAID PT]])+   SUMIF(May_Period_2_Tbl[[#All],[STAFF:]],$A41,May_Period_2_Tbl[[#All],[$ PAID PT]])+   SUMIF(Jun_Period_2_Tbl[[#All],[STAFF:]],$A41,Jun_Period_2_Tbl[[#All],[$ PAID PT]])+  SUMIF(Jul_Period_2_Tbl[[#All],[STAFF:]],$A41,Jul_Period_2_Tbl[[#All],[$ PAID PT]])+  SUMIF(Aug_Period_2_Tbl[[#All],[STAFF:]],$A41,Aug_Period_2_Tbl[[#All],[$ PAID PT]])+  SUMIF(Sep_Period_2_Tbl[[#All],[STAFF:]],$A41,Sep_Period_2_Tbl[[#All],[$ PAID PT]])+  SUMIF(Oct_Period_2_Tbl[[#All],[STAFF:]],$A41,Oct_Period_2_Tbl[[#All],[$ PAID PT]])+     SUMIF(Nov_Period_2_Tbl[[#All],[STAFF:]],$A41,Nov_Period_2_Tbl[[#All],[$ PAID PT]])+  SUMIF(Dec_Period_2_Tbl[[#All],[STAFF:]],$A41,Dec_Period_2_Tbl[[#All],[$ PAID PT]]))</f>
        <v>0</v>
      </c>
      <c r="L41" s="190">
        <f>(SUMIF(Jan_Period_1_Tbl[[#All],[STAFF:]],$A41,Jan_Period_1_Tbl[[#All],[$ PT COMM]])+
SUMIF(Feb_Period_1_Tbl[[#All],[STAFF:]],$A41,Feb_Period_1_Tbl[[#All],[$ PT COMM]])+SUMIF(Mar_Period_1_Tbl[[#All],[STAFF:]],$A41,Mar_Period_1_Tbl[[#All],[$ PT COMM]])+SUMIF(Apr_Period_1_Tbl[[#All],[STAFF:]],$A41,Apr_Period_1_Tbl[[#All],[$ PT COMM]])+   SUMIF(May_Period_1_Tbl[[#All],[STAFF:]],$A41,May_Period_1_Tbl[[#All],[$ PT COMM]])+   SUMIF(Jun_Period_1_Tbl[[#All],[STAFF:]],$A41,Jun_Period_1_Tbl[[#All],[$ PT COMM]])+  SUMIF(Jul_Period_1_Tbl[[#All],[STAFF:]],$A41,Jul_Period_1_Tbl[[#All],[$ PT COMM]])+  SUMIF(Aug_Period_1_Tbl[[#All],[STAFF:]],$A41,Aug_Period_1_Tbl[[#All],[$ PT COMM]])+  SUMIF(Sep_Period_1_Tbl[[#All],[STAFF:]],$A41,Sep_Period_1_Tbl[[#All],[$ PT COMM]])+  SUMIF(Oct_Period_1_Tbl[[#All],[STAFF:]],$A41,Oct_Period_1_Tbl[[#All],[$ PT COMM]])+     SUMIF(Nov_Period_1_Tbl[[#All],[STAFF:]],$A41,Nov_Period_1_Tbl[[#All],[$ PT COMM]])+  SUMIF(Dec_Period_1_Tbl[[#All],[STAFF:]],$A41,Dec_Period_1_Tbl[[#All],[$ PT COMM]]))+   (SUMIF(Jan_Period_2_Tbl[[#All],[STAFF:]],$A41,Jan_Period_2_Tbl[[#All],[$ PT COMM]])+
SUMIF(Feb_Period_2_Tbl[[#All],[STAFF:]],$A41,Feb_Period_2_Tbl[[#All],[$ PT COMM]])+SUMIF(Mar_Period_2_Tbl[[#All],[STAFF:]],$A41,Mar_Period_2_Tbl[[#All],[$ PT COMM]])+SUMIF(Apr_Period_2_Tbl[[#All],[STAFF:]],$A41,Apr_Period_2_Tbl[[#All],[$ PT COMM]])+   SUMIF(May_Period_2_Tbl[[#All],[STAFF:]],$A41,May_Period_2_Tbl[[#All],[$ PT COMM]])+   SUMIF(Jun_Period_2_Tbl[[#All],[STAFF:]],$A41,Jun_Period_2_Tbl[[#All],[$ PT COMM]])+  SUMIF(Jul_Period_2_Tbl[[#All],[STAFF:]],$A41,Jul_Period_2_Tbl[[#All],[$ PT COMM]])+  SUMIF(Aug_Period_2_Tbl[[#All],[STAFF:]],$A41,Aug_Period_2_Tbl[[#All],[$ PT COMM]])+  SUMIF(Sep_Period_2_Tbl[[#All],[STAFF:]],$A41,Sep_Period_2_Tbl[[#All],[$ PT COMM]])+  SUMIF(Oct_Period_2_Tbl[[#All],[STAFF:]],$A41,Oct_Period_2_Tbl[[#All],[$ PT COMM]])+     SUMIF(Nov_Period_2_Tbl[[#All],[STAFF:]],$A41,Nov_Period_2_Tbl[[#All],[$ PT COMM]])+  SUMIF(Dec_Period_2_Tbl[[#All],[STAFF:]],$A41,Dec_Period_2_Tbl[[#All],[$ PT COMM]]))</f>
        <v>0</v>
      </c>
      <c r="M41" s="190">
        <f>(SUMIF(Jan_Period_1_Tbl[[#All],[STAFF:]],$A41,Jan_Period_1_Tbl[[#All],[$ EFT COMM]])+
SUMIF(Feb_Period_1_Tbl[[#All],[STAFF:]],$A41,Feb_Period_1_Tbl[[#All],[$ EFT COMM]])+SUMIF(Mar_Period_1_Tbl[[#All],[STAFF:]],$A41,Mar_Period_1_Tbl[[#All],[$ EFT COMM]])+SUMIF(Apr_Period_1_Tbl[[#All],[STAFF:]],$A41,Apr_Period_1_Tbl[[#All],[$ EFT COMM]])+   SUMIF(May_Period_1_Tbl[[#All],[STAFF:]],$A41,May_Period_1_Tbl[[#All],[$ EFT COMM]])+   SUMIF(Jun_Period_1_Tbl[[#All],[STAFF:]],$A41,Jun_Period_1_Tbl[[#All],[$ EFT COMM]])+  SUMIF(Jul_Period_1_Tbl[[#All],[STAFF:]],$A41,Jul_Period_1_Tbl[[#All],[$ EFT COMM]])+  SUMIF(Aug_Period_1_Tbl[[#All],[STAFF:]],$A41,Aug_Period_1_Tbl[[#All],[$ EFT COMM]])+  SUMIF(Sep_Period_1_Tbl[[#All],[STAFF:]],$A41,Sep_Period_1_Tbl[[#All],[$ EFT COMM]])+  SUMIF(Oct_Period_1_Tbl[[#All],[STAFF:]],$A41,Oct_Period_1_Tbl[[#All],[$ EFT COMM]])+     SUMIF(Nov_Period_1_Tbl[[#All],[STAFF:]],$A41,Nov_Period_1_Tbl[[#All],[$ EFT COMM]])+  SUMIF(Dec_Period_1_Tbl[[#All],[STAFF:]],$A41,Dec_Period_1_Tbl[[#All],[$ EFT COMM]]))+   (SUMIF(Jan_Period_2_Tbl[[#All],[STAFF:]],$A41,Jan_Period_2_Tbl[[#All],[$ EFT COMM]])+
SUMIF(Feb_Period_2_Tbl[[#All],[STAFF:]],$A41,Feb_Period_2_Tbl[[#All],[$ EFT COMM]])+SUMIF(Mar_Period_2_Tbl[[#All],[STAFF:]],$A41,Mar_Period_2_Tbl[[#All],[$ EFT COMM]])+SUMIF(Apr_Period_2_Tbl[[#All],[STAFF:]],$A41,Apr_Period_2_Tbl[[#All],[$ EFT COMM]])+   SUMIF(May_Period_2_Tbl[[#All],[STAFF:]],$A41,May_Period_2_Tbl[[#All],[$ EFT COMM]])+   SUMIF(Jun_Period_2_Tbl[[#All],[STAFF:]],$A41,Jun_Period_2_Tbl[[#All],[$ EFT COMM]])+  SUMIF(Jul_Period_2_Tbl[[#All],[STAFF:]],$A41,Jul_Period_2_Tbl[[#All],[$ EFT COMM]])+  SUMIF(Aug_Period_2_Tbl[[#All],[STAFF:]],$A41,Aug_Period_2_Tbl[[#All],[$ EFT COMM]])+  SUMIF(Sep_Period_2_Tbl[[#All],[STAFF:]],$A41,Sep_Period_2_Tbl[[#All],[$ EFT COMM]])+  SUMIF(Oct_Period_2_Tbl[[#All],[STAFF:]],$A41,Oct_Period_2_Tbl[[#All],[$ EFT COMM]])+     SUMIF(Nov_Period_2_Tbl[[#All],[STAFF:]],$A41,Nov_Period_2_Tbl[[#All],[$ EFT COMM]])+  SUMIF(Dec_Period_2_Tbl[[#All],[STAFF:]],$A41,Dec_Period_2_Tbl[[#All],[$ EFT COMM]]))</f>
        <v>0</v>
      </c>
      <c r="N41" s="190">
        <f>(SUMIF(Jan_Period_1_Tbl[[#All],[STAFF:]],$A41,Jan_Period_1_Tbl[[#All],[$ CLASS PAY]])+
SUMIF(Feb_Period_1_Tbl[[#All],[STAFF:]],$A41,Feb_Period_1_Tbl[[#All],[$ CLASS PAY]])+SUMIF(Mar_Period_1_Tbl[[#All],[STAFF:]],$A41,Mar_Period_1_Tbl[[#All],[$ CLASS PAY]])+SUMIF(Apr_Period_1_Tbl[[#All],[STAFF:]],$A41,Apr_Period_1_Tbl[[#All],[$ CLASS PAY]])+   SUMIF(May_Period_1_Tbl[[#All],[STAFF:]],$A41,May_Period_1_Tbl[[#All],[$ CLASS PAY]])+   SUMIF(Jun_Period_1_Tbl[[#All],[STAFF:]],$A41,Jun_Period_1_Tbl[[#All],[$ CLASS PAY]])+  SUMIF(Jul_Period_1_Tbl[[#All],[STAFF:]],$A41,Jul_Period_1_Tbl[[#All],[$ CLASS PAY]])+  SUMIF(Aug_Period_1_Tbl[[#All],[STAFF:]],$A41,Aug_Period_1_Tbl[[#All],[$ CLASS PAY]])+  SUMIF(Sep_Period_1_Tbl[[#All],[STAFF:]],$A41,Sep_Period_1_Tbl[[#All],[$ CLASS PAY]])+  SUMIF(Oct_Period_1_Tbl[[#All],[STAFF:]],$A41,Oct_Period_1_Tbl[[#All],[$ CLASS PAY]])+     SUMIF(Nov_Period_1_Tbl[[#All],[STAFF:]],$A41,Nov_Period_1_Tbl[[#All],[$ CLASS PAY]])+  SUMIF(Dec_Period_1_Tbl[[#All],[STAFF:]],$A41,Dec_Period_1_Tbl[[#All],[$ CLASS PAY]]))+   (SUMIF(Jan_Period_2_Tbl[[#All],[STAFF:]],$A41,Jan_Period_2_Tbl[[#All],[$ CLASS PAY]])+
SUMIF(Feb_Period_2_Tbl[[#All],[STAFF:]],$A41,Feb_Period_2_Tbl[[#All],[$ CLASS PAY]])+SUMIF(Mar_Period_2_Tbl[[#All],[STAFF:]],$A41,Mar_Period_2_Tbl[[#All],[$ CLASS PAY]])+SUMIF(Apr_Period_2_Tbl[[#All],[STAFF:]],$A41,Apr_Period_2_Tbl[[#All],[$ CLASS PAY]])+   SUMIF(May_Period_2_Tbl[[#All],[STAFF:]],$A41,May_Period_2_Tbl[[#All],[$ CLASS PAY]])+   SUMIF(Jun_Period_2_Tbl[[#All],[STAFF:]],$A41,Jun_Period_2_Tbl[[#All],[$ CLASS PAY]])+  SUMIF(Jul_Period_2_Tbl[[#All],[STAFF:]],$A41,Jul_Period_2_Tbl[[#All],[$ CLASS PAY]])+  SUMIF(Aug_Period_2_Tbl[[#All],[STAFF:]],$A41,Aug_Period_2_Tbl[[#All],[$ CLASS PAY]])+  SUMIF(Sep_Period_2_Tbl[[#All],[STAFF:]],$A41,Sep_Period_2_Tbl[[#All],[$ CLASS PAY]])+  SUMIF(Oct_Period_2_Tbl[[#All],[STAFF:]],$A41,Oct_Period_2_Tbl[[#All],[$ CLASS PAY]])+     SUMIF(Nov_Period_2_Tbl[[#All],[STAFF:]],$A41,Nov_Period_2_Tbl[[#All],[$ CLASS PAY]])+  SUMIF(Dec_Period_2_Tbl[[#All],[STAFF:]],$A41,Dec_Period_2_Tbl[[#All],[$ CLASS PAY]]))</f>
        <v>0</v>
      </c>
      <c r="O41" s="191">
        <f>(SUMIF(Jan_Period_1_Tbl[[#All],[STAFF:]],$A41,Jan_Period_1_Tbl[[#All],[$ BONUS PAY]])+
SUMIF(Feb_Period_1_Tbl[[#All],[STAFF:]],$A41,Feb_Period_1_Tbl[[#All],[$ BONUS PAY]])+SUMIF(Mar_Period_1_Tbl[[#All],[STAFF:]],$A41,Mar_Period_1_Tbl[[#All],[$ BONUS PAY]])+SUMIF(Apr_Period_1_Tbl[[#All],[STAFF:]],$A41,Apr_Period_1_Tbl[[#All],[$ BONUS PAY]])+   SUMIF(May_Period_1_Tbl[[#All],[STAFF:]],$A41,May_Period_1_Tbl[[#All],[$ BONUS PAY]])+   SUMIF(Jun_Period_1_Tbl[[#All],[STAFF:]],$A41,Jun_Period_1_Tbl[[#All],[$ BONUS PAY]])+  SUMIF(Jul_Period_1_Tbl[[#All],[STAFF:]],$A41,Jul_Period_1_Tbl[[#All],[$ BONUS PAY]])+  SUMIF(Aug_Period_1_Tbl[[#All],[STAFF:]],$A41,Aug_Period_1_Tbl[[#All],[$ BONUS PAY]])+  SUMIF(Sep_Period_1_Tbl[[#All],[STAFF:]],$A41,Sep_Period_1_Tbl[[#All],[$ BONUS PAY]])+  SUMIF(Oct_Period_1_Tbl[[#All],[STAFF:]],$A41,Oct_Period_1_Tbl[[#All],[$ BONUS PAY]])+     SUMIF(Nov_Period_1_Tbl[[#All],[STAFF:]],$A41,Nov_Period_1_Tbl[[#All],[$ BONUS PAY]])+  SUMIF(Dec_Period_1_Tbl[[#All],[STAFF:]],$A41,Dec_Period_1_Tbl[[#All],[$ BONUS PAY]]))+   (SUMIF(Jan_Period_2_Tbl[[#All],[STAFF:]],$A41,Jan_Period_2_Tbl[[#All],[$ BONUS PAY]])+
SUMIF(Feb_Period_2_Tbl[[#All],[STAFF:]],$A41,Feb_Period_2_Tbl[[#All],[$ BONUS PAY]])+SUMIF(Mar_Period_2_Tbl[[#All],[STAFF:]],$A41,Mar_Period_2_Tbl[[#All],[$ BONUS PAY]])+SUMIF(Apr_Period_2_Tbl[[#All],[STAFF:]],$A41,Apr_Period_2_Tbl[[#All],[$ BONUS PAY]])+   SUMIF(May_Period_2_Tbl[[#All],[STAFF:]],$A41,May_Period_2_Tbl[[#All],[$ BONUS PAY]])+   SUMIF(Jun_Period_2_Tbl[[#All],[STAFF:]],$A41,Jun_Period_2_Tbl[[#All],[$ BONUS PAY]])+  SUMIF(Jul_Period_2_Tbl[[#All],[STAFF:]],$A41,Jul_Period_2_Tbl[[#All],[$ BONUS PAY]])+  SUMIF(Aug_Period_2_Tbl[[#All],[STAFF:]],$A41,Aug_Period_2_Tbl[[#All],[$ BONUS PAY]])+  SUMIF(Sep_Period_2_Tbl[[#All],[STAFF:]],$A41,Sep_Period_2_Tbl[[#All],[$ BONUS PAY]])+  SUMIF(Oct_Period_2_Tbl[[#All],[STAFF:]],$A41,Oct_Period_2_Tbl[[#All],[$ BONUS PAY]])+     SUMIF(Nov_Period_2_Tbl[[#All],[STAFF:]],$A41,Nov_Period_2_Tbl[[#All],[$ BONUS PAY]])+  SUMIF(Dec_Period_2_Tbl[[#All],[STAFF:]],$A41,Dec_Period_2_Tbl[[#All],[$ BONUS PAY]]))</f>
        <v>0</v>
      </c>
      <c r="P41" s="179">
        <f t="shared" si="9"/>
        <v>0</v>
      </c>
      <c r="Q41" s="149"/>
      <c r="R41" s="153">
        <f>(SUMIF(Jan_Period_1_Tbl[[#All],[STAFF:]],$A41,Jan_Period_1_Tbl[[#All],['# POINTS EARNED]])+
SUMIF(Feb_Period_1_Tbl[[#All],[STAFF:]],$A41,Feb_Period_1_Tbl[[#All],['# POINTS EARNED]])+SUMIF(Mar_Period_1_Tbl[[#All],[STAFF:]],$A41,Mar_Period_1_Tbl[[#All],['# POINTS EARNED]])+SUMIF(Apr_Period_1_Tbl[[#All],[STAFF:]],$A41,Apr_Period_1_Tbl[[#All],['# POINTS EARNED]])+   SUMIF(May_Period_1_Tbl[[#All],[STAFF:]],$A41,May_Period_1_Tbl[[#All],['# POINTS EARNED]])+   SUMIF(Jun_Period_1_Tbl[[#All],[STAFF:]],$A41,Jun_Period_1_Tbl[[#All],['# POINTS EARNED]])+  SUMIF(Jul_Period_1_Tbl[[#All],[STAFF:]],$A41,Jul_Period_1_Tbl[[#All],['# POINTS EARNED]])+  SUMIF(Aug_Period_1_Tbl[[#All],[STAFF:]],$A41,Aug_Period_1_Tbl[[#All],['# POINTS EARNED]])+  SUMIF(Sep_Period_1_Tbl[[#All],[STAFF:]],$A41,Sep_Period_1_Tbl[[#All],['# POINTS EARNED]])+  SUMIF(Oct_Period_1_Tbl[[#All],[STAFF:]],$A41,Oct_Period_1_Tbl[[#All],['# POINTS EARNED]])+     SUMIF(Nov_Period_1_Tbl[[#All],[STAFF:]],$A41,Nov_Period_1_Tbl[[#All],['# POINTS EARNED]])+  SUMIF(Dec_Period_1_Tbl[[#All],[STAFF:]],$A41,Dec_Period_1_Tbl[[#All],['# POINTS EARNED]]))+   (SUMIF(Jan_Period_2_Tbl[[#All],[STAFF:]],$A41,Jan_Period_2_Tbl[[#All],['# POINTS EARNED]])+
SUMIF(Feb_Period_2_Tbl[[#All],[STAFF:]],$A41,Feb_Period_2_Tbl[[#All],['# POINTS EARNED]])+SUMIF(Mar_Period_2_Tbl[[#All],[STAFF:]],$A41,Mar_Period_2_Tbl[[#All],['# POINTS EARNED]])+SUMIF(Apr_Period_2_Tbl[[#All],[STAFF:]],$A41,Apr_Period_2_Tbl[[#All],['# POINTS EARNED]])+   SUMIF(May_Period_2_Tbl[[#All],[STAFF:]],$A41,May_Period_2_Tbl[[#All],['# POINTS EARNED]])+   SUMIF(Jun_Period_2_Tbl[[#All],[STAFF:]],$A41,Jun_Period_2_Tbl[[#All],['# POINTS EARNED]])+  SUMIF(Jul_Period_2_Tbl[[#All],[STAFF:]],$A41,Jul_Period_2_Tbl[[#All],['# POINTS EARNED]])+  SUMIF(Aug_Period_2_Tbl[[#All],[STAFF:]],$A41,Aug_Period_2_Tbl[[#All],['# POINTS EARNED]])+  SUMIF(Sep_Period_2_Tbl[[#All],[STAFF:]],$A41,Sep_Period_2_Tbl[[#All],['# POINTS EARNED]])+  SUMIF(Oct_Period_2_Tbl[[#All],[STAFF:]],$A41,Oct_Period_2_Tbl[[#All],['# POINTS EARNED]])+     SUMIF(Nov_Period_2_Tbl[[#All],[STAFF:]],$A41,Nov_Period_2_Tbl[[#All],['# POINTS EARNED]])+  SUMIF(Dec_Period_2_Tbl[[#All],[STAFF:]],$A41,Dec_Period_2_Tbl[[#All],['# POINTS EARNED]]))</f>
        <v>0</v>
      </c>
      <c r="S41" s="153">
        <f>(SUMIF(Jan_Period_1_Tbl[[#All],[STAFF:]],$A41,Jan_Period_1_Tbl[[#All],['# POINTS USED]])+
SUMIF(Feb_Period_1_Tbl[[#All],[STAFF:]],$A41,Feb_Period_1_Tbl[[#All],['# POINTS USED]])+SUMIF(Mar_Period_1_Tbl[[#All],[STAFF:]],$A41,Mar_Period_1_Tbl[[#All],['# POINTS USED]])+SUMIF(Apr_Period_1_Tbl[[#All],[STAFF:]],$A41,Apr_Period_1_Tbl[[#All],['# POINTS USED]])+   SUMIF(May_Period_1_Tbl[[#All],[STAFF:]],$A41,May_Period_1_Tbl[[#All],['# POINTS USED]])+   SUMIF(Jun_Period_1_Tbl[[#All],[STAFF:]],$A41,Jun_Period_1_Tbl[[#All],['# POINTS USED]])+  SUMIF(Jul_Period_1_Tbl[[#All],[STAFF:]],$A41,Jul_Period_1_Tbl[[#All],['# POINTS USED]])+  SUMIF(Aug_Period_1_Tbl[[#All],[STAFF:]],$A41,Aug_Period_1_Tbl[[#All],['# POINTS USED]])+  SUMIF(Sep_Period_1_Tbl[[#All],[STAFF:]],$A41,Sep_Period_1_Tbl[[#All],['# POINTS USED]])+  SUMIF(Oct_Period_1_Tbl[[#All],[STAFF:]],$A41,Oct_Period_1_Tbl[[#All],['# POINTS USED]])+     SUMIF(Nov_Period_1_Tbl[[#All],[STAFF:]],$A41,Nov_Period_1_Tbl[[#All],['# POINTS USED]])+  SUMIF(Dec_Period_1_Tbl[[#All],[STAFF:]],$A41,Dec_Period_1_Tbl[[#All],['# POINTS USED]]))+   (SUMIF(Jan_Period_2_Tbl[[#All],[STAFF:]],$A41,Jan_Period_2_Tbl[[#All],['# POINTS USED]])+
SUMIF(Feb_Period_2_Tbl[[#All],[STAFF:]],$A41,Feb_Period_2_Tbl[[#All],['# POINTS USED]])+SUMIF(Mar_Period_2_Tbl[[#All],[STAFF:]],$A41,Mar_Period_2_Tbl[[#All],['# POINTS USED]])+SUMIF(Apr_Period_2_Tbl[[#All],[STAFF:]],$A41,Apr_Period_2_Tbl[[#All],['# POINTS USED]])+   SUMIF(May_Period_2_Tbl[[#All],[STAFF:]],$A41,May_Period_2_Tbl[[#All],['# POINTS USED]])+   SUMIF(Jun_Period_2_Tbl[[#All],[STAFF:]],$A41,Jun_Period_2_Tbl[[#All],['# POINTS USED]])+  SUMIF(Jul_Period_2_Tbl[[#All],[STAFF:]],$A41,Jul_Period_2_Tbl[[#All],['# POINTS USED]])+  SUMIF(Aug_Period_2_Tbl[[#All],[STAFF:]],$A41,Aug_Period_2_Tbl[[#All],['# POINTS USED]])+  SUMIF(Sep_Period_2_Tbl[[#All],[STAFF:]],$A41,Sep_Period_2_Tbl[[#All],['# POINTS USED]])+  SUMIF(Oct_Period_2_Tbl[[#All],[STAFF:]],$A41,Oct_Period_2_Tbl[[#All],['# POINTS USED]])+     SUMIF(Nov_Period_2_Tbl[[#All],[STAFF:]],$A41,Nov_Period_2_Tbl[[#All],['# POINTS USED]])+  SUMIF(Dec_Period_2_Tbl[[#All],[STAFF:]],$A41,Dec_Period_2_Tbl[[#All],['# POINTS USED]]))</f>
        <v>0</v>
      </c>
      <c r="T41" s="153">
        <f>(SUMIF(Jan_Period_1_Tbl[[#All],[STAFF:]],$A41,Jan_Period_1_Tbl[[#All],['# CLASSES LEAD]])+
SUMIF(Feb_Period_1_Tbl[[#All],[STAFF:]],$A41,Feb_Period_1_Tbl[[#All],['# CLASSES LEAD]])+SUMIF(Mar_Period_1_Tbl[[#All],[STAFF:]],$A41,Mar_Period_1_Tbl[[#All],['# CLASSES LEAD]])+SUMIF(Apr_Period_1_Tbl[[#All],[STAFF:]],$A41,Apr_Period_1_Tbl[[#All],['# CLASSES LEAD]])+   SUMIF(May_Period_1_Tbl[[#All],[STAFF:]],$A41,May_Period_1_Tbl[[#All],['# CLASSES LEAD]])+   SUMIF(Jun_Period_1_Tbl[[#All],[STAFF:]],$A41,Jun_Period_1_Tbl[[#All],['# CLASSES LEAD]])+  SUMIF(Jul_Period_1_Tbl[[#All],[STAFF:]],$A41,Jul_Period_1_Tbl[[#All],['# CLASSES LEAD]])+  SUMIF(Aug_Period_1_Tbl[[#All],[STAFF:]],$A41,Aug_Period_1_Tbl[[#All],['# CLASSES LEAD]])+  SUMIF(Sep_Period_1_Tbl[[#All],[STAFF:]],$A41,Sep_Period_1_Tbl[[#All],['# CLASSES LEAD]])+  SUMIF(Oct_Period_1_Tbl[[#All],[STAFF:]],$A41,Oct_Period_1_Tbl[[#All],['# CLASSES LEAD]])+     SUMIF(Nov_Period_1_Tbl[[#All],[STAFF:]],$A41,Nov_Period_1_Tbl[[#All],['# CLASSES LEAD]])+  SUMIF(Dec_Period_1_Tbl[[#All],[STAFF:]],$A41,Dec_Period_1_Tbl[[#All],['# CLASSES LEAD]]))+   (SUMIF(Jan_Period_2_Tbl[[#All],[STAFF:]],$A41,Jan_Period_2_Tbl[[#All],['# CLASSES LEAD]])+
SUMIF(Feb_Period_2_Tbl[[#All],[STAFF:]],$A41,Feb_Period_2_Tbl[[#All],['# CLASSES LEAD]])+SUMIF(Mar_Period_2_Tbl[[#All],[STAFF:]],$A41,Mar_Period_2_Tbl[[#All],['# CLASSES LEAD]])+SUMIF(Apr_Period_2_Tbl[[#All],[STAFF:]],$A41,Apr_Period_2_Tbl[[#All],['# CLASSES LEAD]])+   SUMIF(May_Period_2_Tbl[[#All],[STAFF:]],$A41,May_Period_2_Tbl[[#All],['# CLASSES LEAD]])+   SUMIF(Jun_Period_2_Tbl[[#All],[STAFF:]],$A41,Jun_Period_2_Tbl[[#All],['# CLASSES LEAD]])+  SUMIF(Jul_Period_2_Tbl[[#All],[STAFF:]],$A41,Jul_Period_2_Tbl[[#All],['# CLASSES LEAD]])+  SUMIF(Aug_Period_2_Tbl[[#All],[STAFF:]],$A41,Aug_Period_2_Tbl[[#All],['# CLASSES LEAD]])+  SUMIF(Sep_Period_2_Tbl[[#All],[STAFF:]],$A41,Sep_Period_2_Tbl[[#All],['# CLASSES LEAD]])+  SUMIF(Oct_Period_2_Tbl[[#All],[STAFF:]],$A41,Oct_Period_2_Tbl[[#All],['# CLASSES LEAD]])+     SUMIF(Nov_Period_2_Tbl[[#All],[STAFF:]],$A41,Nov_Period_2_Tbl[[#All],['# CLASSES LEAD]])+  SUMIF(Dec_Period_2_Tbl[[#All],[STAFF:]],$A41,Dec_Period_2_Tbl[[#All],['# CLASSES LEAD]]))</f>
        <v>0</v>
      </c>
      <c r="U41" s="153">
        <f>(SUMIF(Jan_Period_1_Tbl[[#All],[STAFF:]],$A41,Jan_Period_1_Tbl[[#All],['# CLASSES SHOW]])+
SUMIF(Feb_Period_1_Tbl[[#All],[STAFF:]],$A41,Feb_Period_1_Tbl[[#All],['# CLASSES SHOW]])+SUMIF(Mar_Period_1_Tbl[[#All],[STAFF:]],$A41,Mar_Period_1_Tbl[[#All],['# CLASSES SHOW]])+SUMIF(Apr_Period_1_Tbl[[#All],[STAFF:]],$A41,Apr_Period_1_Tbl[[#All],['# CLASSES SHOW]])+   SUMIF(May_Period_1_Tbl[[#All],[STAFF:]],$A41,May_Period_1_Tbl[[#All],['# CLASSES SHOW]])+   SUMIF(Jun_Period_1_Tbl[[#All],[STAFF:]],$A41,Jun_Period_1_Tbl[[#All],['# CLASSES SHOW]])+  SUMIF(Jul_Period_1_Tbl[[#All],[STAFF:]],$A41,Jul_Period_1_Tbl[[#All],['# CLASSES SHOW]])+  SUMIF(Aug_Period_1_Tbl[[#All],[STAFF:]],$A41,Aug_Period_1_Tbl[[#All],['# CLASSES SHOW]])+  SUMIF(Sep_Period_1_Tbl[[#All],[STAFF:]],$A41,Sep_Period_1_Tbl[[#All],['# CLASSES SHOW]])+  SUMIF(Oct_Period_1_Tbl[[#All],[STAFF:]],$A41,Oct_Period_1_Tbl[[#All],['# CLASSES SHOW]])+     SUMIF(Nov_Period_1_Tbl[[#All],[STAFF:]],$A41,Nov_Period_1_Tbl[[#All],['# CLASSES SHOW]])+  SUMIF(Dec_Period_1_Tbl[[#All],[STAFF:]],$A41,Dec_Period_1_Tbl[[#All],['# CLASSES SHOW]]))+   (SUMIF(Jan_Period_2_Tbl[[#All],[STAFF:]],$A41,Jan_Period_2_Tbl[[#All],['# CLASSES SHOW]])+
SUMIF(Feb_Period_2_Tbl[[#All],[STAFF:]],$A41,Feb_Period_2_Tbl[[#All],['# CLASSES SHOW]])+SUMIF(Mar_Period_2_Tbl[[#All],[STAFF:]],$A41,Mar_Period_2_Tbl[[#All],['# CLASSES SHOW]])+SUMIF(Apr_Period_2_Tbl[[#All],[STAFF:]],$A41,Apr_Period_2_Tbl[[#All],['# CLASSES SHOW]])+   SUMIF(May_Period_2_Tbl[[#All],[STAFF:]],$A41,May_Period_2_Tbl[[#All],['# CLASSES SHOW]])+   SUMIF(Jun_Period_2_Tbl[[#All],[STAFF:]],$A41,Jun_Period_2_Tbl[[#All],['# CLASSES SHOW]])+  SUMIF(Jul_Period_2_Tbl[[#All],[STAFF:]],$A41,Jul_Period_2_Tbl[[#All],['# CLASSES SHOW]])+  SUMIF(Aug_Period_2_Tbl[[#All],[STAFF:]],$A41,Aug_Period_2_Tbl[[#All],['# CLASSES SHOW]])+  SUMIF(Sep_Period_2_Tbl[[#All],[STAFF:]],$A41,Sep_Period_2_Tbl[[#All],['# CLASSES SHOW]])+  SUMIF(Oct_Period_2_Tbl[[#All],[STAFF:]],$A41,Oct_Period_2_Tbl[[#All],['# CLASSES SHOW]])+     SUMIF(Nov_Period_2_Tbl[[#All],[STAFF:]],$A41,Nov_Period_2_Tbl[[#All],['# CLASSES SHOW]])+  SUMIF(Dec_Period_2_Tbl[[#All],[STAFF:]],$A41,Dec_Period_2_Tbl[[#All],['# CLASSES SHOW]]))</f>
        <v>0</v>
      </c>
      <c r="V41" s="156"/>
      <c r="W41" s="156"/>
      <c r="X41" s="155">
        <f t="shared" si="10"/>
        <v>0</v>
      </c>
      <c r="Y41" s="155">
        <f t="shared" si="11"/>
        <v>0</v>
      </c>
      <c r="Z41" s="155">
        <f t="shared" si="12"/>
        <v>0</v>
      </c>
      <c r="AA41" s="155">
        <f t="shared" si="13"/>
        <v>0</v>
      </c>
      <c r="AB41" s="155">
        <f t="shared" si="14"/>
        <v>0</v>
      </c>
      <c r="AC41" s="155">
        <f t="shared" si="15"/>
        <v>0</v>
      </c>
      <c r="AD41" s="155">
        <f t="shared" si="16"/>
        <v>0</v>
      </c>
      <c r="AE41" s="149"/>
      <c r="AF41" s="149"/>
      <c r="AG41" s="149"/>
      <c r="AH41" s="149"/>
      <c r="AJ41" s="75" t="str">
        <f t="shared" si="17"/>
        <v>zBlank</v>
      </c>
      <c r="AK41" s="210"/>
      <c r="AL41" s="168">
        <f>IFERROR(VLOOKUP(B41,List!$A:$B,2,FALSE),-1)</f>
        <v>-1</v>
      </c>
      <c r="AM41" s="168">
        <f>IFERROR(VLOOKUP(C41,List!$A:$B,2,FALSE),-1)</f>
        <v>-1</v>
      </c>
    </row>
    <row r="42" spans="1:39" ht="15" hidden="1" customHeight="1" x14ac:dyDescent="0.25">
      <c r="A42" s="20"/>
      <c r="B42" s="186"/>
      <c r="C42" s="186"/>
      <c r="D42" s="187"/>
      <c r="E42" s="188">
        <f>(SUMIF(Jan_Period_1_Tbl[[#All],[STAFF:]],$A42,Jan_Period_1_Tbl[[#All],['# PTO USED]])+
SUMIF(Feb_Period_1_Tbl[[#All],[STAFF:]],$A42,Feb_Period_1_Tbl[[#All],['# PTO USED]])+SUMIF(Mar_Period_1_Tbl[[#All],[STAFF:]],$A42,Mar_Period_1_Tbl[[#All],['# PTO USED]])+SUMIF(Apr_Period_1_Tbl[[#All],[STAFF:]],$A42,Apr_Period_1_Tbl[[#All],['# PTO USED]])+   SUMIF(May_Period_1_Tbl[[#All],[STAFF:]],$A42,May_Period_1_Tbl[[#All],['# PTO USED]])+   SUMIF(Jun_Period_1_Tbl[[#All],[STAFF:]],$A42,Jun_Period_1_Tbl[[#All],['# PTO USED]])+  SUMIF(Jul_Period_1_Tbl[[#All],[STAFF:]],$A42,Jul_Period_1_Tbl[[#All],['# PTO USED]])+  SUMIF(Aug_Period_1_Tbl[[#All],[STAFF:]],$A42,Aug_Period_1_Tbl[[#All],['# PTO USED]])+  SUMIF(Sep_Period_1_Tbl[[#All],[STAFF:]],$A42,Sep_Period_1_Tbl[[#All],['# PTO USED]])+  SUMIF(Oct_Period_1_Tbl[[#All],[STAFF:]],$A42,Oct_Period_1_Tbl[[#All],['# PTO USED]])+     SUMIF(Nov_Period_1_Tbl[[#All],[STAFF:]],$A42,Nov_Period_1_Tbl[[#All],['# PTO USED]])+  SUMIF(Dec_Period_1_Tbl[[#All],[STAFF:]],$A42,Dec_Period_1_Tbl[[#All],['# PTO USED]]))+   (SUMIF(Jan_Period_2_Tbl[[#All],[STAFF:]],$A42,Jan_Period_2_Tbl[[#All],['# PTO USED]])+
SUMIF(Feb_Period_2_Tbl[[#All],[STAFF:]],$A42,Feb_Period_2_Tbl[[#All],['# PTO USED]])+SUMIF(Mar_Period_2_Tbl[[#All],[STAFF:]],$A42,Mar_Period_2_Tbl[[#All],['# PTO USED]])+SUMIF(Apr_Period_2_Tbl[[#All],[STAFF:]],$A42,Apr_Period_2_Tbl[[#All],['# PTO USED]])+   SUMIF(May_Period_2_Tbl[[#All],[STAFF:]],$A42,May_Period_2_Tbl[[#All],['# PTO USED]])+   SUMIF(Jun_Period_2_Tbl[[#All],[STAFF:]],$A42,Jun_Period_2_Tbl[[#All],['# PTO USED]])+  SUMIF(Jul_Period_2_Tbl[[#All],[STAFF:]],$A42,Jul_Period_2_Tbl[[#All],['# PTO USED]])+  SUMIF(Aug_Period_2_Tbl[[#All],[STAFF:]],$A42,Aug_Period_2_Tbl[[#All],['# PTO USED]])+  SUMIF(Sep_Period_2_Tbl[[#All],[STAFF:]],$A42,Sep_Period_2_Tbl[[#All],['# PTO USED]])+  SUMIF(Oct_Period_2_Tbl[[#All],[STAFF:]],$A42,Oct_Period_2_Tbl[[#All],['# PTO USED]])+     SUMIF(Nov_Period_2_Tbl[[#All],[STAFF:]],$A42,Nov_Period_2_Tbl[[#All],['# PTO USED]])+  SUMIF(Dec_Period_2_Tbl[[#All],[STAFF:]],$A42,Dec_Period_2_Tbl[[#All],['# PTO USED]]))</f>
        <v>0</v>
      </c>
      <c r="F42" s="189">
        <f>(SUMIF(Jan_Period_1_Tbl[[#All],[STAFF:]],$A42,Jan_Period_1_Tbl[[#All],['# HRS WORKED]])+
SUMIF(Feb_Period_1_Tbl[[#All],[STAFF:]],$A42,Feb_Period_1_Tbl[[#All],['# HRS WORKED]])+SUMIF(Mar_Period_1_Tbl[[#All],[STAFF:]],$A42,Mar_Period_1_Tbl[[#All],['# HRS WORKED]])+SUMIF(Apr_Period_1_Tbl[[#All],[STAFF:]],$A42,Apr_Period_1_Tbl[[#All],['# HRS WORKED]])+   SUMIF(May_Period_1_Tbl[[#All],[STAFF:]],$A42,May_Period_1_Tbl[[#All],['# HRS WORKED]])+   SUMIF(Jun_Period_1_Tbl[[#All],[STAFF:]],$A42,Jun_Period_1_Tbl[[#All],['# HRS WORKED]])+  SUMIF(Jul_Period_1_Tbl[[#All],[STAFF:]],$A42,Jul_Period_1_Tbl[[#All],['# HRS WORKED]])+  SUMIF(Aug_Period_1_Tbl[[#All],[STAFF:]],$A42,Aug_Period_1_Tbl[[#All],['# HRS WORKED]])+  SUMIF(Sep_Period_1_Tbl[[#All],[STAFF:]],$A42,Sep_Period_1_Tbl[[#All],['# HRS WORKED]])+  SUMIF(Oct_Period_1_Tbl[[#All],[STAFF:]],$A42,Oct_Period_1_Tbl[[#All],['# HRS WORKED]])+     SUMIF(Nov_Period_1_Tbl[[#All],[STAFF:]],$A42,Nov_Period_1_Tbl[[#All],['# HRS WORKED]])+  SUMIF(Dec_Period_1_Tbl[[#All],[STAFF:]],$A42,Dec_Period_1_Tbl[[#All],['# HRS WORKED]]))+   (SUMIF(Jan_Period_2_Tbl[[#All],[STAFF:]],$A42,Jan_Period_2_Tbl[[#All],['# HRS WORKED]])+
SUMIF(Feb_Period_2_Tbl[[#All],[STAFF:]],$A42,Feb_Period_2_Tbl[[#All],['# HRS WORKED]])+SUMIF(Mar_Period_2_Tbl[[#All],[STAFF:]],$A42,Mar_Period_2_Tbl[[#All],['# HRS WORKED]])+SUMIF(Apr_Period_2_Tbl[[#All],[STAFF:]],$A42,Apr_Period_2_Tbl[[#All],['# HRS WORKED]])+   SUMIF(May_Period_2_Tbl[[#All],[STAFF:]],$A42,May_Period_2_Tbl[[#All],['# HRS WORKED]])+   SUMIF(Jun_Period_2_Tbl[[#All],[STAFF:]],$A42,Jun_Period_2_Tbl[[#All],['# HRS WORKED]])+  SUMIF(Jul_Period_2_Tbl[[#All],[STAFF:]],$A42,Jul_Period_2_Tbl[[#All],['# HRS WORKED]])+  SUMIF(Aug_Period_2_Tbl[[#All],[STAFF:]],$A42,Aug_Period_2_Tbl[[#All],['# HRS WORKED]])+  SUMIF(Sep_Period_2_Tbl[[#All],[STAFF:]],$A42,Sep_Period_2_Tbl[[#All],['# HRS WORKED]])+  SUMIF(Oct_Period_2_Tbl[[#All],[STAFF:]],$A42,Oct_Period_2_Tbl[[#All],['# HRS WORKED]])+     SUMIF(Nov_Period_2_Tbl[[#All],[STAFF:]],$A42,Nov_Period_2_Tbl[[#All],['# HRS WORKED]])+  SUMIF(Dec_Period_2_Tbl[[#All],[STAFF:]],$A42,Dec_Period_2_Tbl[[#All],['# HRS WORKED]]))</f>
        <v>0</v>
      </c>
      <c r="G42" s="190">
        <f>(SUMIF(Jan_Period_1_Tbl[[#All],[STAFF:]],$A42,Jan_Period_1_Tbl[[#All],[$ Hourly WAGES]])+
SUMIF(Feb_Period_1_Tbl[[#All],[STAFF:]],$A42,Feb_Period_1_Tbl[[#All],[$ Hourly WAGES]])+SUMIF(Mar_Period_1_Tbl[[#All],[STAFF:]],$A42,Mar_Period_1_Tbl[[#All],[$ Hourly WAGES]])+SUMIF(Apr_Period_1_Tbl[[#All],[STAFF:]],$A42,Apr_Period_1_Tbl[[#All],[$ Hourly WAGES]])+   SUMIF(May_Period_1_Tbl[[#All],[STAFF:]],$A42,May_Period_1_Tbl[[#All],[$ Hourly WAGES]])+   SUMIF(Jun_Period_1_Tbl[[#All],[STAFF:]],$A42,Jun_Period_1_Tbl[[#All],[$ Hourly WAGES]])+  SUMIF(Jul_Period_1_Tbl[[#All],[STAFF:]],$A42,Jul_Period_1_Tbl[[#All],[$ Hourly WAGES]])+  SUMIF(Aug_Period_1_Tbl[[#All],[STAFF:]],$A42,Aug_Period_1_Tbl[[#All],[$ Hourly WAGES]])+  SUMIF(Sep_Period_1_Tbl[[#All],[STAFF:]],$A42,Sep_Period_1_Tbl[[#All],[$ Hourly WAGES]])+  SUMIF(Oct_Period_1_Tbl[[#All],[STAFF:]],$A42,Oct_Period_1_Tbl[[#All],[$ Hourly WAGES]])+     SUMIF(Nov_Period_1_Tbl[[#All],[STAFF:]],$A42,Nov_Period_1_Tbl[[#All],[$ Hourly WAGES]])+  SUMIF(Dec_Period_1_Tbl[[#All],[STAFF:]],$A42,Dec_Period_1_Tbl[[#All],[$ Hourly WAGES]]))+   (SUMIF(Jan_Period_2_Tbl[[#All],[STAFF:]],$A42,Jan_Period_2_Tbl[[#All],[$ Hourly WAGES]])+
SUMIF(Feb_Period_2_Tbl[[#All],[STAFF:]],$A42,Feb_Period_2_Tbl[[#All],[$ Hourly WAGES]])+SUMIF(Mar_Period_2_Tbl[[#All],[STAFF:]],$A42,Mar_Period_2_Tbl[[#All],[$ Hourly WAGES]])+SUMIF(Apr_Period_2_Tbl[[#All],[STAFF:]],$A42,Apr_Period_2_Tbl[[#All],[$ Hourly WAGES]])+   SUMIF(May_Period_2_Tbl[[#All],[STAFF:]],$A42,May_Period_2_Tbl[[#All],[$ Hourly WAGES]])+   SUMIF(Jun_Period_2_Tbl[[#All],[STAFF:]],$A42,Jun_Period_2_Tbl[[#All],[$ Hourly WAGES]])+  SUMIF(Jul_Period_2_Tbl[[#All],[STAFF:]],$A42,Jul_Period_2_Tbl[[#All],[$ Hourly WAGES]])+  SUMIF(Aug_Period_2_Tbl[[#All],[STAFF:]],$A42,Aug_Period_2_Tbl[[#All],[$ Hourly WAGES]])+  SUMIF(Sep_Period_2_Tbl[[#All],[STAFF:]],$A42,Sep_Period_2_Tbl[[#All],[$ Hourly WAGES]])+  SUMIF(Oct_Period_2_Tbl[[#All],[STAFF:]],$A42,Oct_Period_2_Tbl[[#All],[$ Hourly WAGES]])+     SUMIF(Nov_Period_2_Tbl[[#All],[STAFF:]],$A42,Nov_Period_2_Tbl[[#All],[$ Hourly WAGES]])+  SUMIF(Dec_Period_2_Tbl[[#All],[STAFF:]],$A42,Dec_Period_2_Tbl[[#All],[$ Hourly WAGES]]))</f>
        <v>0</v>
      </c>
      <c r="H42" s="190">
        <f>(SUMIF(Jan_Period_1_Tbl[[#All],[STAFF:]],$A42,Jan_Period_1_Tbl[[#All],[$ SALARY]])+
SUMIF(Feb_Period_1_Tbl[[#All],[STAFF:]],$A42,Feb_Period_1_Tbl[[#All],[$ SALARY]])+SUMIF(Mar_Period_1_Tbl[[#All],[STAFF:]],$A42,Mar_Period_1_Tbl[[#All],[$ SALARY]])+SUMIF(Apr_Period_1_Tbl[[#All],[STAFF:]],$A42,Apr_Period_1_Tbl[[#All],[$ SALARY]])+   SUMIF(May_Period_1_Tbl[[#All],[STAFF:]],$A42,May_Period_1_Tbl[[#All],[$ SALARY]])+   SUMIF(Jun_Period_1_Tbl[[#All],[STAFF:]],$A42,Jun_Period_1_Tbl[[#All],[$ SALARY]])+  SUMIF(Jul_Period_1_Tbl[[#All],[STAFF:]],$A42,Jul_Period_1_Tbl[[#All],[$ SALARY]])+  SUMIF(Aug_Period_1_Tbl[[#All],[STAFF:]],$A42,Aug_Period_1_Tbl[[#All],[$ SALARY]])+  SUMIF(Sep_Period_1_Tbl[[#All],[STAFF:]],$A42,Sep_Period_1_Tbl[[#All],[$ SALARY]])+  SUMIF(Oct_Period_1_Tbl[[#All],[STAFF:]],$A42,Oct_Period_1_Tbl[[#All],[$ SALARY]])+     SUMIF(Nov_Period_1_Tbl[[#All],[STAFF:]],$A42,Nov_Period_1_Tbl[[#All],[$ SALARY]])+  SUMIF(Dec_Period_1_Tbl[[#All],[STAFF:]],$A42,Dec_Period_1_Tbl[[#All],[$ SALARY]]))+   (SUMIF(Jan_Period_2_Tbl[[#All],[STAFF:]],$A42,Jan_Period_2_Tbl[[#All],[$ SALARY]])+
SUMIF(Feb_Period_2_Tbl[[#All],[STAFF:]],$A42,Feb_Period_2_Tbl[[#All],[$ SALARY]])+SUMIF(Mar_Period_2_Tbl[[#All],[STAFF:]],$A42,Mar_Period_2_Tbl[[#All],[$ SALARY]])+SUMIF(Apr_Period_2_Tbl[[#All],[STAFF:]],$A42,Apr_Period_2_Tbl[[#All],[$ SALARY]])+   SUMIF(May_Period_2_Tbl[[#All],[STAFF:]],$A42,May_Period_2_Tbl[[#All],[$ SALARY]])+   SUMIF(Jun_Period_2_Tbl[[#All],[STAFF:]],$A42,Jun_Period_2_Tbl[[#All],[$ SALARY]])+  SUMIF(Jul_Period_2_Tbl[[#All],[STAFF:]],$A42,Jul_Period_2_Tbl[[#All],[$ SALARY]])+  SUMIF(Aug_Period_2_Tbl[[#All],[STAFF:]],$A42,Aug_Period_2_Tbl[[#All],[$ SALARY]])+  SUMIF(Sep_Period_2_Tbl[[#All],[STAFF:]],$A42,Sep_Period_2_Tbl[[#All],[$ SALARY]])+  SUMIF(Oct_Period_2_Tbl[[#All],[STAFF:]],$A42,Oct_Period_2_Tbl[[#All],[$ SALARY]])+     SUMIF(Nov_Period_2_Tbl[[#All],[STAFF:]],$A42,Nov_Period_2_Tbl[[#All],[$ SALARY]])+  SUMIF(Dec_Period_2_Tbl[[#All],[STAFF:]],$A42,Dec_Period_2_Tbl[[#All],[$ SALARY]]))</f>
        <v>0</v>
      </c>
      <c r="I42" s="190">
        <f>(SUMIF(Jan_Period_1_Tbl[[#All],[STAFF:]],$A42,Jan_Period_1_Tbl[[#All],[$ SALARY PT]])+
SUMIF(Feb_Period_1_Tbl[[#All],[STAFF:]],$A42,Feb_Period_1_Tbl[[#All],[$ SALARY PT]])+SUMIF(Mar_Period_1_Tbl[[#All],[STAFF:]],$A42,Mar_Period_1_Tbl[[#All],[$ SALARY PT]])+SUMIF(Apr_Period_1_Tbl[[#All],[STAFF:]],$A42,Apr_Period_1_Tbl[[#All],[$ SALARY PT]])+   SUMIF(May_Period_1_Tbl[[#All],[STAFF:]],$A42,May_Period_1_Tbl[[#All],[$ SALARY PT]])+   SUMIF(Jun_Period_1_Tbl[[#All],[STAFF:]],$A42,Jun_Period_1_Tbl[[#All],[$ SALARY PT]])+  SUMIF(Jul_Period_1_Tbl[[#All],[STAFF:]],$A42,Jul_Period_1_Tbl[[#All],[$ SALARY PT]])+  SUMIF(Aug_Period_1_Tbl[[#All],[STAFF:]],$A42,Aug_Period_1_Tbl[[#All],[$ SALARY PT]])+  SUMIF(Sep_Period_1_Tbl[[#All],[STAFF:]],$A42,Sep_Period_1_Tbl[[#All],[$ SALARY PT]])+  SUMIF(Oct_Period_1_Tbl[[#All],[STAFF:]],$A42,Oct_Period_1_Tbl[[#All],[$ SALARY PT]])+     SUMIF(Nov_Period_1_Tbl[[#All],[STAFF:]],$A42,Nov_Period_1_Tbl[[#All],[$ SALARY PT]])+  SUMIF(Dec_Period_1_Tbl[[#All],[STAFF:]],$A42,Dec_Period_1_Tbl[[#All],[$ SALARY PT]]))+   (SUMIF(Jan_Period_2_Tbl[[#All],[STAFF:]],$A42,Jan_Period_2_Tbl[[#All],[$ SALARY PT]])+
SUMIF(Feb_Period_2_Tbl[[#All],[STAFF:]],$A42,Feb_Period_2_Tbl[[#All],[$ SALARY PT]])+SUMIF(Mar_Period_2_Tbl[[#All],[STAFF:]],$A42,Mar_Period_2_Tbl[[#All],[$ SALARY PT]])+SUMIF(Apr_Period_2_Tbl[[#All],[STAFF:]],$A42,Apr_Period_2_Tbl[[#All],[$ SALARY PT]])+   SUMIF(May_Period_2_Tbl[[#All],[STAFF:]],$A42,May_Period_2_Tbl[[#All],[$ SALARY PT]])+   SUMIF(Jun_Period_2_Tbl[[#All],[STAFF:]],$A42,Jun_Period_2_Tbl[[#All],[$ SALARY PT]])+  SUMIF(Jul_Period_2_Tbl[[#All],[STAFF:]],$A42,Jul_Period_2_Tbl[[#All],[$ SALARY PT]])+  SUMIF(Aug_Period_2_Tbl[[#All],[STAFF:]],$A42,Aug_Period_2_Tbl[[#All],[$ SALARY PT]])+  SUMIF(Sep_Period_2_Tbl[[#All],[STAFF:]],$A42,Sep_Period_2_Tbl[[#All],[$ SALARY PT]])+  SUMIF(Oct_Period_2_Tbl[[#All],[STAFF:]],$A42,Oct_Period_2_Tbl[[#All],[$ SALARY PT]])+     SUMIF(Nov_Period_2_Tbl[[#All],[STAFF:]],$A42,Nov_Period_2_Tbl[[#All],[$ SALARY PT]])+  SUMIF(Dec_Period_2_Tbl[[#All],[STAFF:]],$A42,Dec_Period_2_Tbl[[#All],[$ SALARY PT]]))</f>
        <v>0</v>
      </c>
      <c r="J42" s="190">
        <f>(SUMIF(Jan_Period_1_Tbl[[#All],[STAFF:]],$A42,Jan_Period_1_Tbl[[#All],[$ FREE PT]])+
SUMIF(Feb_Period_1_Tbl[[#All],[STAFF:]],$A42,Feb_Period_1_Tbl[[#All],[$ FREE PT]])+SUMIF(Mar_Period_1_Tbl[[#All],[STAFF:]],$A42,Mar_Period_1_Tbl[[#All],[$ FREE PT]])+SUMIF(Apr_Period_1_Tbl[[#All],[STAFF:]],$A42,Apr_Period_1_Tbl[[#All],[$ FREE PT]])+   SUMIF(May_Period_1_Tbl[[#All],[STAFF:]],$A42,May_Period_1_Tbl[[#All],[$ FREE PT]])+   SUMIF(Jun_Period_1_Tbl[[#All],[STAFF:]],$A42,Jun_Period_1_Tbl[[#All],[$ FREE PT]])+  SUMIF(Jul_Period_1_Tbl[[#All],[STAFF:]],$A42,Jul_Period_1_Tbl[[#All],[$ FREE PT]])+  SUMIF(Aug_Period_1_Tbl[[#All],[STAFF:]],$A42,Aug_Period_1_Tbl[[#All],[$ FREE PT]])+  SUMIF(Sep_Period_1_Tbl[[#All],[STAFF:]],$A42,Sep_Period_1_Tbl[[#All],[$ FREE PT]])+  SUMIF(Oct_Period_1_Tbl[[#All],[STAFF:]],$A42,Oct_Period_1_Tbl[[#All],[$ FREE PT]])+     SUMIF(Nov_Period_1_Tbl[[#All],[STAFF:]],$A42,Nov_Period_1_Tbl[[#All],[$ FREE PT]])+  SUMIF(Dec_Period_1_Tbl[[#All],[STAFF:]],$A42,Dec_Period_1_Tbl[[#All],[$ FREE PT]]))+   (SUMIF(Jan_Period_2_Tbl[[#All],[STAFF:]],$A42,Jan_Period_2_Tbl[[#All],[$ FREE PT]])+
SUMIF(Feb_Period_2_Tbl[[#All],[STAFF:]],$A42,Feb_Period_2_Tbl[[#All],[$ FREE PT]])+SUMIF(Mar_Period_2_Tbl[[#All],[STAFF:]],$A42,Mar_Period_2_Tbl[[#All],[$ FREE PT]])+SUMIF(Apr_Period_2_Tbl[[#All],[STAFF:]],$A42,Apr_Period_2_Tbl[[#All],[$ FREE PT]])+   SUMIF(May_Period_2_Tbl[[#All],[STAFF:]],$A42,May_Period_2_Tbl[[#All],[$ FREE PT]])+   SUMIF(Jun_Period_2_Tbl[[#All],[STAFF:]],$A42,Jun_Period_2_Tbl[[#All],[$ FREE PT]])+  SUMIF(Jul_Period_2_Tbl[[#All],[STAFF:]],$A42,Jul_Period_2_Tbl[[#All],[$ FREE PT]])+  SUMIF(Aug_Period_2_Tbl[[#All],[STAFF:]],$A42,Aug_Period_2_Tbl[[#All],[$ FREE PT]])+  SUMIF(Sep_Period_2_Tbl[[#All],[STAFF:]],$A42,Sep_Period_2_Tbl[[#All],[$ FREE PT]])+  SUMIF(Oct_Period_2_Tbl[[#All],[STAFF:]],$A42,Oct_Period_2_Tbl[[#All],[$ FREE PT]])+     SUMIF(Nov_Period_2_Tbl[[#All],[STAFF:]],$A42,Nov_Period_2_Tbl[[#All],[$ FREE PT]])+  SUMIF(Dec_Period_2_Tbl[[#All],[STAFF:]],$A42,Dec_Period_2_Tbl[[#All],[$ FREE PT]]))</f>
        <v>0</v>
      </c>
      <c r="K42" s="190">
        <f>(SUMIF(Jan_Period_1_Tbl[[#All],[STAFF:]],$A42,Jan_Period_1_Tbl[[#All],[$ PAID PT]])+
SUMIF(Feb_Period_1_Tbl[[#All],[STAFF:]],$A42,Feb_Period_1_Tbl[[#All],[$ PAID PT]])+SUMIF(Mar_Period_1_Tbl[[#All],[STAFF:]],$A42,Mar_Period_1_Tbl[[#All],[$ PAID PT]])+SUMIF(Apr_Period_1_Tbl[[#All],[STAFF:]],$A42,Apr_Period_1_Tbl[[#All],[$ PAID PT]])+   SUMIF(May_Period_1_Tbl[[#All],[STAFF:]],$A42,May_Period_1_Tbl[[#All],[$ PAID PT]])+   SUMIF(Jun_Period_1_Tbl[[#All],[STAFF:]],$A42,Jun_Period_1_Tbl[[#All],[$ PAID PT]])+  SUMIF(Jul_Period_1_Tbl[[#All],[STAFF:]],$A42,Jul_Period_1_Tbl[[#All],[$ PAID PT]])+  SUMIF(Aug_Period_1_Tbl[[#All],[STAFF:]],$A42,Aug_Period_1_Tbl[[#All],[$ PAID PT]])+  SUMIF(Sep_Period_1_Tbl[[#All],[STAFF:]],$A42,Sep_Period_1_Tbl[[#All],[$ PAID PT]])+  SUMIF(Oct_Period_1_Tbl[[#All],[STAFF:]],$A42,Oct_Period_1_Tbl[[#All],[$ PAID PT]])+     SUMIF(Nov_Period_1_Tbl[[#All],[STAFF:]],$A42,Nov_Period_1_Tbl[[#All],[$ PAID PT]])+  SUMIF(Dec_Period_1_Tbl[[#All],[STAFF:]],$A42,Dec_Period_1_Tbl[[#All],[$ PAID PT]]))+   (SUMIF(Jan_Period_2_Tbl[[#All],[STAFF:]],$A42,Jan_Period_2_Tbl[[#All],[$ PAID PT]])+
SUMIF(Feb_Period_2_Tbl[[#All],[STAFF:]],$A42,Feb_Period_2_Tbl[[#All],[$ PAID PT]])+SUMIF(Mar_Period_2_Tbl[[#All],[STAFF:]],$A42,Mar_Period_2_Tbl[[#All],[$ PAID PT]])+SUMIF(Apr_Period_2_Tbl[[#All],[STAFF:]],$A42,Apr_Period_2_Tbl[[#All],[$ PAID PT]])+   SUMIF(May_Period_2_Tbl[[#All],[STAFF:]],$A42,May_Period_2_Tbl[[#All],[$ PAID PT]])+   SUMIF(Jun_Period_2_Tbl[[#All],[STAFF:]],$A42,Jun_Period_2_Tbl[[#All],[$ PAID PT]])+  SUMIF(Jul_Period_2_Tbl[[#All],[STAFF:]],$A42,Jul_Period_2_Tbl[[#All],[$ PAID PT]])+  SUMIF(Aug_Period_2_Tbl[[#All],[STAFF:]],$A42,Aug_Period_2_Tbl[[#All],[$ PAID PT]])+  SUMIF(Sep_Period_2_Tbl[[#All],[STAFF:]],$A42,Sep_Period_2_Tbl[[#All],[$ PAID PT]])+  SUMIF(Oct_Period_2_Tbl[[#All],[STAFF:]],$A42,Oct_Period_2_Tbl[[#All],[$ PAID PT]])+     SUMIF(Nov_Period_2_Tbl[[#All],[STAFF:]],$A42,Nov_Period_2_Tbl[[#All],[$ PAID PT]])+  SUMIF(Dec_Period_2_Tbl[[#All],[STAFF:]],$A42,Dec_Period_2_Tbl[[#All],[$ PAID PT]]))</f>
        <v>0</v>
      </c>
      <c r="L42" s="190">
        <f>(SUMIF(Jan_Period_1_Tbl[[#All],[STAFF:]],$A42,Jan_Period_1_Tbl[[#All],[$ PT COMM]])+
SUMIF(Feb_Period_1_Tbl[[#All],[STAFF:]],$A42,Feb_Period_1_Tbl[[#All],[$ PT COMM]])+SUMIF(Mar_Period_1_Tbl[[#All],[STAFF:]],$A42,Mar_Period_1_Tbl[[#All],[$ PT COMM]])+SUMIF(Apr_Period_1_Tbl[[#All],[STAFF:]],$A42,Apr_Period_1_Tbl[[#All],[$ PT COMM]])+   SUMIF(May_Period_1_Tbl[[#All],[STAFF:]],$A42,May_Period_1_Tbl[[#All],[$ PT COMM]])+   SUMIF(Jun_Period_1_Tbl[[#All],[STAFF:]],$A42,Jun_Period_1_Tbl[[#All],[$ PT COMM]])+  SUMIF(Jul_Period_1_Tbl[[#All],[STAFF:]],$A42,Jul_Period_1_Tbl[[#All],[$ PT COMM]])+  SUMIF(Aug_Period_1_Tbl[[#All],[STAFF:]],$A42,Aug_Period_1_Tbl[[#All],[$ PT COMM]])+  SUMIF(Sep_Period_1_Tbl[[#All],[STAFF:]],$A42,Sep_Period_1_Tbl[[#All],[$ PT COMM]])+  SUMIF(Oct_Period_1_Tbl[[#All],[STAFF:]],$A42,Oct_Period_1_Tbl[[#All],[$ PT COMM]])+     SUMIF(Nov_Period_1_Tbl[[#All],[STAFF:]],$A42,Nov_Period_1_Tbl[[#All],[$ PT COMM]])+  SUMIF(Dec_Period_1_Tbl[[#All],[STAFF:]],$A42,Dec_Period_1_Tbl[[#All],[$ PT COMM]]))+   (SUMIF(Jan_Period_2_Tbl[[#All],[STAFF:]],$A42,Jan_Period_2_Tbl[[#All],[$ PT COMM]])+
SUMIF(Feb_Period_2_Tbl[[#All],[STAFF:]],$A42,Feb_Period_2_Tbl[[#All],[$ PT COMM]])+SUMIF(Mar_Period_2_Tbl[[#All],[STAFF:]],$A42,Mar_Period_2_Tbl[[#All],[$ PT COMM]])+SUMIF(Apr_Period_2_Tbl[[#All],[STAFF:]],$A42,Apr_Period_2_Tbl[[#All],[$ PT COMM]])+   SUMIF(May_Period_2_Tbl[[#All],[STAFF:]],$A42,May_Period_2_Tbl[[#All],[$ PT COMM]])+   SUMIF(Jun_Period_2_Tbl[[#All],[STAFF:]],$A42,Jun_Period_2_Tbl[[#All],[$ PT COMM]])+  SUMIF(Jul_Period_2_Tbl[[#All],[STAFF:]],$A42,Jul_Period_2_Tbl[[#All],[$ PT COMM]])+  SUMIF(Aug_Period_2_Tbl[[#All],[STAFF:]],$A42,Aug_Period_2_Tbl[[#All],[$ PT COMM]])+  SUMIF(Sep_Period_2_Tbl[[#All],[STAFF:]],$A42,Sep_Period_2_Tbl[[#All],[$ PT COMM]])+  SUMIF(Oct_Period_2_Tbl[[#All],[STAFF:]],$A42,Oct_Period_2_Tbl[[#All],[$ PT COMM]])+     SUMIF(Nov_Period_2_Tbl[[#All],[STAFF:]],$A42,Nov_Period_2_Tbl[[#All],[$ PT COMM]])+  SUMIF(Dec_Period_2_Tbl[[#All],[STAFF:]],$A42,Dec_Period_2_Tbl[[#All],[$ PT COMM]]))</f>
        <v>0</v>
      </c>
      <c r="M42" s="190">
        <f>(SUMIF(Jan_Period_1_Tbl[[#All],[STAFF:]],$A42,Jan_Period_1_Tbl[[#All],[$ EFT COMM]])+
SUMIF(Feb_Period_1_Tbl[[#All],[STAFF:]],$A42,Feb_Period_1_Tbl[[#All],[$ EFT COMM]])+SUMIF(Mar_Period_1_Tbl[[#All],[STAFF:]],$A42,Mar_Period_1_Tbl[[#All],[$ EFT COMM]])+SUMIF(Apr_Period_1_Tbl[[#All],[STAFF:]],$A42,Apr_Period_1_Tbl[[#All],[$ EFT COMM]])+   SUMIF(May_Period_1_Tbl[[#All],[STAFF:]],$A42,May_Period_1_Tbl[[#All],[$ EFT COMM]])+   SUMIF(Jun_Period_1_Tbl[[#All],[STAFF:]],$A42,Jun_Period_1_Tbl[[#All],[$ EFT COMM]])+  SUMIF(Jul_Period_1_Tbl[[#All],[STAFF:]],$A42,Jul_Period_1_Tbl[[#All],[$ EFT COMM]])+  SUMIF(Aug_Period_1_Tbl[[#All],[STAFF:]],$A42,Aug_Period_1_Tbl[[#All],[$ EFT COMM]])+  SUMIF(Sep_Period_1_Tbl[[#All],[STAFF:]],$A42,Sep_Period_1_Tbl[[#All],[$ EFT COMM]])+  SUMIF(Oct_Period_1_Tbl[[#All],[STAFF:]],$A42,Oct_Period_1_Tbl[[#All],[$ EFT COMM]])+     SUMIF(Nov_Period_1_Tbl[[#All],[STAFF:]],$A42,Nov_Period_1_Tbl[[#All],[$ EFT COMM]])+  SUMIF(Dec_Period_1_Tbl[[#All],[STAFF:]],$A42,Dec_Period_1_Tbl[[#All],[$ EFT COMM]]))+   (SUMIF(Jan_Period_2_Tbl[[#All],[STAFF:]],$A42,Jan_Period_2_Tbl[[#All],[$ EFT COMM]])+
SUMIF(Feb_Period_2_Tbl[[#All],[STAFF:]],$A42,Feb_Period_2_Tbl[[#All],[$ EFT COMM]])+SUMIF(Mar_Period_2_Tbl[[#All],[STAFF:]],$A42,Mar_Period_2_Tbl[[#All],[$ EFT COMM]])+SUMIF(Apr_Period_2_Tbl[[#All],[STAFF:]],$A42,Apr_Period_2_Tbl[[#All],[$ EFT COMM]])+   SUMIF(May_Period_2_Tbl[[#All],[STAFF:]],$A42,May_Period_2_Tbl[[#All],[$ EFT COMM]])+   SUMIF(Jun_Period_2_Tbl[[#All],[STAFF:]],$A42,Jun_Period_2_Tbl[[#All],[$ EFT COMM]])+  SUMIF(Jul_Period_2_Tbl[[#All],[STAFF:]],$A42,Jul_Period_2_Tbl[[#All],[$ EFT COMM]])+  SUMIF(Aug_Period_2_Tbl[[#All],[STAFF:]],$A42,Aug_Period_2_Tbl[[#All],[$ EFT COMM]])+  SUMIF(Sep_Period_2_Tbl[[#All],[STAFF:]],$A42,Sep_Period_2_Tbl[[#All],[$ EFT COMM]])+  SUMIF(Oct_Period_2_Tbl[[#All],[STAFF:]],$A42,Oct_Period_2_Tbl[[#All],[$ EFT COMM]])+     SUMIF(Nov_Period_2_Tbl[[#All],[STAFF:]],$A42,Nov_Period_2_Tbl[[#All],[$ EFT COMM]])+  SUMIF(Dec_Period_2_Tbl[[#All],[STAFF:]],$A42,Dec_Period_2_Tbl[[#All],[$ EFT COMM]]))</f>
        <v>0</v>
      </c>
      <c r="N42" s="190">
        <f>(SUMIF(Jan_Period_1_Tbl[[#All],[STAFF:]],$A42,Jan_Period_1_Tbl[[#All],[$ CLASS PAY]])+
SUMIF(Feb_Period_1_Tbl[[#All],[STAFF:]],$A42,Feb_Period_1_Tbl[[#All],[$ CLASS PAY]])+SUMIF(Mar_Period_1_Tbl[[#All],[STAFF:]],$A42,Mar_Period_1_Tbl[[#All],[$ CLASS PAY]])+SUMIF(Apr_Period_1_Tbl[[#All],[STAFF:]],$A42,Apr_Period_1_Tbl[[#All],[$ CLASS PAY]])+   SUMIF(May_Period_1_Tbl[[#All],[STAFF:]],$A42,May_Period_1_Tbl[[#All],[$ CLASS PAY]])+   SUMIF(Jun_Period_1_Tbl[[#All],[STAFF:]],$A42,Jun_Period_1_Tbl[[#All],[$ CLASS PAY]])+  SUMIF(Jul_Period_1_Tbl[[#All],[STAFF:]],$A42,Jul_Period_1_Tbl[[#All],[$ CLASS PAY]])+  SUMIF(Aug_Period_1_Tbl[[#All],[STAFF:]],$A42,Aug_Period_1_Tbl[[#All],[$ CLASS PAY]])+  SUMIF(Sep_Period_1_Tbl[[#All],[STAFF:]],$A42,Sep_Period_1_Tbl[[#All],[$ CLASS PAY]])+  SUMIF(Oct_Period_1_Tbl[[#All],[STAFF:]],$A42,Oct_Period_1_Tbl[[#All],[$ CLASS PAY]])+     SUMIF(Nov_Period_1_Tbl[[#All],[STAFF:]],$A42,Nov_Period_1_Tbl[[#All],[$ CLASS PAY]])+  SUMIF(Dec_Period_1_Tbl[[#All],[STAFF:]],$A42,Dec_Period_1_Tbl[[#All],[$ CLASS PAY]]))+   (SUMIF(Jan_Period_2_Tbl[[#All],[STAFF:]],$A42,Jan_Period_2_Tbl[[#All],[$ CLASS PAY]])+
SUMIF(Feb_Period_2_Tbl[[#All],[STAFF:]],$A42,Feb_Period_2_Tbl[[#All],[$ CLASS PAY]])+SUMIF(Mar_Period_2_Tbl[[#All],[STAFF:]],$A42,Mar_Period_2_Tbl[[#All],[$ CLASS PAY]])+SUMIF(Apr_Period_2_Tbl[[#All],[STAFF:]],$A42,Apr_Period_2_Tbl[[#All],[$ CLASS PAY]])+   SUMIF(May_Period_2_Tbl[[#All],[STAFF:]],$A42,May_Period_2_Tbl[[#All],[$ CLASS PAY]])+   SUMIF(Jun_Period_2_Tbl[[#All],[STAFF:]],$A42,Jun_Period_2_Tbl[[#All],[$ CLASS PAY]])+  SUMIF(Jul_Period_2_Tbl[[#All],[STAFF:]],$A42,Jul_Period_2_Tbl[[#All],[$ CLASS PAY]])+  SUMIF(Aug_Period_2_Tbl[[#All],[STAFF:]],$A42,Aug_Period_2_Tbl[[#All],[$ CLASS PAY]])+  SUMIF(Sep_Period_2_Tbl[[#All],[STAFF:]],$A42,Sep_Period_2_Tbl[[#All],[$ CLASS PAY]])+  SUMIF(Oct_Period_2_Tbl[[#All],[STAFF:]],$A42,Oct_Period_2_Tbl[[#All],[$ CLASS PAY]])+     SUMIF(Nov_Period_2_Tbl[[#All],[STAFF:]],$A42,Nov_Period_2_Tbl[[#All],[$ CLASS PAY]])+  SUMIF(Dec_Period_2_Tbl[[#All],[STAFF:]],$A42,Dec_Period_2_Tbl[[#All],[$ CLASS PAY]]))</f>
        <v>0</v>
      </c>
      <c r="O42" s="191">
        <f>(SUMIF(Jan_Period_1_Tbl[[#All],[STAFF:]],$A42,Jan_Period_1_Tbl[[#All],[$ BONUS PAY]])+
SUMIF(Feb_Period_1_Tbl[[#All],[STAFF:]],$A42,Feb_Period_1_Tbl[[#All],[$ BONUS PAY]])+SUMIF(Mar_Period_1_Tbl[[#All],[STAFF:]],$A42,Mar_Period_1_Tbl[[#All],[$ BONUS PAY]])+SUMIF(Apr_Period_1_Tbl[[#All],[STAFF:]],$A42,Apr_Period_1_Tbl[[#All],[$ BONUS PAY]])+   SUMIF(May_Period_1_Tbl[[#All],[STAFF:]],$A42,May_Period_1_Tbl[[#All],[$ BONUS PAY]])+   SUMIF(Jun_Period_1_Tbl[[#All],[STAFF:]],$A42,Jun_Period_1_Tbl[[#All],[$ BONUS PAY]])+  SUMIF(Jul_Period_1_Tbl[[#All],[STAFF:]],$A42,Jul_Period_1_Tbl[[#All],[$ BONUS PAY]])+  SUMIF(Aug_Period_1_Tbl[[#All],[STAFF:]],$A42,Aug_Period_1_Tbl[[#All],[$ BONUS PAY]])+  SUMIF(Sep_Period_1_Tbl[[#All],[STAFF:]],$A42,Sep_Period_1_Tbl[[#All],[$ BONUS PAY]])+  SUMIF(Oct_Period_1_Tbl[[#All],[STAFF:]],$A42,Oct_Period_1_Tbl[[#All],[$ BONUS PAY]])+     SUMIF(Nov_Period_1_Tbl[[#All],[STAFF:]],$A42,Nov_Period_1_Tbl[[#All],[$ BONUS PAY]])+  SUMIF(Dec_Period_1_Tbl[[#All],[STAFF:]],$A42,Dec_Period_1_Tbl[[#All],[$ BONUS PAY]]))+   (SUMIF(Jan_Period_2_Tbl[[#All],[STAFF:]],$A42,Jan_Period_2_Tbl[[#All],[$ BONUS PAY]])+
SUMIF(Feb_Period_2_Tbl[[#All],[STAFF:]],$A42,Feb_Period_2_Tbl[[#All],[$ BONUS PAY]])+SUMIF(Mar_Period_2_Tbl[[#All],[STAFF:]],$A42,Mar_Period_2_Tbl[[#All],[$ BONUS PAY]])+SUMIF(Apr_Period_2_Tbl[[#All],[STAFF:]],$A42,Apr_Period_2_Tbl[[#All],[$ BONUS PAY]])+   SUMIF(May_Period_2_Tbl[[#All],[STAFF:]],$A42,May_Period_2_Tbl[[#All],[$ BONUS PAY]])+   SUMIF(Jun_Period_2_Tbl[[#All],[STAFF:]],$A42,Jun_Period_2_Tbl[[#All],[$ BONUS PAY]])+  SUMIF(Jul_Period_2_Tbl[[#All],[STAFF:]],$A42,Jul_Period_2_Tbl[[#All],[$ BONUS PAY]])+  SUMIF(Aug_Period_2_Tbl[[#All],[STAFF:]],$A42,Aug_Period_2_Tbl[[#All],[$ BONUS PAY]])+  SUMIF(Sep_Period_2_Tbl[[#All],[STAFF:]],$A42,Sep_Period_2_Tbl[[#All],[$ BONUS PAY]])+  SUMIF(Oct_Period_2_Tbl[[#All],[STAFF:]],$A42,Oct_Period_2_Tbl[[#All],[$ BONUS PAY]])+     SUMIF(Nov_Period_2_Tbl[[#All],[STAFF:]],$A42,Nov_Period_2_Tbl[[#All],[$ BONUS PAY]])+  SUMIF(Dec_Period_2_Tbl[[#All],[STAFF:]],$A42,Dec_Period_2_Tbl[[#All],[$ BONUS PAY]]))</f>
        <v>0</v>
      </c>
      <c r="P42" s="179">
        <f t="shared" si="9"/>
        <v>0</v>
      </c>
      <c r="Q42" s="149"/>
      <c r="R42" s="152">
        <f>(SUMIF(Jan_Period_1_Tbl[[#All],[STAFF:]],$A42,Jan_Period_1_Tbl[[#All],['# POINTS EARNED]])+
SUMIF(Feb_Period_1_Tbl[[#All],[STAFF:]],$A42,Feb_Period_1_Tbl[[#All],['# POINTS EARNED]])+SUMIF(Mar_Period_1_Tbl[[#All],[STAFF:]],$A42,Mar_Period_1_Tbl[[#All],['# POINTS EARNED]])+SUMIF(Apr_Period_1_Tbl[[#All],[STAFF:]],$A42,Apr_Period_1_Tbl[[#All],['# POINTS EARNED]])+   SUMIF(May_Period_1_Tbl[[#All],[STAFF:]],$A42,May_Period_1_Tbl[[#All],['# POINTS EARNED]])+   SUMIF(Jun_Period_1_Tbl[[#All],[STAFF:]],$A42,Jun_Period_1_Tbl[[#All],['# POINTS EARNED]])+  SUMIF(Jul_Period_1_Tbl[[#All],[STAFF:]],$A42,Jul_Period_1_Tbl[[#All],['# POINTS EARNED]])+  SUMIF(Aug_Period_1_Tbl[[#All],[STAFF:]],$A42,Aug_Period_1_Tbl[[#All],['# POINTS EARNED]])+  SUMIF(Sep_Period_1_Tbl[[#All],[STAFF:]],$A42,Sep_Period_1_Tbl[[#All],['# POINTS EARNED]])+  SUMIF(Oct_Period_1_Tbl[[#All],[STAFF:]],$A42,Oct_Period_1_Tbl[[#All],['# POINTS EARNED]])+     SUMIF(Nov_Period_1_Tbl[[#All],[STAFF:]],$A42,Nov_Period_1_Tbl[[#All],['# POINTS EARNED]])+  SUMIF(Dec_Period_1_Tbl[[#All],[STAFF:]],$A42,Dec_Period_1_Tbl[[#All],['# POINTS EARNED]]))+   (SUMIF(Jan_Period_2_Tbl[[#All],[STAFF:]],$A42,Jan_Period_2_Tbl[[#All],['# POINTS EARNED]])+
SUMIF(Feb_Period_2_Tbl[[#All],[STAFF:]],$A42,Feb_Period_2_Tbl[[#All],['# POINTS EARNED]])+SUMIF(Mar_Period_2_Tbl[[#All],[STAFF:]],$A42,Mar_Period_2_Tbl[[#All],['# POINTS EARNED]])+SUMIF(Apr_Period_2_Tbl[[#All],[STAFF:]],$A42,Apr_Period_2_Tbl[[#All],['# POINTS EARNED]])+   SUMIF(May_Period_2_Tbl[[#All],[STAFF:]],$A42,May_Period_2_Tbl[[#All],['# POINTS EARNED]])+   SUMIF(Jun_Period_2_Tbl[[#All],[STAFF:]],$A42,Jun_Period_2_Tbl[[#All],['# POINTS EARNED]])+  SUMIF(Jul_Period_2_Tbl[[#All],[STAFF:]],$A42,Jul_Period_2_Tbl[[#All],['# POINTS EARNED]])+  SUMIF(Aug_Period_2_Tbl[[#All],[STAFF:]],$A42,Aug_Period_2_Tbl[[#All],['# POINTS EARNED]])+  SUMIF(Sep_Period_2_Tbl[[#All],[STAFF:]],$A42,Sep_Period_2_Tbl[[#All],['# POINTS EARNED]])+  SUMIF(Oct_Period_2_Tbl[[#All],[STAFF:]],$A42,Oct_Period_2_Tbl[[#All],['# POINTS EARNED]])+     SUMIF(Nov_Period_2_Tbl[[#All],[STAFF:]],$A42,Nov_Period_2_Tbl[[#All],['# POINTS EARNED]])+  SUMIF(Dec_Period_2_Tbl[[#All],[STAFF:]],$A42,Dec_Period_2_Tbl[[#All],['# POINTS EARNED]]))</f>
        <v>0</v>
      </c>
      <c r="S42" s="152">
        <f>(SUMIF(Jan_Period_1_Tbl[[#All],[STAFF:]],$A42,Jan_Period_1_Tbl[[#All],['# POINTS USED]])+
SUMIF(Feb_Period_1_Tbl[[#All],[STAFF:]],$A42,Feb_Period_1_Tbl[[#All],['# POINTS USED]])+SUMIF(Mar_Period_1_Tbl[[#All],[STAFF:]],$A42,Mar_Period_1_Tbl[[#All],['# POINTS USED]])+SUMIF(Apr_Period_1_Tbl[[#All],[STAFF:]],$A42,Apr_Period_1_Tbl[[#All],['# POINTS USED]])+   SUMIF(May_Period_1_Tbl[[#All],[STAFF:]],$A42,May_Period_1_Tbl[[#All],['# POINTS USED]])+   SUMIF(Jun_Period_1_Tbl[[#All],[STAFF:]],$A42,Jun_Period_1_Tbl[[#All],['# POINTS USED]])+  SUMIF(Jul_Period_1_Tbl[[#All],[STAFF:]],$A42,Jul_Period_1_Tbl[[#All],['# POINTS USED]])+  SUMIF(Aug_Period_1_Tbl[[#All],[STAFF:]],$A42,Aug_Period_1_Tbl[[#All],['# POINTS USED]])+  SUMIF(Sep_Period_1_Tbl[[#All],[STAFF:]],$A42,Sep_Period_1_Tbl[[#All],['# POINTS USED]])+  SUMIF(Oct_Period_1_Tbl[[#All],[STAFF:]],$A42,Oct_Period_1_Tbl[[#All],['# POINTS USED]])+     SUMIF(Nov_Period_1_Tbl[[#All],[STAFF:]],$A42,Nov_Period_1_Tbl[[#All],['# POINTS USED]])+  SUMIF(Dec_Period_1_Tbl[[#All],[STAFF:]],$A42,Dec_Period_1_Tbl[[#All],['# POINTS USED]]))+   (SUMIF(Jan_Period_2_Tbl[[#All],[STAFF:]],$A42,Jan_Period_2_Tbl[[#All],['# POINTS USED]])+
SUMIF(Feb_Period_2_Tbl[[#All],[STAFF:]],$A42,Feb_Period_2_Tbl[[#All],['# POINTS USED]])+SUMIF(Mar_Period_2_Tbl[[#All],[STAFF:]],$A42,Mar_Period_2_Tbl[[#All],['# POINTS USED]])+SUMIF(Apr_Period_2_Tbl[[#All],[STAFF:]],$A42,Apr_Period_2_Tbl[[#All],['# POINTS USED]])+   SUMIF(May_Period_2_Tbl[[#All],[STAFF:]],$A42,May_Period_2_Tbl[[#All],['# POINTS USED]])+   SUMIF(Jun_Period_2_Tbl[[#All],[STAFF:]],$A42,Jun_Period_2_Tbl[[#All],['# POINTS USED]])+  SUMIF(Jul_Period_2_Tbl[[#All],[STAFF:]],$A42,Jul_Period_2_Tbl[[#All],['# POINTS USED]])+  SUMIF(Aug_Period_2_Tbl[[#All],[STAFF:]],$A42,Aug_Period_2_Tbl[[#All],['# POINTS USED]])+  SUMIF(Sep_Period_2_Tbl[[#All],[STAFF:]],$A42,Sep_Period_2_Tbl[[#All],['# POINTS USED]])+  SUMIF(Oct_Period_2_Tbl[[#All],[STAFF:]],$A42,Oct_Period_2_Tbl[[#All],['# POINTS USED]])+     SUMIF(Nov_Period_2_Tbl[[#All],[STAFF:]],$A42,Nov_Period_2_Tbl[[#All],['# POINTS USED]])+  SUMIF(Dec_Period_2_Tbl[[#All],[STAFF:]],$A42,Dec_Period_2_Tbl[[#All],['# POINTS USED]]))</f>
        <v>0</v>
      </c>
      <c r="T42" s="152">
        <f>(SUMIF(Jan_Period_1_Tbl[[#All],[STAFF:]],$A42,Jan_Period_1_Tbl[[#All],['# CLASSES LEAD]])+
SUMIF(Feb_Period_1_Tbl[[#All],[STAFF:]],$A42,Feb_Period_1_Tbl[[#All],['# CLASSES LEAD]])+SUMIF(Mar_Period_1_Tbl[[#All],[STAFF:]],$A42,Mar_Period_1_Tbl[[#All],['# CLASSES LEAD]])+SUMIF(Apr_Period_1_Tbl[[#All],[STAFF:]],$A42,Apr_Period_1_Tbl[[#All],['# CLASSES LEAD]])+   SUMIF(May_Period_1_Tbl[[#All],[STAFF:]],$A42,May_Period_1_Tbl[[#All],['# CLASSES LEAD]])+   SUMIF(Jun_Period_1_Tbl[[#All],[STAFF:]],$A42,Jun_Period_1_Tbl[[#All],['# CLASSES LEAD]])+  SUMIF(Jul_Period_1_Tbl[[#All],[STAFF:]],$A42,Jul_Period_1_Tbl[[#All],['# CLASSES LEAD]])+  SUMIF(Aug_Period_1_Tbl[[#All],[STAFF:]],$A42,Aug_Period_1_Tbl[[#All],['# CLASSES LEAD]])+  SUMIF(Sep_Period_1_Tbl[[#All],[STAFF:]],$A42,Sep_Period_1_Tbl[[#All],['# CLASSES LEAD]])+  SUMIF(Oct_Period_1_Tbl[[#All],[STAFF:]],$A42,Oct_Period_1_Tbl[[#All],['# CLASSES LEAD]])+     SUMIF(Nov_Period_1_Tbl[[#All],[STAFF:]],$A42,Nov_Period_1_Tbl[[#All],['# CLASSES LEAD]])+  SUMIF(Dec_Period_1_Tbl[[#All],[STAFF:]],$A42,Dec_Period_1_Tbl[[#All],['# CLASSES LEAD]]))+   (SUMIF(Jan_Period_2_Tbl[[#All],[STAFF:]],$A42,Jan_Period_2_Tbl[[#All],['# CLASSES LEAD]])+
SUMIF(Feb_Period_2_Tbl[[#All],[STAFF:]],$A42,Feb_Period_2_Tbl[[#All],['# CLASSES LEAD]])+SUMIF(Mar_Period_2_Tbl[[#All],[STAFF:]],$A42,Mar_Period_2_Tbl[[#All],['# CLASSES LEAD]])+SUMIF(Apr_Period_2_Tbl[[#All],[STAFF:]],$A42,Apr_Period_2_Tbl[[#All],['# CLASSES LEAD]])+   SUMIF(May_Period_2_Tbl[[#All],[STAFF:]],$A42,May_Period_2_Tbl[[#All],['# CLASSES LEAD]])+   SUMIF(Jun_Period_2_Tbl[[#All],[STAFF:]],$A42,Jun_Period_2_Tbl[[#All],['# CLASSES LEAD]])+  SUMIF(Jul_Period_2_Tbl[[#All],[STAFF:]],$A42,Jul_Period_2_Tbl[[#All],['# CLASSES LEAD]])+  SUMIF(Aug_Period_2_Tbl[[#All],[STAFF:]],$A42,Aug_Period_2_Tbl[[#All],['# CLASSES LEAD]])+  SUMIF(Sep_Period_2_Tbl[[#All],[STAFF:]],$A42,Sep_Period_2_Tbl[[#All],['# CLASSES LEAD]])+  SUMIF(Oct_Period_2_Tbl[[#All],[STAFF:]],$A42,Oct_Period_2_Tbl[[#All],['# CLASSES LEAD]])+     SUMIF(Nov_Period_2_Tbl[[#All],[STAFF:]],$A42,Nov_Period_2_Tbl[[#All],['# CLASSES LEAD]])+  SUMIF(Dec_Period_2_Tbl[[#All],[STAFF:]],$A42,Dec_Period_2_Tbl[[#All],['# CLASSES LEAD]]))</f>
        <v>0</v>
      </c>
      <c r="U42" s="152">
        <f>(SUMIF(Jan_Period_1_Tbl[[#All],[STAFF:]],$A42,Jan_Period_1_Tbl[[#All],['# CLASSES SHOW]])+
SUMIF(Feb_Period_1_Tbl[[#All],[STAFF:]],$A42,Feb_Period_1_Tbl[[#All],['# CLASSES SHOW]])+SUMIF(Mar_Period_1_Tbl[[#All],[STAFF:]],$A42,Mar_Period_1_Tbl[[#All],['# CLASSES SHOW]])+SUMIF(Apr_Period_1_Tbl[[#All],[STAFF:]],$A42,Apr_Period_1_Tbl[[#All],['# CLASSES SHOW]])+   SUMIF(May_Period_1_Tbl[[#All],[STAFF:]],$A42,May_Period_1_Tbl[[#All],['# CLASSES SHOW]])+   SUMIF(Jun_Period_1_Tbl[[#All],[STAFF:]],$A42,Jun_Period_1_Tbl[[#All],['# CLASSES SHOW]])+  SUMIF(Jul_Period_1_Tbl[[#All],[STAFF:]],$A42,Jul_Period_1_Tbl[[#All],['# CLASSES SHOW]])+  SUMIF(Aug_Period_1_Tbl[[#All],[STAFF:]],$A42,Aug_Period_1_Tbl[[#All],['# CLASSES SHOW]])+  SUMIF(Sep_Period_1_Tbl[[#All],[STAFF:]],$A42,Sep_Period_1_Tbl[[#All],['# CLASSES SHOW]])+  SUMIF(Oct_Period_1_Tbl[[#All],[STAFF:]],$A42,Oct_Period_1_Tbl[[#All],['# CLASSES SHOW]])+     SUMIF(Nov_Period_1_Tbl[[#All],[STAFF:]],$A42,Nov_Period_1_Tbl[[#All],['# CLASSES SHOW]])+  SUMIF(Dec_Period_1_Tbl[[#All],[STAFF:]],$A42,Dec_Period_1_Tbl[[#All],['# CLASSES SHOW]]))+   (SUMIF(Jan_Period_2_Tbl[[#All],[STAFF:]],$A42,Jan_Period_2_Tbl[[#All],['# CLASSES SHOW]])+
SUMIF(Feb_Period_2_Tbl[[#All],[STAFF:]],$A42,Feb_Period_2_Tbl[[#All],['# CLASSES SHOW]])+SUMIF(Mar_Period_2_Tbl[[#All],[STAFF:]],$A42,Mar_Period_2_Tbl[[#All],['# CLASSES SHOW]])+SUMIF(Apr_Period_2_Tbl[[#All],[STAFF:]],$A42,Apr_Period_2_Tbl[[#All],['# CLASSES SHOW]])+   SUMIF(May_Period_2_Tbl[[#All],[STAFF:]],$A42,May_Period_2_Tbl[[#All],['# CLASSES SHOW]])+   SUMIF(Jun_Period_2_Tbl[[#All],[STAFF:]],$A42,Jun_Period_2_Tbl[[#All],['# CLASSES SHOW]])+  SUMIF(Jul_Period_2_Tbl[[#All],[STAFF:]],$A42,Jul_Period_2_Tbl[[#All],['# CLASSES SHOW]])+  SUMIF(Aug_Period_2_Tbl[[#All],[STAFF:]],$A42,Aug_Period_2_Tbl[[#All],['# CLASSES SHOW]])+  SUMIF(Sep_Period_2_Tbl[[#All],[STAFF:]],$A42,Sep_Period_2_Tbl[[#All],['# CLASSES SHOW]])+  SUMIF(Oct_Period_2_Tbl[[#All],[STAFF:]],$A42,Oct_Period_2_Tbl[[#All],['# CLASSES SHOW]])+     SUMIF(Nov_Period_2_Tbl[[#All],[STAFF:]],$A42,Nov_Period_2_Tbl[[#All],['# CLASSES SHOW]])+  SUMIF(Dec_Period_2_Tbl[[#All],[STAFF:]],$A42,Dec_Period_2_Tbl[[#All],['# CLASSES SHOW]]))</f>
        <v>0</v>
      </c>
      <c r="V42" s="156"/>
      <c r="W42" s="156"/>
      <c r="X42" s="154">
        <f t="shared" si="10"/>
        <v>0</v>
      </c>
      <c r="Y42" s="154">
        <f t="shared" si="11"/>
        <v>0</v>
      </c>
      <c r="Z42" s="154">
        <f t="shared" si="12"/>
        <v>0</v>
      </c>
      <c r="AA42" s="154">
        <f t="shared" si="13"/>
        <v>0</v>
      </c>
      <c r="AB42" s="154">
        <f t="shared" si="14"/>
        <v>0</v>
      </c>
      <c r="AC42" s="154">
        <f t="shared" si="15"/>
        <v>0</v>
      </c>
      <c r="AD42" s="154">
        <f t="shared" si="16"/>
        <v>0</v>
      </c>
      <c r="AE42" s="149"/>
      <c r="AF42" s="149"/>
      <c r="AG42" s="149"/>
      <c r="AH42" s="149"/>
      <c r="AJ42" s="75" t="str">
        <f t="shared" si="17"/>
        <v>zBlank</v>
      </c>
      <c r="AK42" s="210"/>
      <c r="AL42" s="168">
        <f>IFERROR(VLOOKUP(B42,List!$A:$B,2,FALSE),-1)</f>
        <v>-1</v>
      </c>
      <c r="AM42" s="168">
        <f>IFERROR(VLOOKUP(C42,List!$A:$B,2,FALSE),-1)</f>
        <v>-1</v>
      </c>
    </row>
    <row r="43" spans="1:39" ht="15" hidden="1" customHeight="1" x14ac:dyDescent="0.25">
      <c r="A43" s="20"/>
      <c r="B43" s="186"/>
      <c r="C43" s="186"/>
      <c r="D43" s="187"/>
      <c r="E43" s="188">
        <f>(SUMIF(Jan_Period_1_Tbl[[#All],[STAFF:]],$A43,Jan_Period_1_Tbl[[#All],['# PTO USED]])+
SUMIF(Feb_Period_1_Tbl[[#All],[STAFF:]],$A43,Feb_Period_1_Tbl[[#All],['# PTO USED]])+SUMIF(Mar_Period_1_Tbl[[#All],[STAFF:]],$A43,Mar_Period_1_Tbl[[#All],['# PTO USED]])+SUMIF(Apr_Period_1_Tbl[[#All],[STAFF:]],$A43,Apr_Period_1_Tbl[[#All],['# PTO USED]])+   SUMIF(May_Period_1_Tbl[[#All],[STAFF:]],$A43,May_Period_1_Tbl[[#All],['# PTO USED]])+   SUMIF(Jun_Period_1_Tbl[[#All],[STAFF:]],$A43,Jun_Period_1_Tbl[[#All],['# PTO USED]])+  SUMIF(Jul_Period_1_Tbl[[#All],[STAFF:]],$A43,Jul_Period_1_Tbl[[#All],['# PTO USED]])+  SUMIF(Aug_Period_1_Tbl[[#All],[STAFF:]],$A43,Aug_Period_1_Tbl[[#All],['# PTO USED]])+  SUMIF(Sep_Period_1_Tbl[[#All],[STAFF:]],$A43,Sep_Period_1_Tbl[[#All],['# PTO USED]])+  SUMIF(Oct_Period_1_Tbl[[#All],[STAFF:]],$A43,Oct_Period_1_Tbl[[#All],['# PTO USED]])+     SUMIF(Nov_Period_1_Tbl[[#All],[STAFF:]],$A43,Nov_Period_1_Tbl[[#All],['# PTO USED]])+  SUMIF(Dec_Period_1_Tbl[[#All],[STAFF:]],$A43,Dec_Period_1_Tbl[[#All],['# PTO USED]]))+   (SUMIF(Jan_Period_2_Tbl[[#All],[STAFF:]],$A43,Jan_Period_2_Tbl[[#All],['# PTO USED]])+
SUMIF(Feb_Period_2_Tbl[[#All],[STAFF:]],$A43,Feb_Period_2_Tbl[[#All],['# PTO USED]])+SUMIF(Mar_Period_2_Tbl[[#All],[STAFF:]],$A43,Mar_Period_2_Tbl[[#All],['# PTO USED]])+SUMIF(Apr_Period_2_Tbl[[#All],[STAFF:]],$A43,Apr_Period_2_Tbl[[#All],['# PTO USED]])+   SUMIF(May_Period_2_Tbl[[#All],[STAFF:]],$A43,May_Period_2_Tbl[[#All],['# PTO USED]])+   SUMIF(Jun_Period_2_Tbl[[#All],[STAFF:]],$A43,Jun_Period_2_Tbl[[#All],['# PTO USED]])+  SUMIF(Jul_Period_2_Tbl[[#All],[STAFF:]],$A43,Jul_Period_2_Tbl[[#All],['# PTO USED]])+  SUMIF(Aug_Period_2_Tbl[[#All],[STAFF:]],$A43,Aug_Period_2_Tbl[[#All],['# PTO USED]])+  SUMIF(Sep_Period_2_Tbl[[#All],[STAFF:]],$A43,Sep_Period_2_Tbl[[#All],['# PTO USED]])+  SUMIF(Oct_Period_2_Tbl[[#All],[STAFF:]],$A43,Oct_Period_2_Tbl[[#All],['# PTO USED]])+     SUMIF(Nov_Period_2_Tbl[[#All],[STAFF:]],$A43,Nov_Period_2_Tbl[[#All],['# PTO USED]])+  SUMIF(Dec_Period_2_Tbl[[#All],[STAFF:]],$A43,Dec_Period_2_Tbl[[#All],['# PTO USED]]))</f>
        <v>0</v>
      </c>
      <c r="F43" s="189">
        <f>(SUMIF(Jan_Period_1_Tbl[[#All],[STAFF:]],$A43,Jan_Period_1_Tbl[[#All],['# HRS WORKED]])+
SUMIF(Feb_Period_1_Tbl[[#All],[STAFF:]],$A43,Feb_Period_1_Tbl[[#All],['# HRS WORKED]])+SUMIF(Mar_Period_1_Tbl[[#All],[STAFF:]],$A43,Mar_Period_1_Tbl[[#All],['# HRS WORKED]])+SUMIF(Apr_Period_1_Tbl[[#All],[STAFF:]],$A43,Apr_Period_1_Tbl[[#All],['# HRS WORKED]])+   SUMIF(May_Period_1_Tbl[[#All],[STAFF:]],$A43,May_Period_1_Tbl[[#All],['# HRS WORKED]])+   SUMIF(Jun_Period_1_Tbl[[#All],[STAFF:]],$A43,Jun_Period_1_Tbl[[#All],['# HRS WORKED]])+  SUMIF(Jul_Period_1_Tbl[[#All],[STAFF:]],$A43,Jul_Period_1_Tbl[[#All],['# HRS WORKED]])+  SUMIF(Aug_Period_1_Tbl[[#All],[STAFF:]],$A43,Aug_Period_1_Tbl[[#All],['# HRS WORKED]])+  SUMIF(Sep_Period_1_Tbl[[#All],[STAFF:]],$A43,Sep_Period_1_Tbl[[#All],['# HRS WORKED]])+  SUMIF(Oct_Period_1_Tbl[[#All],[STAFF:]],$A43,Oct_Period_1_Tbl[[#All],['# HRS WORKED]])+     SUMIF(Nov_Period_1_Tbl[[#All],[STAFF:]],$A43,Nov_Period_1_Tbl[[#All],['# HRS WORKED]])+  SUMIF(Dec_Period_1_Tbl[[#All],[STAFF:]],$A43,Dec_Period_1_Tbl[[#All],['# HRS WORKED]]))+   (SUMIF(Jan_Period_2_Tbl[[#All],[STAFF:]],$A43,Jan_Period_2_Tbl[[#All],['# HRS WORKED]])+
SUMIF(Feb_Period_2_Tbl[[#All],[STAFF:]],$A43,Feb_Period_2_Tbl[[#All],['# HRS WORKED]])+SUMIF(Mar_Period_2_Tbl[[#All],[STAFF:]],$A43,Mar_Period_2_Tbl[[#All],['# HRS WORKED]])+SUMIF(Apr_Period_2_Tbl[[#All],[STAFF:]],$A43,Apr_Period_2_Tbl[[#All],['# HRS WORKED]])+   SUMIF(May_Period_2_Tbl[[#All],[STAFF:]],$A43,May_Period_2_Tbl[[#All],['# HRS WORKED]])+   SUMIF(Jun_Period_2_Tbl[[#All],[STAFF:]],$A43,Jun_Period_2_Tbl[[#All],['# HRS WORKED]])+  SUMIF(Jul_Period_2_Tbl[[#All],[STAFF:]],$A43,Jul_Period_2_Tbl[[#All],['# HRS WORKED]])+  SUMIF(Aug_Period_2_Tbl[[#All],[STAFF:]],$A43,Aug_Period_2_Tbl[[#All],['# HRS WORKED]])+  SUMIF(Sep_Period_2_Tbl[[#All],[STAFF:]],$A43,Sep_Period_2_Tbl[[#All],['# HRS WORKED]])+  SUMIF(Oct_Period_2_Tbl[[#All],[STAFF:]],$A43,Oct_Period_2_Tbl[[#All],['# HRS WORKED]])+     SUMIF(Nov_Period_2_Tbl[[#All],[STAFF:]],$A43,Nov_Period_2_Tbl[[#All],['# HRS WORKED]])+  SUMIF(Dec_Period_2_Tbl[[#All],[STAFF:]],$A43,Dec_Period_2_Tbl[[#All],['# HRS WORKED]]))</f>
        <v>0</v>
      </c>
      <c r="G43" s="190">
        <f>(SUMIF(Jan_Period_1_Tbl[[#All],[STAFF:]],$A43,Jan_Period_1_Tbl[[#All],[$ Hourly WAGES]])+
SUMIF(Feb_Period_1_Tbl[[#All],[STAFF:]],$A43,Feb_Period_1_Tbl[[#All],[$ Hourly WAGES]])+SUMIF(Mar_Period_1_Tbl[[#All],[STAFF:]],$A43,Mar_Period_1_Tbl[[#All],[$ Hourly WAGES]])+SUMIF(Apr_Period_1_Tbl[[#All],[STAFF:]],$A43,Apr_Period_1_Tbl[[#All],[$ Hourly WAGES]])+   SUMIF(May_Period_1_Tbl[[#All],[STAFF:]],$A43,May_Period_1_Tbl[[#All],[$ Hourly WAGES]])+   SUMIF(Jun_Period_1_Tbl[[#All],[STAFF:]],$A43,Jun_Period_1_Tbl[[#All],[$ Hourly WAGES]])+  SUMIF(Jul_Period_1_Tbl[[#All],[STAFF:]],$A43,Jul_Period_1_Tbl[[#All],[$ Hourly WAGES]])+  SUMIF(Aug_Period_1_Tbl[[#All],[STAFF:]],$A43,Aug_Period_1_Tbl[[#All],[$ Hourly WAGES]])+  SUMIF(Sep_Period_1_Tbl[[#All],[STAFF:]],$A43,Sep_Period_1_Tbl[[#All],[$ Hourly WAGES]])+  SUMIF(Oct_Period_1_Tbl[[#All],[STAFF:]],$A43,Oct_Period_1_Tbl[[#All],[$ Hourly WAGES]])+     SUMIF(Nov_Period_1_Tbl[[#All],[STAFF:]],$A43,Nov_Period_1_Tbl[[#All],[$ Hourly WAGES]])+  SUMIF(Dec_Period_1_Tbl[[#All],[STAFF:]],$A43,Dec_Period_1_Tbl[[#All],[$ Hourly WAGES]]))+   (SUMIF(Jan_Period_2_Tbl[[#All],[STAFF:]],$A43,Jan_Period_2_Tbl[[#All],[$ Hourly WAGES]])+
SUMIF(Feb_Period_2_Tbl[[#All],[STAFF:]],$A43,Feb_Period_2_Tbl[[#All],[$ Hourly WAGES]])+SUMIF(Mar_Period_2_Tbl[[#All],[STAFF:]],$A43,Mar_Period_2_Tbl[[#All],[$ Hourly WAGES]])+SUMIF(Apr_Period_2_Tbl[[#All],[STAFF:]],$A43,Apr_Period_2_Tbl[[#All],[$ Hourly WAGES]])+   SUMIF(May_Period_2_Tbl[[#All],[STAFF:]],$A43,May_Period_2_Tbl[[#All],[$ Hourly WAGES]])+   SUMIF(Jun_Period_2_Tbl[[#All],[STAFF:]],$A43,Jun_Period_2_Tbl[[#All],[$ Hourly WAGES]])+  SUMIF(Jul_Period_2_Tbl[[#All],[STAFF:]],$A43,Jul_Period_2_Tbl[[#All],[$ Hourly WAGES]])+  SUMIF(Aug_Period_2_Tbl[[#All],[STAFF:]],$A43,Aug_Period_2_Tbl[[#All],[$ Hourly WAGES]])+  SUMIF(Sep_Period_2_Tbl[[#All],[STAFF:]],$A43,Sep_Period_2_Tbl[[#All],[$ Hourly WAGES]])+  SUMIF(Oct_Period_2_Tbl[[#All],[STAFF:]],$A43,Oct_Period_2_Tbl[[#All],[$ Hourly WAGES]])+     SUMIF(Nov_Period_2_Tbl[[#All],[STAFF:]],$A43,Nov_Period_2_Tbl[[#All],[$ Hourly WAGES]])+  SUMIF(Dec_Period_2_Tbl[[#All],[STAFF:]],$A43,Dec_Period_2_Tbl[[#All],[$ Hourly WAGES]]))</f>
        <v>0</v>
      </c>
      <c r="H43" s="190">
        <f>(SUMIF(Jan_Period_1_Tbl[[#All],[STAFF:]],$A43,Jan_Period_1_Tbl[[#All],[$ SALARY]])+
SUMIF(Feb_Period_1_Tbl[[#All],[STAFF:]],$A43,Feb_Period_1_Tbl[[#All],[$ SALARY]])+SUMIF(Mar_Period_1_Tbl[[#All],[STAFF:]],$A43,Mar_Period_1_Tbl[[#All],[$ SALARY]])+SUMIF(Apr_Period_1_Tbl[[#All],[STAFF:]],$A43,Apr_Period_1_Tbl[[#All],[$ SALARY]])+   SUMIF(May_Period_1_Tbl[[#All],[STAFF:]],$A43,May_Period_1_Tbl[[#All],[$ SALARY]])+   SUMIF(Jun_Period_1_Tbl[[#All],[STAFF:]],$A43,Jun_Period_1_Tbl[[#All],[$ SALARY]])+  SUMIF(Jul_Period_1_Tbl[[#All],[STAFF:]],$A43,Jul_Period_1_Tbl[[#All],[$ SALARY]])+  SUMIF(Aug_Period_1_Tbl[[#All],[STAFF:]],$A43,Aug_Period_1_Tbl[[#All],[$ SALARY]])+  SUMIF(Sep_Period_1_Tbl[[#All],[STAFF:]],$A43,Sep_Period_1_Tbl[[#All],[$ SALARY]])+  SUMIF(Oct_Period_1_Tbl[[#All],[STAFF:]],$A43,Oct_Period_1_Tbl[[#All],[$ SALARY]])+     SUMIF(Nov_Period_1_Tbl[[#All],[STAFF:]],$A43,Nov_Period_1_Tbl[[#All],[$ SALARY]])+  SUMIF(Dec_Period_1_Tbl[[#All],[STAFF:]],$A43,Dec_Period_1_Tbl[[#All],[$ SALARY]]))+   (SUMIF(Jan_Period_2_Tbl[[#All],[STAFF:]],$A43,Jan_Period_2_Tbl[[#All],[$ SALARY]])+
SUMIF(Feb_Period_2_Tbl[[#All],[STAFF:]],$A43,Feb_Period_2_Tbl[[#All],[$ SALARY]])+SUMIF(Mar_Period_2_Tbl[[#All],[STAFF:]],$A43,Mar_Period_2_Tbl[[#All],[$ SALARY]])+SUMIF(Apr_Period_2_Tbl[[#All],[STAFF:]],$A43,Apr_Period_2_Tbl[[#All],[$ SALARY]])+   SUMIF(May_Period_2_Tbl[[#All],[STAFF:]],$A43,May_Period_2_Tbl[[#All],[$ SALARY]])+   SUMIF(Jun_Period_2_Tbl[[#All],[STAFF:]],$A43,Jun_Period_2_Tbl[[#All],[$ SALARY]])+  SUMIF(Jul_Period_2_Tbl[[#All],[STAFF:]],$A43,Jul_Period_2_Tbl[[#All],[$ SALARY]])+  SUMIF(Aug_Period_2_Tbl[[#All],[STAFF:]],$A43,Aug_Period_2_Tbl[[#All],[$ SALARY]])+  SUMIF(Sep_Period_2_Tbl[[#All],[STAFF:]],$A43,Sep_Period_2_Tbl[[#All],[$ SALARY]])+  SUMIF(Oct_Period_2_Tbl[[#All],[STAFF:]],$A43,Oct_Period_2_Tbl[[#All],[$ SALARY]])+     SUMIF(Nov_Period_2_Tbl[[#All],[STAFF:]],$A43,Nov_Period_2_Tbl[[#All],[$ SALARY]])+  SUMIF(Dec_Period_2_Tbl[[#All],[STAFF:]],$A43,Dec_Period_2_Tbl[[#All],[$ SALARY]]))</f>
        <v>0</v>
      </c>
      <c r="I43" s="190">
        <f>(SUMIF(Jan_Period_1_Tbl[[#All],[STAFF:]],$A43,Jan_Period_1_Tbl[[#All],[$ SALARY PT]])+
SUMIF(Feb_Period_1_Tbl[[#All],[STAFF:]],$A43,Feb_Period_1_Tbl[[#All],[$ SALARY PT]])+SUMIF(Mar_Period_1_Tbl[[#All],[STAFF:]],$A43,Mar_Period_1_Tbl[[#All],[$ SALARY PT]])+SUMIF(Apr_Period_1_Tbl[[#All],[STAFF:]],$A43,Apr_Period_1_Tbl[[#All],[$ SALARY PT]])+   SUMIF(May_Period_1_Tbl[[#All],[STAFF:]],$A43,May_Period_1_Tbl[[#All],[$ SALARY PT]])+   SUMIF(Jun_Period_1_Tbl[[#All],[STAFF:]],$A43,Jun_Period_1_Tbl[[#All],[$ SALARY PT]])+  SUMIF(Jul_Period_1_Tbl[[#All],[STAFF:]],$A43,Jul_Period_1_Tbl[[#All],[$ SALARY PT]])+  SUMIF(Aug_Period_1_Tbl[[#All],[STAFF:]],$A43,Aug_Period_1_Tbl[[#All],[$ SALARY PT]])+  SUMIF(Sep_Period_1_Tbl[[#All],[STAFF:]],$A43,Sep_Period_1_Tbl[[#All],[$ SALARY PT]])+  SUMIF(Oct_Period_1_Tbl[[#All],[STAFF:]],$A43,Oct_Period_1_Tbl[[#All],[$ SALARY PT]])+     SUMIF(Nov_Period_1_Tbl[[#All],[STAFF:]],$A43,Nov_Period_1_Tbl[[#All],[$ SALARY PT]])+  SUMIF(Dec_Period_1_Tbl[[#All],[STAFF:]],$A43,Dec_Period_1_Tbl[[#All],[$ SALARY PT]]))+   (SUMIF(Jan_Period_2_Tbl[[#All],[STAFF:]],$A43,Jan_Period_2_Tbl[[#All],[$ SALARY PT]])+
SUMIF(Feb_Period_2_Tbl[[#All],[STAFF:]],$A43,Feb_Period_2_Tbl[[#All],[$ SALARY PT]])+SUMIF(Mar_Period_2_Tbl[[#All],[STAFF:]],$A43,Mar_Period_2_Tbl[[#All],[$ SALARY PT]])+SUMIF(Apr_Period_2_Tbl[[#All],[STAFF:]],$A43,Apr_Period_2_Tbl[[#All],[$ SALARY PT]])+   SUMIF(May_Period_2_Tbl[[#All],[STAFF:]],$A43,May_Period_2_Tbl[[#All],[$ SALARY PT]])+   SUMIF(Jun_Period_2_Tbl[[#All],[STAFF:]],$A43,Jun_Period_2_Tbl[[#All],[$ SALARY PT]])+  SUMIF(Jul_Period_2_Tbl[[#All],[STAFF:]],$A43,Jul_Period_2_Tbl[[#All],[$ SALARY PT]])+  SUMIF(Aug_Period_2_Tbl[[#All],[STAFF:]],$A43,Aug_Period_2_Tbl[[#All],[$ SALARY PT]])+  SUMIF(Sep_Period_2_Tbl[[#All],[STAFF:]],$A43,Sep_Period_2_Tbl[[#All],[$ SALARY PT]])+  SUMIF(Oct_Period_2_Tbl[[#All],[STAFF:]],$A43,Oct_Period_2_Tbl[[#All],[$ SALARY PT]])+     SUMIF(Nov_Period_2_Tbl[[#All],[STAFF:]],$A43,Nov_Period_2_Tbl[[#All],[$ SALARY PT]])+  SUMIF(Dec_Period_2_Tbl[[#All],[STAFF:]],$A43,Dec_Period_2_Tbl[[#All],[$ SALARY PT]]))</f>
        <v>0</v>
      </c>
      <c r="J43" s="190">
        <f>(SUMIF(Jan_Period_1_Tbl[[#All],[STAFF:]],$A43,Jan_Period_1_Tbl[[#All],[$ FREE PT]])+
SUMIF(Feb_Period_1_Tbl[[#All],[STAFF:]],$A43,Feb_Period_1_Tbl[[#All],[$ FREE PT]])+SUMIF(Mar_Period_1_Tbl[[#All],[STAFF:]],$A43,Mar_Period_1_Tbl[[#All],[$ FREE PT]])+SUMIF(Apr_Period_1_Tbl[[#All],[STAFF:]],$A43,Apr_Period_1_Tbl[[#All],[$ FREE PT]])+   SUMIF(May_Period_1_Tbl[[#All],[STAFF:]],$A43,May_Period_1_Tbl[[#All],[$ FREE PT]])+   SUMIF(Jun_Period_1_Tbl[[#All],[STAFF:]],$A43,Jun_Period_1_Tbl[[#All],[$ FREE PT]])+  SUMIF(Jul_Period_1_Tbl[[#All],[STAFF:]],$A43,Jul_Period_1_Tbl[[#All],[$ FREE PT]])+  SUMIF(Aug_Period_1_Tbl[[#All],[STAFF:]],$A43,Aug_Period_1_Tbl[[#All],[$ FREE PT]])+  SUMIF(Sep_Period_1_Tbl[[#All],[STAFF:]],$A43,Sep_Period_1_Tbl[[#All],[$ FREE PT]])+  SUMIF(Oct_Period_1_Tbl[[#All],[STAFF:]],$A43,Oct_Period_1_Tbl[[#All],[$ FREE PT]])+     SUMIF(Nov_Period_1_Tbl[[#All],[STAFF:]],$A43,Nov_Period_1_Tbl[[#All],[$ FREE PT]])+  SUMIF(Dec_Period_1_Tbl[[#All],[STAFF:]],$A43,Dec_Period_1_Tbl[[#All],[$ FREE PT]]))+   (SUMIF(Jan_Period_2_Tbl[[#All],[STAFF:]],$A43,Jan_Period_2_Tbl[[#All],[$ FREE PT]])+
SUMIF(Feb_Period_2_Tbl[[#All],[STAFF:]],$A43,Feb_Period_2_Tbl[[#All],[$ FREE PT]])+SUMIF(Mar_Period_2_Tbl[[#All],[STAFF:]],$A43,Mar_Period_2_Tbl[[#All],[$ FREE PT]])+SUMIF(Apr_Period_2_Tbl[[#All],[STAFF:]],$A43,Apr_Period_2_Tbl[[#All],[$ FREE PT]])+   SUMIF(May_Period_2_Tbl[[#All],[STAFF:]],$A43,May_Period_2_Tbl[[#All],[$ FREE PT]])+   SUMIF(Jun_Period_2_Tbl[[#All],[STAFF:]],$A43,Jun_Period_2_Tbl[[#All],[$ FREE PT]])+  SUMIF(Jul_Period_2_Tbl[[#All],[STAFF:]],$A43,Jul_Period_2_Tbl[[#All],[$ FREE PT]])+  SUMIF(Aug_Period_2_Tbl[[#All],[STAFF:]],$A43,Aug_Period_2_Tbl[[#All],[$ FREE PT]])+  SUMIF(Sep_Period_2_Tbl[[#All],[STAFF:]],$A43,Sep_Period_2_Tbl[[#All],[$ FREE PT]])+  SUMIF(Oct_Period_2_Tbl[[#All],[STAFF:]],$A43,Oct_Period_2_Tbl[[#All],[$ FREE PT]])+     SUMIF(Nov_Period_2_Tbl[[#All],[STAFF:]],$A43,Nov_Period_2_Tbl[[#All],[$ FREE PT]])+  SUMIF(Dec_Period_2_Tbl[[#All],[STAFF:]],$A43,Dec_Period_2_Tbl[[#All],[$ FREE PT]]))</f>
        <v>0</v>
      </c>
      <c r="K43" s="190">
        <f>(SUMIF(Jan_Period_1_Tbl[[#All],[STAFF:]],$A43,Jan_Period_1_Tbl[[#All],[$ PAID PT]])+
SUMIF(Feb_Period_1_Tbl[[#All],[STAFF:]],$A43,Feb_Period_1_Tbl[[#All],[$ PAID PT]])+SUMIF(Mar_Period_1_Tbl[[#All],[STAFF:]],$A43,Mar_Period_1_Tbl[[#All],[$ PAID PT]])+SUMIF(Apr_Period_1_Tbl[[#All],[STAFF:]],$A43,Apr_Period_1_Tbl[[#All],[$ PAID PT]])+   SUMIF(May_Period_1_Tbl[[#All],[STAFF:]],$A43,May_Period_1_Tbl[[#All],[$ PAID PT]])+   SUMIF(Jun_Period_1_Tbl[[#All],[STAFF:]],$A43,Jun_Period_1_Tbl[[#All],[$ PAID PT]])+  SUMIF(Jul_Period_1_Tbl[[#All],[STAFF:]],$A43,Jul_Period_1_Tbl[[#All],[$ PAID PT]])+  SUMIF(Aug_Period_1_Tbl[[#All],[STAFF:]],$A43,Aug_Period_1_Tbl[[#All],[$ PAID PT]])+  SUMIF(Sep_Period_1_Tbl[[#All],[STAFF:]],$A43,Sep_Period_1_Tbl[[#All],[$ PAID PT]])+  SUMIF(Oct_Period_1_Tbl[[#All],[STAFF:]],$A43,Oct_Period_1_Tbl[[#All],[$ PAID PT]])+     SUMIF(Nov_Period_1_Tbl[[#All],[STAFF:]],$A43,Nov_Period_1_Tbl[[#All],[$ PAID PT]])+  SUMIF(Dec_Period_1_Tbl[[#All],[STAFF:]],$A43,Dec_Period_1_Tbl[[#All],[$ PAID PT]]))+   (SUMIF(Jan_Period_2_Tbl[[#All],[STAFF:]],$A43,Jan_Period_2_Tbl[[#All],[$ PAID PT]])+
SUMIF(Feb_Period_2_Tbl[[#All],[STAFF:]],$A43,Feb_Period_2_Tbl[[#All],[$ PAID PT]])+SUMIF(Mar_Period_2_Tbl[[#All],[STAFF:]],$A43,Mar_Period_2_Tbl[[#All],[$ PAID PT]])+SUMIF(Apr_Period_2_Tbl[[#All],[STAFF:]],$A43,Apr_Period_2_Tbl[[#All],[$ PAID PT]])+   SUMIF(May_Period_2_Tbl[[#All],[STAFF:]],$A43,May_Period_2_Tbl[[#All],[$ PAID PT]])+   SUMIF(Jun_Period_2_Tbl[[#All],[STAFF:]],$A43,Jun_Period_2_Tbl[[#All],[$ PAID PT]])+  SUMIF(Jul_Period_2_Tbl[[#All],[STAFF:]],$A43,Jul_Period_2_Tbl[[#All],[$ PAID PT]])+  SUMIF(Aug_Period_2_Tbl[[#All],[STAFF:]],$A43,Aug_Period_2_Tbl[[#All],[$ PAID PT]])+  SUMIF(Sep_Period_2_Tbl[[#All],[STAFF:]],$A43,Sep_Period_2_Tbl[[#All],[$ PAID PT]])+  SUMIF(Oct_Period_2_Tbl[[#All],[STAFF:]],$A43,Oct_Period_2_Tbl[[#All],[$ PAID PT]])+     SUMIF(Nov_Period_2_Tbl[[#All],[STAFF:]],$A43,Nov_Period_2_Tbl[[#All],[$ PAID PT]])+  SUMIF(Dec_Period_2_Tbl[[#All],[STAFF:]],$A43,Dec_Period_2_Tbl[[#All],[$ PAID PT]]))</f>
        <v>0</v>
      </c>
      <c r="L43" s="190">
        <f>(SUMIF(Jan_Period_1_Tbl[[#All],[STAFF:]],$A43,Jan_Period_1_Tbl[[#All],[$ PT COMM]])+
SUMIF(Feb_Period_1_Tbl[[#All],[STAFF:]],$A43,Feb_Period_1_Tbl[[#All],[$ PT COMM]])+SUMIF(Mar_Period_1_Tbl[[#All],[STAFF:]],$A43,Mar_Period_1_Tbl[[#All],[$ PT COMM]])+SUMIF(Apr_Period_1_Tbl[[#All],[STAFF:]],$A43,Apr_Period_1_Tbl[[#All],[$ PT COMM]])+   SUMIF(May_Period_1_Tbl[[#All],[STAFF:]],$A43,May_Period_1_Tbl[[#All],[$ PT COMM]])+   SUMIF(Jun_Period_1_Tbl[[#All],[STAFF:]],$A43,Jun_Period_1_Tbl[[#All],[$ PT COMM]])+  SUMIF(Jul_Period_1_Tbl[[#All],[STAFF:]],$A43,Jul_Period_1_Tbl[[#All],[$ PT COMM]])+  SUMIF(Aug_Period_1_Tbl[[#All],[STAFF:]],$A43,Aug_Period_1_Tbl[[#All],[$ PT COMM]])+  SUMIF(Sep_Period_1_Tbl[[#All],[STAFF:]],$A43,Sep_Period_1_Tbl[[#All],[$ PT COMM]])+  SUMIF(Oct_Period_1_Tbl[[#All],[STAFF:]],$A43,Oct_Period_1_Tbl[[#All],[$ PT COMM]])+     SUMIF(Nov_Period_1_Tbl[[#All],[STAFF:]],$A43,Nov_Period_1_Tbl[[#All],[$ PT COMM]])+  SUMIF(Dec_Period_1_Tbl[[#All],[STAFF:]],$A43,Dec_Period_1_Tbl[[#All],[$ PT COMM]]))+   (SUMIF(Jan_Period_2_Tbl[[#All],[STAFF:]],$A43,Jan_Period_2_Tbl[[#All],[$ PT COMM]])+
SUMIF(Feb_Period_2_Tbl[[#All],[STAFF:]],$A43,Feb_Period_2_Tbl[[#All],[$ PT COMM]])+SUMIF(Mar_Period_2_Tbl[[#All],[STAFF:]],$A43,Mar_Period_2_Tbl[[#All],[$ PT COMM]])+SUMIF(Apr_Period_2_Tbl[[#All],[STAFF:]],$A43,Apr_Period_2_Tbl[[#All],[$ PT COMM]])+   SUMIF(May_Period_2_Tbl[[#All],[STAFF:]],$A43,May_Period_2_Tbl[[#All],[$ PT COMM]])+   SUMIF(Jun_Period_2_Tbl[[#All],[STAFF:]],$A43,Jun_Period_2_Tbl[[#All],[$ PT COMM]])+  SUMIF(Jul_Period_2_Tbl[[#All],[STAFF:]],$A43,Jul_Period_2_Tbl[[#All],[$ PT COMM]])+  SUMIF(Aug_Period_2_Tbl[[#All],[STAFF:]],$A43,Aug_Period_2_Tbl[[#All],[$ PT COMM]])+  SUMIF(Sep_Period_2_Tbl[[#All],[STAFF:]],$A43,Sep_Period_2_Tbl[[#All],[$ PT COMM]])+  SUMIF(Oct_Period_2_Tbl[[#All],[STAFF:]],$A43,Oct_Period_2_Tbl[[#All],[$ PT COMM]])+     SUMIF(Nov_Period_2_Tbl[[#All],[STAFF:]],$A43,Nov_Period_2_Tbl[[#All],[$ PT COMM]])+  SUMIF(Dec_Period_2_Tbl[[#All],[STAFF:]],$A43,Dec_Period_2_Tbl[[#All],[$ PT COMM]]))</f>
        <v>0</v>
      </c>
      <c r="M43" s="190">
        <f>(SUMIF(Jan_Period_1_Tbl[[#All],[STAFF:]],$A43,Jan_Period_1_Tbl[[#All],[$ EFT COMM]])+
SUMIF(Feb_Period_1_Tbl[[#All],[STAFF:]],$A43,Feb_Period_1_Tbl[[#All],[$ EFT COMM]])+SUMIF(Mar_Period_1_Tbl[[#All],[STAFF:]],$A43,Mar_Period_1_Tbl[[#All],[$ EFT COMM]])+SUMIF(Apr_Period_1_Tbl[[#All],[STAFF:]],$A43,Apr_Period_1_Tbl[[#All],[$ EFT COMM]])+   SUMIF(May_Period_1_Tbl[[#All],[STAFF:]],$A43,May_Period_1_Tbl[[#All],[$ EFT COMM]])+   SUMIF(Jun_Period_1_Tbl[[#All],[STAFF:]],$A43,Jun_Period_1_Tbl[[#All],[$ EFT COMM]])+  SUMIF(Jul_Period_1_Tbl[[#All],[STAFF:]],$A43,Jul_Period_1_Tbl[[#All],[$ EFT COMM]])+  SUMIF(Aug_Period_1_Tbl[[#All],[STAFF:]],$A43,Aug_Period_1_Tbl[[#All],[$ EFT COMM]])+  SUMIF(Sep_Period_1_Tbl[[#All],[STAFF:]],$A43,Sep_Period_1_Tbl[[#All],[$ EFT COMM]])+  SUMIF(Oct_Period_1_Tbl[[#All],[STAFF:]],$A43,Oct_Period_1_Tbl[[#All],[$ EFT COMM]])+     SUMIF(Nov_Period_1_Tbl[[#All],[STAFF:]],$A43,Nov_Period_1_Tbl[[#All],[$ EFT COMM]])+  SUMIF(Dec_Period_1_Tbl[[#All],[STAFF:]],$A43,Dec_Period_1_Tbl[[#All],[$ EFT COMM]]))+   (SUMIF(Jan_Period_2_Tbl[[#All],[STAFF:]],$A43,Jan_Period_2_Tbl[[#All],[$ EFT COMM]])+
SUMIF(Feb_Period_2_Tbl[[#All],[STAFF:]],$A43,Feb_Period_2_Tbl[[#All],[$ EFT COMM]])+SUMIF(Mar_Period_2_Tbl[[#All],[STAFF:]],$A43,Mar_Period_2_Tbl[[#All],[$ EFT COMM]])+SUMIF(Apr_Period_2_Tbl[[#All],[STAFF:]],$A43,Apr_Period_2_Tbl[[#All],[$ EFT COMM]])+   SUMIF(May_Period_2_Tbl[[#All],[STAFF:]],$A43,May_Period_2_Tbl[[#All],[$ EFT COMM]])+   SUMIF(Jun_Period_2_Tbl[[#All],[STAFF:]],$A43,Jun_Period_2_Tbl[[#All],[$ EFT COMM]])+  SUMIF(Jul_Period_2_Tbl[[#All],[STAFF:]],$A43,Jul_Period_2_Tbl[[#All],[$ EFT COMM]])+  SUMIF(Aug_Period_2_Tbl[[#All],[STAFF:]],$A43,Aug_Period_2_Tbl[[#All],[$ EFT COMM]])+  SUMIF(Sep_Period_2_Tbl[[#All],[STAFF:]],$A43,Sep_Period_2_Tbl[[#All],[$ EFT COMM]])+  SUMIF(Oct_Period_2_Tbl[[#All],[STAFF:]],$A43,Oct_Period_2_Tbl[[#All],[$ EFT COMM]])+     SUMIF(Nov_Period_2_Tbl[[#All],[STAFF:]],$A43,Nov_Period_2_Tbl[[#All],[$ EFT COMM]])+  SUMIF(Dec_Period_2_Tbl[[#All],[STAFF:]],$A43,Dec_Period_2_Tbl[[#All],[$ EFT COMM]]))</f>
        <v>0</v>
      </c>
      <c r="N43" s="190">
        <f>(SUMIF(Jan_Period_1_Tbl[[#All],[STAFF:]],$A43,Jan_Period_1_Tbl[[#All],[$ CLASS PAY]])+
SUMIF(Feb_Period_1_Tbl[[#All],[STAFF:]],$A43,Feb_Period_1_Tbl[[#All],[$ CLASS PAY]])+SUMIF(Mar_Period_1_Tbl[[#All],[STAFF:]],$A43,Mar_Period_1_Tbl[[#All],[$ CLASS PAY]])+SUMIF(Apr_Period_1_Tbl[[#All],[STAFF:]],$A43,Apr_Period_1_Tbl[[#All],[$ CLASS PAY]])+   SUMIF(May_Period_1_Tbl[[#All],[STAFF:]],$A43,May_Period_1_Tbl[[#All],[$ CLASS PAY]])+   SUMIF(Jun_Period_1_Tbl[[#All],[STAFF:]],$A43,Jun_Period_1_Tbl[[#All],[$ CLASS PAY]])+  SUMIF(Jul_Period_1_Tbl[[#All],[STAFF:]],$A43,Jul_Period_1_Tbl[[#All],[$ CLASS PAY]])+  SUMIF(Aug_Period_1_Tbl[[#All],[STAFF:]],$A43,Aug_Period_1_Tbl[[#All],[$ CLASS PAY]])+  SUMIF(Sep_Period_1_Tbl[[#All],[STAFF:]],$A43,Sep_Period_1_Tbl[[#All],[$ CLASS PAY]])+  SUMIF(Oct_Period_1_Tbl[[#All],[STAFF:]],$A43,Oct_Period_1_Tbl[[#All],[$ CLASS PAY]])+     SUMIF(Nov_Period_1_Tbl[[#All],[STAFF:]],$A43,Nov_Period_1_Tbl[[#All],[$ CLASS PAY]])+  SUMIF(Dec_Period_1_Tbl[[#All],[STAFF:]],$A43,Dec_Period_1_Tbl[[#All],[$ CLASS PAY]]))+   (SUMIF(Jan_Period_2_Tbl[[#All],[STAFF:]],$A43,Jan_Period_2_Tbl[[#All],[$ CLASS PAY]])+
SUMIF(Feb_Period_2_Tbl[[#All],[STAFF:]],$A43,Feb_Period_2_Tbl[[#All],[$ CLASS PAY]])+SUMIF(Mar_Period_2_Tbl[[#All],[STAFF:]],$A43,Mar_Period_2_Tbl[[#All],[$ CLASS PAY]])+SUMIF(Apr_Period_2_Tbl[[#All],[STAFF:]],$A43,Apr_Period_2_Tbl[[#All],[$ CLASS PAY]])+   SUMIF(May_Period_2_Tbl[[#All],[STAFF:]],$A43,May_Period_2_Tbl[[#All],[$ CLASS PAY]])+   SUMIF(Jun_Period_2_Tbl[[#All],[STAFF:]],$A43,Jun_Period_2_Tbl[[#All],[$ CLASS PAY]])+  SUMIF(Jul_Period_2_Tbl[[#All],[STAFF:]],$A43,Jul_Period_2_Tbl[[#All],[$ CLASS PAY]])+  SUMIF(Aug_Period_2_Tbl[[#All],[STAFF:]],$A43,Aug_Period_2_Tbl[[#All],[$ CLASS PAY]])+  SUMIF(Sep_Period_2_Tbl[[#All],[STAFF:]],$A43,Sep_Period_2_Tbl[[#All],[$ CLASS PAY]])+  SUMIF(Oct_Period_2_Tbl[[#All],[STAFF:]],$A43,Oct_Period_2_Tbl[[#All],[$ CLASS PAY]])+     SUMIF(Nov_Period_2_Tbl[[#All],[STAFF:]],$A43,Nov_Period_2_Tbl[[#All],[$ CLASS PAY]])+  SUMIF(Dec_Period_2_Tbl[[#All],[STAFF:]],$A43,Dec_Period_2_Tbl[[#All],[$ CLASS PAY]]))</f>
        <v>0</v>
      </c>
      <c r="O43" s="191">
        <f>(SUMIF(Jan_Period_1_Tbl[[#All],[STAFF:]],$A43,Jan_Period_1_Tbl[[#All],[$ BONUS PAY]])+
SUMIF(Feb_Period_1_Tbl[[#All],[STAFF:]],$A43,Feb_Period_1_Tbl[[#All],[$ BONUS PAY]])+SUMIF(Mar_Period_1_Tbl[[#All],[STAFF:]],$A43,Mar_Period_1_Tbl[[#All],[$ BONUS PAY]])+SUMIF(Apr_Period_1_Tbl[[#All],[STAFF:]],$A43,Apr_Period_1_Tbl[[#All],[$ BONUS PAY]])+   SUMIF(May_Period_1_Tbl[[#All],[STAFF:]],$A43,May_Period_1_Tbl[[#All],[$ BONUS PAY]])+   SUMIF(Jun_Period_1_Tbl[[#All],[STAFF:]],$A43,Jun_Period_1_Tbl[[#All],[$ BONUS PAY]])+  SUMIF(Jul_Period_1_Tbl[[#All],[STAFF:]],$A43,Jul_Period_1_Tbl[[#All],[$ BONUS PAY]])+  SUMIF(Aug_Period_1_Tbl[[#All],[STAFF:]],$A43,Aug_Period_1_Tbl[[#All],[$ BONUS PAY]])+  SUMIF(Sep_Period_1_Tbl[[#All],[STAFF:]],$A43,Sep_Period_1_Tbl[[#All],[$ BONUS PAY]])+  SUMIF(Oct_Period_1_Tbl[[#All],[STAFF:]],$A43,Oct_Period_1_Tbl[[#All],[$ BONUS PAY]])+     SUMIF(Nov_Period_1_Tbl[[#All],[STAFF:]],$A43,Nov_Period_1_Tbl[[#All],[$ BONUS PAY]])+  SUMIF(Dec_Period_1_Tbl[[#All],[STAFF:]],$A43,Dec_Period_1_Tbl[[#All],[$ BONUS PAY]]))+   (SUMIF(Jan_Period_2_Tbl[[#All],[STAFF:]],$A43,Jan_Period_2_Tbl[[#All],[$ BONUS PAY]])+
SUMIF(Feb_Period_2_Tbl[[#All],[STAFF:]],$A43,Feb_Period_2_Tbl[[#All],[$ BONUS PAY]])+SUMIF(Mar_Period_2_Tbl[[#All],[STAFF:]],$A43,Mar_Period_2_Tbl[[#All],[$ BONUS PAY]])+SUMIF(Apr_Period_2_Tbl[[#All],[STAFF:]],$A43,Apr_Period_2_Tbl[[#All],[$ BONUS PAY]])+   SUMIF(May_Period_2_Tbl[[#All],[STAFF:]],$A43,May_Period_2_Tbl[[#All],[$ BONUS PAY]])+   SUMIF(Jun_Period_2_Tbl[[#All],[STAFF:]],$A43,Jun_Period_2_Tbl[[#All],[$ BONUS PAY]])+  SUMIF(Jul_Period_2_Tbl[[#All],[STAFF:]],$A43,Jul_Period_2_Tbl[[#All],[$ BONUS PAY]])+  SUMIF(Aug_Period_2_Tbl[[#All],[STAFF:]],$A43,Aug_Period_2_Tbl[[#All],[$ BONUS PAY]])+  SUMIF(Sep_Period_2_Tbl[[#All],[STAFF:]],$A43,Sep_Period_2_Tbl[[#All],[$ BONUS PAY]])+  SUMIF(Oct_Period_2_Tbl[[#All],[STAFF:]],$A43,Oct_Period_2_Tbl[[#All],[$ BONUS PAY]])+     SUMIF(Nov_Period_2_Tbl[[#All],[STAFF:]],$A43,Nov_Period_2_Tbl[[#All],[$ BONUS PAY]])+  SUMIF(Dec_Period_2_Tbl[[#All],[STAFF:]],$A43,Dec_Period_2_Tbl[[#All],[$ BONUS PAY]]))</f>
        <v>0</v>
      </c>
      <c r="P43" s="179">
        <f t="shared" si="9"/>
        <v>0</v>
      </c>
      <c r="Q43" s="149"/>
      <c r="R43" s="153">
        <f>(SUMIF(Jan_Period_1_Tbl[[#All],[STAFF:]],$A43,Jan_Period_1_Tbl[[#All],['# POINTS EARNED]])+
SUMIF(Feb_Period_1_Tbl[[#All],[STAFF:]],$A43,Feb_Period_1_Tbl[[#All],['# POINTS EARNED]])+SUMIF(Mar_Period_1_Tbl[[#All],[STAFF:]],$A43,Mar_Period_1_Tbl[[#All],['# POINTS EARNED]])+SUMIF(Apr_Period_1_Tbl[[#All],[STAFF:]],$A43,Apr_Period_1_Tbl[[#All],['# POINTS EARNED]])+   SUMIF(May_Period_1_Tbl[[#All],[STAFF:]],$A43,May_Period_1_Tbl[[#All],['# POINTS EARNED]])+   SUMIF(Jun_Period_1_Tbl[[#All],[STAFF:]],$A43,Jun_Period_1_Tbl[[#All],['# POINTS EARNED]])+  SUMIF(Jul_Period_1_Tbl[[#All],[STAFF:]],$A43,Jul_Period_1_Tbl[[#All],['# POINTS EARNED]])+  SUMIF(Aug_Period_1_Tbl[[#All],[STAFF:]],$A43,Aug_Period_1_Tbl[[#All],['# POINTS EARNED]])+  SUMIF(Sep_Period_1_Tbl[[#All],[STAFF:]],$A43,Sep_Period_1_Tbl[[#All],['# POINTS EARNED]])+  SUMIF(Oct_Period_1_Tbl[[#All],[STAFF:]],$A43,Oct_Period_1_Tbl[[#All],['# POINTS EARNED]])+     SUMIF(Nov_Period_1_Tbl[[#All],[STAFF:]],$A43,Nov_Period_1_Tbl[[#All],['# POINTS EARNED]])+  SUMIF(Dec_Period_1_Tbl[[#All],[STAFF:]],$A43,Dec_Period_1_Tbl[[#All],['# POINTS EARNED]]))+   (SUMIF(Jan_Period_2_Tbl[[#All],[STAFF:]],$A43,Jan_Period_2_Tbl[[#All],['# POINTS EARNED]])+
SUMIF(Feb_Period_2_Tbl[[#All],[STAFF:]],$A43,Feb_Period_2_Tbl[[#All],['# POINTS EARNED]])+SUMIF(Mar_Period_2_Tbl[[#All],[STAFF:]],$A43,Mar_Period_2_Tbl[[#All],['# POINTS EARNED]])+SUMIF(Apr_Period_2_Tbl[[#All],[STAFF:]],$A43,Apr_Period_2_Tbl[[#All],['# POINTS EARNED]])+   SUMIF(May_Period_2_Tbl[[#All],[STAFF:]],$A43,May_Period_2_Tbl[[#All],['# POINTS EARNED]])+   SUMIF(Jun_Period_2_Tbl[[#All],[STAFF:]],$A43,Jun_Period_2_Tbl[[#All],['# POINTS EARNED]])+  SUMIF(Jul_Period_2_Tbl[[#All],[STAFF:]],$A43,Jul_Period_2_Tbl[[#All],['# POINTS EARNED]])+  SUMIF(Aug_Period_2_Tbl[[#All],[STAFF:]],$A43,Aug_Period_2_Tbl[[#All],['# POINTS EARNED]])+  SUMIF(Sep_Period_2_Tbl[[#All],[STAFF:]],$A43,Sep_Period_2_Tbl[[#All],['# POINTS EARNED]])+  SUMIF(Oct_Period_2_Tbl[[#All],[STAFF:]],$A43,Oct_Period_2_Tbl[[#All],['# POINTS EARNED]])+     SUMIF(Nov_Period_2_Tbl[[#All],[STAFF:]],$A43,Nov_Period_2_Tbl[[#All],['# POINTS EARNED]])+  SUMIF(Dec_Period_2_Tbl[[#All],[STAFF:]],$A43,Dec_Period_2_Tbl[[#All],['# POINTS EARNED]]))</f>
        <v>0</v>
      </c>
      <c r="S43" s="153">
        <f>(SUMIF(Jan_Period_1_Tbl[[#All],[STAFF:]],$A43,Jan_Period_1_Tbl[[#All],['# POINTS USED]])+
SUMIF(Feb_Period_1_Tbl[[#All],[STAFF:]],$A43,Feb_Period_1_Tbl[[#All],['# POINTS USED]])+SUMIF(Mar_Period_1_Tbl[[#All],[STAFF:]],$A43,Mar_Period_1_Tbl[[#All],['# POINTS USED]])+SUMIF(Apr_Period_1_Tbl[[#All],[STAFF:]],$A43,Apr_Period_1_Tbl[[#All],['# POINTS USED]])+   SUMIF(May_Period_1_Tbl[[#All],[STAFF:]],$A43,May_Period_1_Tbl[[#All],['# POINTS USED]])+   SUMIF(Jun_Period_1_Tbl[[#All],[STAFF:]],$A43,Jun_Period_1_Tbl[[#All],['# POINTS USED]])+  SUMIF(Jul_Period_1_Tbl[[#All],[STAFF:]],$A43,Jul_Period_1_Tbl[[#All],['# POINTS USED]])+  SUMIF(Aug_Period_1_Tbl[[#All],[STAFF:]],$A43,Aug_Period_1_Tbl[[#All],['# POINTS USED]])+  SUMIF(Sep_Period_1_Tbl[[#All],[STAFF:]],$A43,Sep_Period_1_Tbl[[#All],['# POINTS USED]])+  SUMIF(Oct_Period_1_Tbl[[#All],[STAFF:]],$A43,Oct_Period_1_Tbl[[#All],['# POINTS USED]])+     SUMIF(Nov_Period_1_Tbl[[#All],[STAFF:]],$A43,Nov_Period_1_Tbl[[#All],['# POINTS USED]])+  SUMIF(Dec_Period_1_Tbl[[#All],[STAFF:]],$A43,Dec_Period_1_Tbl[[#All],['# POINTS USED]]))+   (SUMIF(Jan_Period_2_Tbl[[#All],[STAFF:]],$A43,Jan_Period_2_Tbl[[#All],['# POINTS USED]])+
SUMIF(Feb_Period_2_Tbl[[#All],[STAFF:]],$A43,Feb_Period_2_Tbl[[#All],['# POINTS USED]])+SUMIF(Mar_Period_2_Tbl[[#All],[STAFF:]],$A43,Mar_Period_2_Tbl[[#All],['# POINTS USED]])+SUMIF(Apr_Period_2_Tbl[[#All],[STAFF:]],$A43,Apr_Period_2_Tbl[[#All],['# POINTS USED]])+   SUMIF(May_Period_2_Tbl[[#All],[STAFF:]],$A43,May_Period_2_Tbl[[#All],['# POINTS USED]])+   SUMIF(Jun_Period_2_Tbl[[#All],[STAFF:]],$A43,Jun_Period_2_Tbl[[#All],['# POINTS USED]])+  SUMIF(Jul_Period_2_Tbl[[#All],[STAFF:]],$A43,Jul_Period_2_Tbl[[#All],['# POINTS USED]])+  SUMIF(Aug_Period_2_Tbl[[#All],[STAFF:]],$A43,Aug_Period_2_Tbl[[#All],['# POINTS USED]])+  SUMIF(Sep_Period_2_Tbl[[#All],[STAFF:]],$A43,Sep_Period_2_Tbl[[#All],['# POINTS USED]])+  SUMIF(Oct_Period_2_Tbl[[#All],[STAFF:]],$A43,Oct_Period_2_Tbl[[#All],['# POINTS USED]])+     SUMIF(Nov_Period_2_Tbl[[#All],[STAFF:]],$A43,Nov_Period_2_Tbl[[#All],['# POINTS USED]])+  SUMIF(Dec_Period_2_Tbl[[#All],[STAFF:]],$A43,Dec_Period_2_Tbl[[#All],['# POINTS USED]]))</f>
        <v>0</v>
      </c>
      <c r="T43" s="153">
        <f>(SUMIF(Jan_Period_1_Tbl[[#All],[STAFF:]],$A43,Jan_Period_1_Tbl[[#All],['# CLASSES LEAD]])+
SUMIF(Feb_Period_1_Tbl[[#All],[STAFF:]],$A43,Feb_Period_1_Tbl[[#All],['# CLASSES LEAD]])+SUMIF(Mar_Period_1_Tbl[[#All],[STAFF:]],$A43,Mar_Period_1_Tbl[[#All],['# CLASSES LEAD]])+SUMIF(Apr_Period_1_Tbl[[#All],[STAFF:]],$A43,Apr_Period_1_Tbl[[#All],['# CLASSES LEAD]])+   SUMIF(May_Period_1_Tbl[[#All],[STAFF:]],$A43,May_Period_1_Tbl[[#All],['# CLASSES LEAD]])+   SUMIF(Jun_Period_1_Tbl[[#All],[STAFF:]],$A43,Jun_Period_1_Tbl[[#All],['# CLASSES LEAD]])+  SUMIF(Jul_Period_1_Tbl[[#All],[STAFF:]],$A43,Jul_Period_1_Tbl[[#All],['# CLASSES LEAD]])+  SUMIF(Aug_Period_1_Tbl[[#All],[STAFF:]],$A43,Aug_Period_1_Tbl[[#All],['# CLASSES LEAD]])+  SUMIF(Sep_Period_1_Tbl[[#All],[STAFF:]],$A43,Sep_Period_1_Tbl[[#All],['# CLASSES LEAD]])+  SUMIF(Oct_Period_1_Tbl[[#All],[STAFF:]],$A43,Oct_Period_1_Tbl[[#All],['# CLASSES LEAD]])+     SUMIF(Nov_Period_1_Tbl[[#All],[STAFF:]],$A43,Nov_Period_1_Tbl[[#All],['# CLASSES LEAD]])+  SUMIF(Dec_Period_1_Tbl[[#All],[STAFF:]],$A43,Dec_Period_1_Tbl[[#All],['# CLASSES LEAD]]))+   (SUMIF(Jan_Period_2_Tbl[[#All],[STAFF:]],$A43,Jan_Period_2_Tbl[[#All],['# CLASSES LEAD]])+
SUMIF(Feb_Period_2_Tbl[[#All],[STAFF:]],$A43,Feb_Period_2_Tbl[[#All],['# CLASSES LEAD]])+SUMIF(Mar_Period_2_Tbl[[#All],[STAFF:]],$A43,Mar_Period_2_Tbl[[#All],['# CLASSES LEAD]])+SUMIF(Apr_Period_2_Tbl[[#All],[STAFF:]],$A43,Apr_Period_2_Tbl[[#All],['# CLASSES LEAD]])+   SUMIF(May_Period_2_Tbl[[#All],[STAFF:]],$A43,May_Period_2_Tbl[[#All],['# CLASSES LEAD]])+   SUMIF(Jun_Period_2_Tbl[[#All],[STAFF:]],$A43,Jun_Period_2_Tbl[[#All],['# CLASSES LEAD]])+  SUMIF(Jul_Period_2_Tbl[[#All],[STAFF:]],$A43,Jul_Period_2_Tbl[[#All],['# CLASSES LEAD]])+  SUMIF(Aug_Period_2_Tbl[[#All],[STAFF:]],$A43,Aug_Period_2_Tbl[[#All],['# CLASSES LEAD]])+  SUMIF(Sep_Period_2_Tbl[[#All],[STAFF:]],$A43,Sep_Period_2_Tbl[[#All],['# CLASSES LEAD]])+  SUMIF(Oct_Period_2_Tbl[[#All],[STAFF:]],$A43,Oct_Period_2_Tbl[[#All],['# CLASSES LEAD]])+     SUMIF(Nov_Period_2_Tbl[[#All],[STAFF:]],$A43,Nov_Period_2_Tbl[[#All],['# CLASSES LEAD]])+  SUMIF(Dec_Period_2_Tbl[[#All],[STAFF:]],$A43,Dec_Period_2_Tbl[[#All],['# CLASSES LEAD]]))</f>
        <v>0</v>
      </c>
      <c r="U43" s="153">
        <f>(SUMIF(Jan_Period_1_Tbl[[#All],[STAFF:]],$A43,Jan_Period_1_Tbl[[#All],['# CLASSES SHOW]])+
SUMIF(Feb_Period_1_Tbl[[#All],[STAFF:]],$A43,Feb_Period_1_Tbl[[#All],['# CLASSES SHOW]])+SUMIF(Mar_Period_1_Tbl[[#All],[STAFF:]],$A43,Mar_Period_1_Tbl[[#All],['# CLASSES SHOW]])+SUMIF(Apr_Period_1_Tbl[[#All],[STAFF:]],$A43,Apr_Period_1_Tbl[[#All],['# CLASSES SHOW]])+   SUMIF(May_Period_1_Tbl[[#All],[STAFF:]],$A43,May_Period_1_Tbl[[#All],['# CLASSES SHOW]])+   SUMIF(Jun_Period_1_Tbl[[#All],[STAFF:]],$A43,Jun_Period_1_Tbl[[#All],['# CLASSES SHOW]])+  SUMIF(Jul_Period_1_Tbl[[#All],[STAFF:]],$A43,Jul_Period_1_Tbl[[#All],['# CLASSES SHOW]])+  SUMIF(Aug_Period_1_Tbl[[#All],[STAFF:]],$A43,Aug_Period_1_Tbl[[#All],['# CLASSES SHOW]])+  SUMIF(Sep_Period_1_Tbl[[#All],[STAFF:]],$A43,Sep_Period_1_Tbl[[#All],['# CLASSES SHOW]])+  SUMIF(Oct_Period_1_Tbl[[#All],[STAFF:]],$A43,Oct_Period_1_Tbl[[#All],['# CLASSES SHOW]])+     SUMIF(Nov_Period_1_Tbl[[#All],[STAFF:]],$A43,Nov_Period_1_Tbl[[#All],['# CLASSES SHOW]])+  SUMIF(Dec_Period_1_Tbl[[#All],[STAFF:]],$A43,Dec_Period_1_Tbl[[#All],['# CLASSES SHOW]]))+   (SUMIF(Jan_Period_2_Tbl[[#All],[STAFF:]],$A43,Jan_Period_2_Tbl[[#All],['# CLASSES SHOW]])+
SUMIF(Feb_Period_2_Tbl[[#All],[STAFF:]],$A43,Feb_Period_2_Tbl[[#All],['# CLASSES SHOW]])+SUMIF(Mar_Period_2_Tbl[[#All],[STAFF:]],$A43,Mar_Period_2_Tbl[[#All],['# CLASSES SHOW]])+SUMIF(Apr_Period_2_Tbl[[#All],[STAFF:]],$A43,Apr_Period_2_Tbl[[#All],['# CLASSES SHOW]])+   SUMIF(May_Period_2_Tbl[[#All],[STAFF:]],$A43,May_Period_2_Tbl[[#All],['# CLASSES SHOW]])+   SUMIF(Jun_Period_2_Tbl[[#All],[STAFF:]],$A43,Jun_Period_2_Tbl[[#All],['# CLASSES SHOW]])+  SUMIF(Jul_Period_2_Tbl[[#All],[STAFF:]],$A43,Jul_Period_2_Tbl[[#All],['# CLASSES SHOW]])+  SUMIF(Aug_Period_2_Tbl[[#All],[STAFF:]],$A43,Aug_Period_2_Tbl[[#All],['# CLASSES SHOW]])+  SUMIF(Sep_Period_2_Tbl[[#All],[STAFF:]],$A43,Sep_Period_2_Tbl[[#All],['# CLASSES SHOW]])+  SUMIF(Oct_Period_2_Tbl[[#All],[STAFF:]],$A43,Oct_Period_2_Tbl[[#All],['# CLASSES SHOW]])+     SUMIF(Nov_Period_2_Tbl[[#All],[STAFF:]],$A43,Nov_Period_2_Tbl[[#All],['# CLASSES SHOW]])+  SUMIF(Dec_Period_2_Tbl[[#All],[STAFF:]],$A43,Dec_Period_2_Tbl[[#All],['# CLASSES SHOW]]))</f>
        <v>0</v>
      </c>
      <c r="V43" s="156"/>
      <c r="W43" s="156"/>
      <c r="X43" s="155">
        <f t="shared" si="10"/>
        <v>0</v>
      </c>
      <c r="Y43" s="155">
        <f t="shared" si="11"/>
        <v>0</v>
      </c>
      <c r="Z43" s="155">
        <f t="shared" si="12"/>
        <v>0</v>
      </c>
      <c r="AA43" s="155">
        <f t="shared" si="13"/>
        <v>0</v>
      </c>
      <c r="AB43" s="155">
        <f t="shared" si="14"/>
        <v>0</v>
      </c>
      <c r="AC43" s="155">
        <f t="shared" si="15"/>
        <v>0</v>
      </c>
      <c r="AD43" s="155">
        <f t="shared" si="16"/>
        <v>0</v>
      </c>
      <c r="AE43" s="149"/>
      <c r="AF43" s="149"/>
      <c r="AG43" s="149"/>
      <c r="AH43" s="149"/>
      <c r="AJ43" s="75" t="str">
        <f t="shared" si="17"/>
        <v>zBlank</v>
      </c>
      <c r="AK43" s="210"/>
      <c r="AL43" s="168">
        <f>IFERROR(VLOOKUP(B43,List!$A:$B,2,FALSE),-1)</f>
        <v>-1</v>
      </c>
      <c r="AM43" s="168">
        <f>IFERROR(VLOOKUP(C43,List!$A:$B,2,FALSE),-1)</f>
        <v>-1</v>
      </c>
    </row>
    <row r="44" spans="1:39" ht="15" hidden="1" customHeight="1" x14ac:dyDescent="0.25">
      <c r="A44" s="20"/>
      <c r="B44" s="186"/>
      <c r="C44" s="186"/>
      <c r="D44" s="187"/>
      <c r="E44" s="188">
        <f>(SUMIF(Jan_Period_1_Tbl[[#All],[STAFF:]],$A44,Jan_Period_1_Tbl[[#All],['# PTO USED]])+
SUMIF(Feb_Period_1_Tbl[[#All],[STAFF:]],$A44,Feb_Period_1_Tbl[[#All],['# PTO USED]])+SUMIF(Mar_Period_1_Tbl[[#All],[STAFF:]],$A44,Mar_Period_1_Tbl[[#All],['# PTO USED]])+SUMIF(Apr_Period_1_Tbl[[#All],[STAFF:]],$A44,Apr_Period_1_Tbl[[#All],['# PTO USED]])+   SUMIF(May_Period_1_Tbl[[#All],[STAFF:]],$A44,May_Period_1_Tbl[[#All],['# PTO USED]])+   SUMIF(Jun_Period_1_Tbl[[#All],[STAFF:]],$A44,Jun_Period_1_Tbl[[#All],['# PTO USED]])+  SUMIF(Jul_Period_1_Tbl[[#All],[STAFF:]],$A44,Jul_Period_1_Tbl[[#All],['# PTO USED]])+  SUMIF(Aug_Period_1_Tbl[[#All],[STAFF:]],$A44,Aug_Period_1_Tbl[[#All],['# PTO USED]])+  SUMIF(Sep_Period_1_Tbl[[#All],[STAFF:]],$A44,Sep_Period_1_Tbl[[#All],['# PTO USED]])+  SUMIF(Oct_Period_1_Tbl[[#All],[STAFF:]],$A44,Oct_Period_1_Tbl[[#All],['# PTO USED]])+     SUMIF(Nov_Period_1_Tbl[[#All],[STAFF:]],$A44,Nov_Period_1_Tbl[[#All],['# PTO USED]])+  SUMIF(Dec_Period_1_Tbl[[#All],[STAFF:]],$A44,Dec_Period_1_Tbl[[#All],['# PTO USED]]))+   (SUMIF(Jan_Period_2_Tbl[[#All],[STAFF:]],$A44,Jan_Period_2_Tbl[[#All],['# PTO USED]])+
SUMIF(Feb_Period_2_Tbl[[#All],[STAFF:]],$A44,Feb_Period_2_Tbl[[#All],['# PTO USED]])+SUMIF(Mar_Period_2_Tbl[[#All],[STAFF:]],$A44,Mar_Period_2_Tbl[[#All],['# PTO USED]])+SUMIF(Apr_Period_2_Tbl[[#All],[STAFF:]],$A44,Apr_Period_2_Tbl[[#All],['# PTO USED]])+   SUMIF(May_Period_2_Tbl[[#All],[STAFF:]],$A44,May_Period_2_Tbl[[#All],['# PTO USED]])+   SUMIF(Jun_Period_2_Tbl[[#All],[STAFF:]],$A44,Jun_Period_2_Tbl[[#All],['# PTO USED]])+  SUMIF(Jul_Period_2_Tbl[[#All],[STAFF:]],$A44,Jul_Period_2_Tbl[[#All],['# PTO USED]])+  SUMIF(Aug_Period_2_Tbl[[#All],[STAFF:]],$A44,Aug_Period_2_Tbl[[#All],['# PTO USED]])+  SUMIF(Sep_Period_2_Tbl[[#All],[STAFF:]],$A44,Sep_Period_2_Tbl[[#All],['# PTO USED]])+  SUMIF(Oct_Period_2_Tbl[[#All],[STAFF:]],$A44,Oct_Period_2_Tbl[[#All],['# PTO USED]])+     SUMIF(Nov_Period_2_Tbl[[#All],[STAFF:]],$A44,Nov_Period_2_Tbl[[#All],['# PTO USED]])+  SUMIF(Dec_Period_2_Tbl[[#All],[STAFF:]],$A44,Dec_Period_2_Tbl[[#All],['# PTO USED]]))</f>
        <v>0</v>
      </c>
      <c r="F44" s="189">
        <f>(SUMIF(Jan_Period_1_Tbl[[#All],[STAFF:]],$A44,Jan_Period_1_Tbl[[#All],['# HRS WORKED]])+
SUMIF(Feb_Period_1_Tbl[[#All],[STAFF:]],$A44,Feb_Period_1_Tbl[[#All],['# HRS WORKED]])+SUMIF(Mar_Period_1_Tbl[[#All],[STAFF:]],$A44,Mar_Period_1_Tbl[[#All],['# HRS WORKED]])+SUMIF(Apr_Period_1_Tbl[[#All],[STAFF:]],$A44,Apr_Period_1_Tbl[[#All],['# HRS WORKED]])+   SUMIF(May_Period_1_Tbl[[#All],[STAFF:]],$A44,May_Period_1_Tbl[[#All],['# HRS WORKED]])+   SUMIF(Jun_Period_1_Tbl[[#All],[STAFF:]],$A44,Jun_Period_1_Tbl[[#All],['# HRS WORKED]])+  SUMIF(Jul_Period_1_Tbl[[#All],[STAFF:]],$A44,Jul_Period_1_Tbl[[#All],['# HRS WORKED]])+  SUMIF(Aug_Period_1_Tbl[[#All],[STAFF:]],$A44,Aug_Period_1_Tbl[[#All],['# HRS WORKED]])+  SUMIF(Sep_Period_1_Tbl[[#All],[STAFF:]],$A44,Sep_Period_1_Tbl[[#All],['# HRS WORKED]])+  SUMIF(Oct_Period_1_Tbl[[#All],[STAFF:]],$A44,Oct_Period_1_Tbl[[#All],['# HRS WORKED]])+     SUMIF(Nov_Period_1_Tbl[[#All],[STAFF:]],$A44,Nov_Period_1_Tbl[[#All],['# HRS WORKED]])+  SUMIF(Dec_Period_1_Tbl[[#All],[STAFF:]],$A44,Dec_Period_1_Tbl[[#All],['# HRS WORKED]]))+   (SUMIF(Jan_Period_2_Tbl[[#All],[STAFF:]],$A44,Jan_Period_2_Tbl[[#All],['# HRS WORKED]])+
SUMIF(Feb_Period_2_Tbl[[#All],[STAFF:]],$A44,Feb_Period_2_Tbl[[#All],['# HRS WORKED]])+SUMIF(Mar_Period_2_Tbl[[#All],[STAFF:]],$A44,Mar_Period_2_Tbl[[#All],['# HRS WORKED]])+SUMIF(Apr_Period_2_Tbl[[#All],[STAFF:]],$A44,Apr_Period_2_Tbl[[#All],['# HRS WORKED]])+   SUMIF(May_Period_2_Tbl[[#All],[STAFF:]],$A44,May_Period_2_Tbl[[#All],['# HRS WORKED]])+   SUMIF(Jun_Period_2_Tbl[[#All],[STAFF:]],$A44,Jun_Period_2_Tbl[[#All],['# HRS WORKED]])+  SUMIF(Jul_Period_2_Tbl[[#All],[STAFF:]],$A44,Jul_Period_2_Tbl[[#All],['# HRS WORKED]])+  SUMIF(Aug_Period_2_Tbl[[#All],[STAFF:]],$A44,Aug_Period_2_Tbl[[#All],['# HRS WORKED]])+  SUMIF(Sep_Period_2_Tbl[[#All],[STAFF:]],$A44,Sep_Period_2_Tbl[[#All],['# HRS WORKED]])+  SUMIF(Oct_Period_2_Tbl[[#All],[STAFF:]],$A44,Oct_Period_2_Tbl[[#All],['# HRS WORKED]])+     SUMIF(Nov_Period_2_Tbl[[#All],[STAFF:]],$A44,Nov_Period_2_Tbl[[#All],['# HRS WORKED]])+  SUMIF(Dec_Period_2_Tbl[[#All],[STAFF:]],$A44,Dec_Period_2_Tbl[[#All],['# HRS WORKED]]))</f>
        <v>0</v>
      </c>
      <c r="G44" s="190">
        <f>(SUMIF(Jan_Period_1_Tbl[[#All],[STAFF:]],$A44,Jan_Period_1_Tbl[[#All],[$ Hourly WAGES]])+
SUMIF(Feb_Period_1_Tbl[[#All],[STAFF:]],$A44,Feb_Period_1_Tbl[[#All],[$ Hourly WAGES]])+SUMIF(Mar_Period_1_Tbl[[#All],[STAFF:]],$A44,Mar_Period_1_Tbl[[#All],[$ Hourly WAGES]])+SUMIF(Apr_Period_1_Tbl[[#All],[STAFF:]],$A44,Apr_Period_1_Tbl[[#All],[$ Hourly WAGES]])+   SUMIF(May_Period_1_Tbl[[#All],[STAFF:]],$A44,May_Period_1_Tbl[[#All],[$ Hourly WAGES]])+   SUMIF(Jun_Period_1_Tbl[[#All],[STAFF:]],$A44,Jun_Period_1_Tbl[[#All],[$ Hourly WAGES]])+  SUMIF(Jul_Period_1_Tbl[[#All],[STAFF:]],$A44,Jul_Period_1_Tbl[[#All],[$ Hourly WAGES]])+  SUMIF(Aug_Period_1_Tbl[[#All],[STAFF:]],$A44,Aug_Period_1_Tbl[[#All],[$ Hourly WAGES]])+  SUMIF(Sep_Period_1_Tbl[[#All],[STAFF:]],$A44,Sep_Period_1_Tbl[[#All],[$ Hourly WAGES]])+  SUMIF(Oct_Period_1_Tbl[[#All],[STAFF:]],$A44,Oct_Period_1_Tbl[[#All],[$ Hourly WAGES]])+     SUMIF(Nov_Period_1_Tbl[[#All],[STAFF:]],$A44,Nov_Period_1_Tbl[[#All],[$ Hourly WAGES]])+  SUMIF(Dec_Period_1_Tbl[[#All],[STAFF:]],$A44,Dec_Period_1_Tbl[[#All],[$ Hourly WAGES]]))+   (SUMIF(Jan_Period_2_Tbl[[#All],[STAFF:]],$A44,Jan_Period_2_Tbl[[#All],[$ Hourly WAGES]])+
SUMIF(Feb_Period_2_Tbl[[#All],[STAFF:]],$A44,Feb_Period_2_Tbl[[#All],[$ Hourly WAGES]])+SUMIF(Mar_Period_2_Tbl[[#All],[STAFF:]],$A44,Mar_Period_2_Tbl[[#All],[$ Hourly WAGES]])+SUMIF(Apr_Period_2_Tbl[[#All],[STAFF:]],$A44,Apr_Period_2_Tbl[[#All],[$ Hourly WAGES]])+   SUMIF(May_Period_2_Tbl[[#All],[STAFF:]],$A44,May_Period_2_Tbl[[#All],[$ Hourly WAGES]])+   SUMIF(Jun_Period_2_Tbl[[#All],[STAFF:]],$A44,Jun_Period_2_Tbl[[#All],[$ Hourly WAGES]])+  SUMIF(Jul_Period_2_Tbl[[#All],[STAFF:]],$A44,Jul_Period_2_Tbl[[#All],[$ Hourly WAGES]])+  SUMIF(Aug_Period_2_Tbl[[#All],[STAFF:]],$A44,Aug_Period_2_Tbl[[#All],[$ Hourly WAGES]])+  SUMIF(Sep_Period_2_Tbl[[#All],[STAFF:]],$A44,Sep_Period_2_Tbl[[#All],[$ Hourly WAGES]])+  SUMIF(Oct_Period_2_Tbl[[#All],[STAFF:]],$A44,Oct_Period_2_Tbl[[#All],[$ Hourly WAGES]])+     SUMIF(Nov_Period_2_Tbl[[#All],[STAFF:]],$A44,Nov_Period_2_Tbl[[#All],[$ Hourly WAGES]])+  SUMIF(Dec_Period_2_Tbl[[#All],[STAFF:]],$A44,Dec_Period_2_Tbl[[#All],[$ Hourly WAGES]]))</f>
        <v>0</v>
      </c>
      <c r="H44" s="190">
        <f>(SUMIF(Jan_Period_1_Tbl[[#All],[STAFF:]],$A44,Jan_Period_1_Tbl[[#All],[$ SALARY]])+
SUMIF(Feb_Period_1_Tbl[[#All],[STAFF:]],$A44,Feb_Period_1_Tbl[[#All],[$ SALARY]])+SUMIF(Mar_Period_1_Tbl[[#All],[STAFF:]],$A44,Mar_Period_1_Tbl[[#All],[$ SALARY]])+SUMIF(Apr_Period_1_Tbl[[#All],[STAFF:]],$A44,Apr_Period_1_Tbl[[#All],[$ SALARY]])+   SUMIF(May_Period_1_Tbl[[#All],[STAFF:]],$A44,May_Period_1_Tbl[[#All],[$ SALARY]])+   SUMIF(Jun_Period_1_Tbl[[#All],[STAFF:]],$A44,Jun_Period_1_Tbl[[#All],[$ SALARY]])+  SUMIF(Jul_Period_1_Tbl[[#All],[STAFF:]],$A44,Jul_Period_1_Tbl[[#All],[$ SALARY]])+  SUMIF(Aug_Period_1_Tbl[[#All],[STAFF:]],$A44,Aug_Period_1_Tbl[[#All],[$ SALARY]])+  SUMIF(Sep_Period_1_Tbl[[#All],[STAFF:]],$A44,Sep_Period_1_Tbl[[#All],[$ SALARY]])+  SUMIF(Oct_Period_1_Tbl[[#All],[STAFF:]],$A44,Oct_Period_1_Tbl[[#All],[$ SALARY]])+     SUMIF(Nov_Period_1_Tbl[[#All],[STAFF:]],$A44,Nov_Period_1_Tbl[[#All],[$ SALARY]])+  SUMIF(Dec_Period_1_Tbl[[#All],[STAFF:]],$A44,Dec_Period_1_Tbl[[#All],[$ SALARY]]))+   (SUMIF(Jan_Period_2_Tbl[[#All],[STAFF:]],$A44,Jan_Period_2_Tbl[[#All],[$ SALARY]])+
SUMIF(Feb_Period_2_Tbl[[#All],[STAFF:]],$A44,Feb_Period_2_Tbl[[#All],[$ SALARY]])+SUMIF(Mar_Period_2_Tbl[[#All],[STAFF:]],$A44,Mar_Period_2_Tbl[[#All],[$ SALARY]])+SUMIF(Apr_Period_2_Tbl[[#All],[STAFF:]],$A44,Apr_Period_2_Tbl[[#All],[$ SALARY]])+   SUMIF(May_Period_2_Tbl[[#All],[STAFF:]],$A44,May_Period_2_Tbl[[#All],[$ SALARY]])+   SUMIF(Jun_Period_2_Tbl[[#All],[STAFF:]],$A44,Jun_Period_2_Tbl[[#All],[$ SALARY]])+  SUMIF(Jul_Period_2_Tbl[[#All],[STAFF:]],$A44,Jul_Period_2_Tbl[[#All],[$ SALARY]])+  SUMIF(Aug_Period_2_Tbl[[#All],[STAFF:]],$A44,Aug_Period_2_Tbl[[#All],[$ SALARY]])+  SUMIF(Sep_Period_2_Tbl[[#All],[STAFF:]],$A44,Sep_Period_2_Tbl[[#All],[$ SALARY]])+  SUMIF(Oct_Period_2_Tbl[[#All],[STAFF:]],$A44,Oct_Period_2_Tbl[[#All],[$ SALARY]])+     SUMIF(Nov_Period_2_Tbl[[#All],[STAFF:]],$A44,Nov_Period_2_Tbl[[#All],[$ SALARY]])+  SUMIF(Dec_Period_2_Tbl[[#All],[STAFF:]],$A44,Dec_Period_2_Tbl[[#All],[$ SALARY]]))</f>
        <v>0</v>
      </c>
      <c r="I44" s="190">
        <f>(SUMIF(Jan_Period_1_Tbl[[#All],[STAFF:]],$A44,Jan_Period_1_Tbl[[#All],[$ SALARY PT]])+
SUMIF(Feb_Period_1_Tbl[[#All],[STAFF:]],$A44,Feb_Period_1_Tbl[[#All],[$ SALARY PT]])+SUMIF(Mar_Period_1_Tbl[[#All],[STAFF:]],$A44,Mar_Period_1_Tbl[[#All],[$ SALARY PT]])+SUMIF(Apr_Period_1_Tbl[[#All],[STAFF:]],$A44,Apr_Period_1_Tbl[[#All],[$ SALARY PT]])+   SUMIF(May_Period_1_Tbl[[#All],[STAFF:]],$A44,May_Period_1_Tbl[[#All],[$ SALARY PT]])+   SUMIF(Jun_Period_1_Tbl[[#All],[STAFF:]],$A44,Jun_Period_1_Tbl[[#All],[$ SALARY PT]])+  SUMIF(Jul_Period_1_Tbl[[#All],[STAFF:]],$A44,Jul_Period_1_Tbl[[#All],[$ SALARY PT]])+  SUMIF(Aug_Period_1_Tbl[[#All],[STAFF:]],$A44,Aug_Period_1_Tbl[[#All],[$ SALARY PT]])+  SUMIF(Sep_Period_1_Tbl[[#All],[STAFF:]],$A44,Sep_Period_1_Tbl[[#All],[$ SALARY PT]])+  SUMIF(Oct_Period_1_Tbl[[#All],[STAFF:]],$A44,Oct_Period_1_Tbl[[#All],[$ SALARY PT]])+     SUMIF(Nov_Period_1_Tbl[[#All],[STAFF:]],$A44,Nov_Period_1_Tbl[[#All],[$ SALARY PT]])+  SUMIF(Dec_Period_1_Tbl[[#All],[STAFF:]],$A44,Dec_Period_1_Tbl[[#All],[$ SALARY PT]]))+   (SUMIF(Jan_Period_2_Tbl[[#All],[STAFF:]],$A44,Jan_Period_2_Tbl[[#All],[$ SALARY PT]])+
SUMIF(Feb_Period_2_Tbl[[#All],[STAFF:]],$A44,Feb_Period_2_Tbl[[#All],[$ SALARY PT]])+SUMIF(Mar_Period_2_Tbl[[#All],[STAFF:]],$A44,Mar_Period_2_Tbl[[#All],[$ SALARY PT]])+SUMIF(Apr_Period_2_Tbl[[#All],[STAFF:]],$A44,Apr_Period_2_Tbl[[#All],[$ SALARY PT]])+   SUMIF(May_Period_2_Tbl[[#All],[STAFF:]],$A44,May_Period_2_Tbl[[#All],[$ SALARY PT]])+   SUMIF(Jun_Period_2_Tbl[[#All],[STAFF:]],$A44,Jun_Period_2_Tbl[[#All],[$ SALARY PT]])+  SUMIF(Jul_Period_2_Tbl[[#All],[STAFF:]],$A44,Jul_Period_2_Tbl[[#All],[$ SALARY PT]])+  SUMIF(Aug_Period_2_Tbl[[#All],[STAFF:]],$A44,Aug_Period_2_Tbl[[#All],[$ SALARY PT]])+  SUMIF(Sep_Period_2_Tbl[[#All],[STAFF:]],$A44,Sep_Period_2_Tbl[[#All],[$ SALARY PT]])+  SUMIF(Oct_Period_2_Tbl[[#All],[STAFF:]],$A44,Oct_Period_2_Tbl[[#All],[$ SALARY PT]])+     SUMIF(Nov_Period_2_Tbl[[#All],[STAFF:]],$A44,Nov_Period_2_Tbl[[#All],[$ SALARY PT]])+  SUMIF(Dec_Period_2_Tbl[[#All],[STAFF:]],$A44,Dec_Period_2_Tbl[[#All],[$ SALARY PT]]))</f>
        <v>0</v>
      </c>
      <c r="J44" s="190">
        <f>(SUMIF(Jan_Period_1_Tbl[[#All],[STAFF:]],$A44,Jan_Period_1_Tbl[[#All],[$ FREE PT]])+
SUMIF(Feb_Period_1_Tbl[[#All],[STAFF:]],$A44,Feb_Period_1_Tbl[[#All],[$ FREE PT]])+SUMIF(Mar_Period_1_Tbl[[#All],[STAFF:]],$A44,Mar_Period_1_Tbl[[#All],[$ FREE PT]])+SUMIF(Apr_Period_1_Tbl[[#All],[STAFF:]],$A44,Apr_Period_1_Tbl[[#All],[$ FREE PT]])+   SUMIF(May_Period_1_Tbl[[#All],[STAFF:]],$A44,May_Period_1_Tbl[[#All],[$ FREE PT]])+   SUMIF(Jun_Period_1_Tbl[[#All],[STAFF:]],$A44,Jun_Period_1_Tbl[[#All],[$ FREE PT]])+  SUMIF(Jul_Period_1_Tbl[[#All],[STAFF:]],$A44,Jul_Period_1_Tbl[[#All],[$ FREE PT]])+  SUMIF(Aug_Period_1_Tbl[[#All],[STAFF:]],$A44,Aug_Period_1_Tbl[[#All],[$ FREE PT]])+  SUMIF(Sep_Period_1_Tbl[[#All],[STAFF:]],$A44,Sep_Period_1_Tbl[[#All],[$ FREE PT]])+  SUMIF(Oct_Period_1_Tbl[[#All],[STAFF:]],$A44,Oct_Period_1_Tbl[[#All],[$ FREE PT]])+     SUMIF(Nov_Period_1_Tbl[[#All],[STAFF:]],$A44,Nov_Period_1_Tbl[[#All],[$ FREE PT]])+  SUMIF(Dec_Period_1_Tbl[[#All],[STAFF:]],$A44,Dec_Period_1_Tbl[[#All],[$ FREE PT]]))+   (SUMIF(Jan_Period_2_Tbl[[#All],[STAFF:]],$A44,Jan_Period_2_Tbl[[#All],[$ FREE PT]])+
SUMIF(Feb_Period_2_Tbl[[#All],[STAFF:]],$A44,Feb_Period_2_Tbl[[#All],[$ FREE PT]])+SUMIF(Mar_Period_2_Tbl[[#All],[STAFF:]],$A44,Mar_Period_2_Tbl[[#All],[$ FREE PT]])+SUMIF(Apr_Period_2_Tbl[[#All],[STAFF:]],$A44,Apr_Period_2_Tbl[[#All],[$ FREE PT]])+   SUMIF(May_Period_2_Tbl[[#All],[STAFF:]],$A44,May_Period_2_Tbl[[#All],[$ FREE PT]])+   SUMIF(Jun_Period_2_Tbl[[#All],[STAFF:]],$A44,Jun_Period_2_Tbl[[#All],[$ FREE PT]])+  SUMIF(Jul_Period_2_Tbl[[#All],[STAFF:]],$A44,Jul_Period_2_Tbl[[#All],[$ FREE PT]])+  SUMIF(Aug_Period_2_Tbl[[#All],[STAFF:]],$A44,Aug_Period_2_Tbl[[#All],[$ FREE PT]])+  SUMIF(Sep_Period_2_Tbl[[#All],[STAFF:]],$A44,Sep_Period_2_Tbl[[#All],[$ FREE PT]])+  SUMIF(Oct_Period_2_Tbl[[#All],[STAFF:]],$A44,Oct_Period_2_Tbl[[#All],[$ FREE PT]])+     SUMIF(Nov_Period_2_Tbl[[#All],[STAFF:]],$A44,Nov_Period_2_Tbl[[#All],[$ FREE PT]])+  SUMIF(Dec_Period_2_Tbl[[#All],[STAFF:]],$A44,Dec_Period_2_Tbl[[#All],[$ FREE PT]]))</f>
        <v>0</v>
      </c>
      <c r="K44" s="190">
        <f>(SUMIF(Jan_Period_1_Tbl[[#All],[STAFF:]],$A44,Jan_Period_1_Tbl[[#All],[$ PAID PT]])+
SUMIF(Feb_Period_1_Tbl[[#All],[STAFF:]],$A44,Feb_Period_1_Tbl[[#All],[$ PAID PT]])+SUMIF(Mar_Period_1_Tbl[[#All],[STAFF:]],$A44,Mar_Period_1_Tbl[[#All],[$ PAID PT]])+SUMIF(Apr_Period_1_Tbl[[#All],[STAFF:]],$A44,Apr_Period_1_Tbl[[#All],[$ PAID PT]])+   SUMIF(May_Period_1_Tbl[[#All],[STAFF:]],$A44,May_Period_1_Tbl[[#All],[$ PAID PT]])+   SUMIF(Jun_Period_1_Tbl[[#All],[STAFF:]],$A44,Jun_Period_1_Tbl[[#All],[$ PAID PT]])+  SUMIF(Jul_Period_1_Tbl[[#All],[STAFF:]],$A44,Jul_Period_1_Tbl[[#All],[$ PAID PT]])+  SUMIF(Aug_Period_1_Tbl[[#All],[STAFF:]],$A44,Aug_Period_1_Tbl[[#All],[$ PAID PT]])+  SUMIF(Sep_Period_1_Tbl[[#All],[STAFF:]],$A44,Sep_Period_1_Tbl[[#All],[$ PAID PT]])+  SUMIF(Oct_Period_1_Tbl[[#All],[STAFF:]],$A44,Oct_Period_1_Tbl[[#All],[$ PAID PT]])+     SUMIF(Nov_Period_1_Tbl[[#All],[STAFF:]],$A44,Nov_Period_1_Tbl[[#All],[$ PAID PT]])+  SUMIF(Dec_Period_1_Tbl[[#All],[STAFF:]],$A44,Dec_Period_1_Tbl[[#All],[$ PAID PT]]))+   (SUMIF(Jan_Period_2_Tbl[[#All],[STAFF:]],$A44,Jan_Period_2_Tbl[[#All],[$ PAID PT]])+
SUMIF(Feb_Period_2_Tbl[[#All],[STAFF:]],$A44,Feb_Period_2_Tbl[[#All],[$ PAID PT]])+SUMIF(Mar_Period_2_Tbl[[#All],[STAFF:]],$A44,Mar_Period_2_Tbl[[#All],[$ PAID PT]])+SUMIF(Apr_Period_2_Tbl[[#All],[STAFF:]],$A44,Apr_Period_2_Tbl[[#All],[$ PAID PT]])+   SUMIF(May_Period_2_Tbl[[#All],[STAFF:]],$A44,May_Period_2_Tbl[[#All],[$ PAID PT]])+   SUMIF(Jun_Period_2_Tbl[[#All],[STAFF:]],$A44,Jun_Period_2_Tbl[[#All],[$ PAID PT]])+  SUMIF(Jul_Period_2_Tbl[[#All],[STAFF:]],$A44,Jul_Period_2_Tbl[[#All],[$ PAID PT]])+  SUMIF(Aug_Period_2_Tbl[[#All],[STAFF:]],$A44,Aug_Period_2_Tbl[[#All],[$ PAID PT]])+  SUMIF(Sep_Period_2_Tbl[[#All],[STAFF:]],$A44,Sep_Period_2_Tbl[[#All],[$ PAID PT]])+  SUMIF(Oct_Period_2_Tbl[[#All],[STAFF:]],$A44,Oct_Period_2_Tbl[[#All],[$ PAID PT]])+     SUMIF(Nov_Period_2_Tbl[[#All],[STAFF:]],$A44,Nov_Period_2_Tbl[[#All],[$ PAID PT]])+  SUMIF(Dec_Period_2_Tbl[[#All],[STAFF:]],$A44,Dec_Period_2_Tbl[[#All],[$ PAID PT]]))</f>
        <v>0</v>
      </c>
      <c r="L44" s="190">
        <f>(SUMIF(Jan_Period_1_Tbl[[#All],[STAFF:]],$A44,Jan_Period_1_Tbl[[#All],[$ PT COMM]])+
SUMIF(Feb_Period_1_Tbl[[#All],[STAFF:]],$A44,Feb_Period_1_Tbl[[#All],[$ PT COMM]])+SUMIF(Mar_Period_1_Tbl[[#All],[STAFF:]],$A44,Mar_Period_1_Tbl[[#All],[$ PT COMM]])+SUMIF(Apr_Period_1_Tbl[[#All],[STAFF:]],$A44,Apr_Period_1_Tbl[[#All],[$ PT COMM]])+   SUMIF(May_Period_1_Tbl[[#All],[STAFF:]],$A44,May_Period_1_Tbl[[#All],[$ PT COMM]])+   SUMIF(Jun_Period_1_Tbl[[#All],[STAFF:]],$A44,Jun_Period_1_Tbl[[#All],[$ PT COMM]])+  SUMIF(Jul_Period_1_Tbl[[#All],[STAFF:]],$A44,Jul_Period_1_Tbl[[#All],[$ PT COMM]])+  SUMIF(Aug_Period_1_Tbl[[#All],[STAFF:]],$A44,Aug_Period_1_Tbl[[#All],[$ PT COMM]])+  SUMIF(Sep_Period_1_Tbl[[#All],[STAFF:]],$A44,Sep_Period_1_Tbl[[#All],[$ PT COMM]])+  SUMIF(Oct_Period_1_Tbl[[#All],[STAFF:]],$A44,Oct_Period_1_Tbl[[#All],[$ PT COMM]])+     SUMIF(Nov_Period_1_Tbl[[#All],[STAFF:]],$A44,Nov_Period_1_Tbl[[#All],[$ PT COMM]])+  SUMIF(Dec_Period_1_Tbl[[#All],[STAFF:]],$A44,Dec_Period_1_Tbl[[#All],[$ PT COMM]]))+   (SUMIF(Jan_Period_2_Tbl[[#All],[STAFF:]],$A44,Jan_Period_2_Tbl[[#All],[$ PT COMM]])+
SUMIF(Feb_Period_2_Tbl[[#All],[STAFF:]],$A44,Feb_Period_2_Tbl[[#All],[$ PT COMM]])+SUMIF(Mar_Period_2_Tbl[[#All],[STAFF:]],$A44,Mar_Period_2_Tbl[[#All],[$ PT COMM]])+SUMIF(Apr_Period_2_Tbl[[#All],[STAFF:]],$A44,Apr_Period_2_Tbl[[#All],[$ PT COMM]])+   SUMIF(May_Period_2_Tbl[[#All],[STAFF:]],$A44,May_Period_2_Tbl[[#All],[$ PT COMM]])+   SUMIF(Jun_Period_2_Tbl[[#All],[STAFF:]],$A44,Jun_Period_2_Tbl[[#All],[$ PT COMM]])+  SUMIF(Jul_Period_2_Tbl[[#All],[STAFF:]],$A44,Jul_Period_2_Tbl[[#All],[$ PT COMM]])+  SUMIF(Aug_Period_2_Tbl[[#All],[STAFF:]],$A44,Aug_Period_2_Tbl[[#All],[$ PT COMM]])+  SUMIF(Sep_Period_2_Tbl[[#All],[STAFF:]],$A44,Sep_Period_2_Tbl[[#All],[$ PT COMM]])+  SUMIF(Oct_Period_2_Tbl[[#All],[STAFF:]],$A44,Oct_Period_2_Tbl[[#All],[$ PT COMM]])+     SUMIF(Nov_Period_2_Tbl[[#All],[STAFF:]],$A44,Nov_Period_2_Tbl[[#All],[$ PT COMM]])+  SUMIF(Dec_Period_2_Tbl[[#All],[STAFF:]],$A44,Dec_Period_2_Tbl[[#All],[$ PT COMM]]))</f>
        <v>0</v>
      </c>
      <c r="M44" s="190">
        <f>(SUMIF(Jan_Period_1_Tbl[[#All],[STAFF:]],$A44,Jan_Period_1_Tbl[[#All],[$ EFT COMM]])+
SUMIF(Feb_Period_1_Tbl[[#All],[STAFF:]],$A44,Feb_Period_1_Tbl[[#All],[$ EFT COMM]])+SUMIF(Mar_Period_1_Tbl[[#All],[STAFF:]],$A44,Mar_Period_1_Tbl[[#All],[$ EFT COMM]])+SUMIF(Apr_Period_1_Tbl[[#All],[STAFF:]],$A44,Apr_Period_1_Tbl[[#All],[$ EFT COMM]])+   SUMIF(May_Period_1_Tbl[[#All],[STAFF:]],$A44,May_Period_1_Tbl[[#All],[$ EFT COMM]])+   SUMIF(Jun_Period_1_Tbl[[#All],[STAFF:]],$A44,Jun_Period_1_Tbl[[#All],[$ EFT COMM]])+  SUMIF(Jul_Period_1_Tbl[[#All],[STAFF:]],$A44,Jul_Period_1_Tbl[[#All],[$ EFT COMM]])+  SUMIF(Aug_Period_1_Tbl[[#All],[STAFF:]],$A44,Aug_Period_1_Tbl[[#All],[$ EFT COMM]])+  SUMIF(Sep_Period_1_Tbl[[#All],[STAFF:]],$A44,Sep_Period_1_Tbl[[#All],[$ EFT COMM]])+  SUMIF(Oct_Period_1_Tbl[[#All],[STAFF:]],$A44,Oct_Period_1_Tbl[[#All],[$ EFT COMM]])+     SUMIF(Nov_Period_1_Tbl[[#All],[STAFF:]],$A44,Nov_Period_1_Tbl[[#All],[$ EFT COMM]])+  SUMIF(Dec_Period_1_Tbl[[#All],[STAFF:]],$A44,Dec_Period_1_Tbl[[#All],[$ EFT COMM]]))+   (SUMIF(Jan_Period_2_Tbl[[#All],[STAFF:]],$A44,Jan_Period_2_Tbl[[#All],[$ EFT COMM]])+
SUMIF(Feb_Period_2_Tbl[[#All],[STAFF:]],$A44,Feb_Period_2_Tbl[[#All],[$ EFT COMM]])+SUMIF(Mar_Period_2_Tbl[[#All],[STAFF:]],$A44,Mar_Period_2_Tbl[[#All],[$ EFT COMM]])+SUMIF(Apr_Period_2_Tbl[[#All],[STAFF:]],$A44,Apr_Period_2_Tbl[[#All],[$ EFT COMM]])+   SUMIF(May_Period_2_Tbl[[#All],[STAFF:]],$A44,May_Period_2_Tbl[[#All],[$ EFT COMM]])+   SUMIF(Jun_Period_2_Tbl[[#All],[STAFF:]],$A44,Jun_Period_2_Tbl[[#All],[$ EFT COMM]])+  SUMIF(Jul_Period_2_Tbl[[#All],[STAFF:]],$A44,Jul_Period_2_Tbl[[#All],[$ EFT COMM]])+  SUMIF(Aug_Period_2_Tbl[[#All],[STAFF:]],$A44,Aug_Period_2_Tbl[[#All],[$ EFT COMM]])+  SUMIF(Sep_Period_2_Tbl[[#All],[STAFF:]],$A44,Sep_Period_2_Tbl[[#All],[$ EFT COMM]])+  SUMIF(Oct_Period_2_Tbl[[#All],[STAFF:]],$A44,Oct_Period_2_Tbl[[#All],[$ EFT COMM]])+     SUMIF(Nov_Period_2_Tbl[[#All],[STAFF:]],$A44,Nov_Period_2_Tbl[[#All],[$ EFT COMM]])+  SUMIF(Dec_Period_2_Tbl[[#All],[STAFF:]],$A44,Dec_Period_2_Tbl[[#All],[$ EFT COMM]]))</f>
        <v>0</v>
      </c>
      <c r="N44" s="190">
        <f>(SUMIF(Jan_Period_1_Tbl[[#All],[STAFF:]],$A44,Jan_Period_1_Tbl[[#All],[$ CLASS PAY]])+
SUMIF(Feb_Period_1_Tbl[[#All],[STAFF:]],$A44,Feb_Period_1_Tbl[[#All],[$ CLASS PAY]])+SUMIF(Mar_Period_1_Tbl[[#All],[STAFF:]],$A44,Mar_Period_1_Tbl[[#All],[$ CLASS PAY]])+SUMIF(Apr_Period_1_Tbl[[#All],[STAFF:]],$A44,Apr_Period_1_Tbl[[#All],[$ CLASS PAY]])+   SUMIF(May_Period_1_Tbl[[#All],[STAFF:]],$A44,May_Period_1_Tbl[[#All],[$ CLASS PAY]])+   SUMIF(Jun_Period_1_Tbl[[#All],[STAFF:]],$A44,Jun_Period_1_Tbl[[#All],[$ CLASS PAY]])+  SUMIF(Jul_Period_1_Tbl[[#All],[STAFF:]],$A44,Jul_Period_1_Tbl[[#All],[$ CLASS PAY]])+  SUMIF(Aug_Period_1_Tbl[[#All],[STAFF:]],$A44,Aug_Period_1_Tbl[[#All],[$ CLASS PAY]])+  SUMIF(Sep_Period_1_Tbl[[#All],[STAFF:]],$A44,Sep_Period_1_Tbl[[#All],[$ CLASS PAY]])+  SUMIF(Oct_Period_1_Tbl[[#All],[STAFF:]],$A44,Oct_Period_1_Tbl[[#All],[$ CLASS PAY]])+     SUMIF(Nov_Period_1_Tbl[[#All],[STAFF:]],$A44,Nov_Period_1_Tbl[[#All],[$ CLASS PAY]])+  SUMIF(Dec_Period_1_Tbl[[#All],[STAFF:]],$A44,Dec_Period_1_Tbl[[#All],[$ CLASS PAY]]))+   (SUMIF(Jan_Period_2_Tbl[[#All],[STAFF:]],$A44,Jan_Period_2_Tbl[[#All],[$ CLASS PAY]])+
SUMIF(Feb_Period_2_Tbl[[#All],[STAFF:]],$A44,Feb_Period_2_Tbl[[#All],[$ CLASS PAY]])+SUMIF(Mar_Period_2_Tbl[[#All],[STAFF:]],$A44,Mar_Period_2_Tbl[[#All],[$ CLASS PAY]])+SUMIF(Apr_Period_2_Tbl[[#All],[STAFF:]],$A44,Apr_Period_2_Tbl[[#All],[$ CLASS PAY]])+   SUMIF(May_Period_2_Tbl[[#All],[STAFF:]],$A44,May_Period_2_Tbl[[#All],[$ CLASS PAY]])+   SUMIF(Jun_Period_2_Tbl[[#All],[STAFF:]],$A44,Jun_Period_2_Tbl[[#All],[$ CLASS PAY]])+  SUMIF(Jul_Period_2_Tbl[[#All],[STAFF:]],$A44,Jul_Period_2_Tbl[[#All],[$ CLASS PAY]])+  SUMIF(Aug_Period_2_Tbl[[#All],[STAFF:]],$A44,Aug_Period_2_Tbl[[#All],[$ CLASS PAY]])+  SUMIF(Sep_Period_2_Tbl[[#All],[STAFF:]],$A44,Sep_Period_2_Tbl[[#All],[$ CLASS PAY]])+  SUMIF(Oct_Period_2_Tbl[[#All],[STAFF:]],$A44,Oct_Period_2_Tbl[[#All],[$ CLASS PAY]])+     SUMIF(Nov_Period_2_Tbl[[#All],[STAFF:]],$A44,Nov_Period_2_Tbl[[#All],[$ CLASS PAY]])+  SUMIF(Dec_Period_2_Tbl[[#All],[STAFF:]],$A44,Dec_Period_2_Tbl[[#All],[$ CLASS PAY]]))</f>
        <v>0</v>
      </c>
      <c r="O44" s="191">
        <f>(SUMIF(Jan_Period_1_Tbl[[#All],[STAFF:]],$A44,Jan_Period_1_Tbl[[#All],[$ BONUS PAY]])+
SUMIF(Feb_Period_1_Tbl[[#All],[STAFF:]],$A44,Feb_Period_1_Tbl[[#All],[$ BONUS PAY]])+SUMIF(Mar_Period_1_Tbl[[#All],[STAFF:]],$A44,Mar_Period_1_Tbl[[#All],[$ BONUS PAY]])+SUMIF(Apr_Period_1_Tbl[[#All],[STAFF:]],$A44,Apr_Period_1_Tbl[[#All],[$ BONUS PAY]])+   SUMIF(May_Period_1_Tbl[[#All],[STAFF:]],$A44,May_Period_1_Tbl[[#All],[$ BONUS PAY]])+   SUMIF(Jun_Period_1_Tbl[[#All],[STAFF:]],$A44,Jun_Period_1_Tbl[[#All],[$ BONUS PAY]])+  SUMIF(Jul_Period_1_Tbl[[#All],[STAFF:]],$A44,Jul_Period_1_Tbl[[#All],[$ BONUS PAY]])+  SUMIF(Aug_Period_1_Tbl[[#All],[STAFF:]],$A44,Aug_Period_1_Tbl[[#All],[$ BONUS PAY]])+  SUMIF(Sep_Period_1_Tbl[[#All],[STAFF:]],$A44,Sep_Period_1_Tbl[[#All],[$ BONUS PAY]])+  SUMIF(Oct_Period_1_Tbl[[#All],[STAFF:]],$A44,Oct_Period_1_Tbl[[#All],[$ BONUS PAY]])+     SUMIF(Nov_Period_1_Tbl[[#All],[STAFF:]],$A44,Nov_Period_1_Tbl[[#All],[$ BONUS PAY]])+  SUMIF(Dec_Period_1_Tbl[[#All],[STAFF:]],$A44,Dec_Period_1_Tbl[[#All],[$ BONUS PAY]]))+   (SUMIF(Jan_Period_2_Tbl[[#All],[STAFF:]],$A44,Jan_Period_2_Tbl[[#All],[$ BONUS PAY]])+
SUMIF(Feb_Period_2_Tbl[[#All],[STAFF:]],$A44,Feb_Period_2_Tbl[[#All],[$ BONUS PAY]])+SUMIF(Mar_Period_2_Tbl[[#All],[STAFF:]],$A44,Mar_Period_2_Tbl[[#All],[$ BONUS PAY]])+SUMIF(Apr_Period_2_Tbl[[#All],[STAFF:]],$A44,Apr_Period_2_Tbl[[#All],[$ BONUS PAY]])+   SUMIF(May_Period_2_Tbl[[#All],[STAFF:]],$A44,May_Period_2_Tbl[[#All],[$ BONUS PAY]])+   SUMIF(Jun_Period_2_Tbl[[#All],[STAFF:]],$A44,Jun_Period_2_Tbl[[#All],[$ BONUS PAY]])+  SUMIF(Jul_Period_2_Tbl[[#All],[STAFF:]],$A44,Jul_Period_2_Tbl[[#All],[$ BONUS PAY]])+  SUMIF(Aug_Period_2_Tbl[[#All],[STAFF:]],$A44,Aug_Period_2_Tbl[[#All],[$ BONUS PAY]])+  SUMIF(Sep_Period_2_Tbl[[#All],[STAFF:]],$A44,Sep_Period_2_Tbl[[#All],[$ BONUS PAY]])+  SUMIF(Oct_Period_2_Tbl[[#All],[STAFF:]],$A44,Oct_Period_2_Tbl[[#All],[$ BONUS PAY]])+     SUMIF(Nov_Period_2_Tbl[[#All],[STAFF:]],$A44,Nov_Period_2_Tbl[[#All],[$ BONUS PAY]])+  SUMIF(Dec_Period_2_Tbl[[#All],[STAFF:]],$A44,Dec_Period_2_Tbl[[#All],[$ BONUS PAY]]))</f>
        <v>0</v>
      </c>
      <c r="P44" s="179">
        <f t="shared" si="9"/>
        <v>0</v>
      </c>
      <c r="Q44" s="149"/>
      <c r="R44" s="152">
        <f>(SUMIF(Jan_Period_1_Tbl[[#All],[STAFF:]],$A44,Jan_Period_1_Tbl[[#All],['# POINTS EARNED]])+
SUMIF(Feb_Period_1_Tbl[[#All],[STAFF:]],$A44,Feb_Period_1_Tbl[[#All],['# POINTS EARNED]])+SUMIF(Mar_Period_1_Tbl[[#All],[STAFF:]],$A44,Mar_Period_1_Tbl[[#All],['# POINTS EARNED]])+SUMIF(Apr_Period_1_Tbl[[#All],[STAFF:]],$A44,Apr_Period_1_Tbl[[#All],['# POINTS EARNED]])+   SUMIF(May_Period_1_Tbl[[#All],[STAFF:]],$A44,May_Period_1_Tbl[[#All],['# POINTS EARNED]])+   SUMIF(Jun_Period_1_Tbl[[#All],[STAFF:]],$A44,Jun_Period_1_Tbl[[#All],['# POINTS EARNED]])+  SUMIF(Jul_Period_1_Tbl[[#All],[STAFF:]],$A44,Jul_Period_1_Tbl[[#All],['# POINTS EARNED]])+  SUMIF(Aug_Period_1_Tbl[[#All],[STAFF:]],$A44,Aug_Period_1_Tbl[[#All],['# POINTS EARNED]])+  SUMIF(Sep_Period_1_Tbl[[#All],[STAFF:]],$A44,Sep_Period_1_Tbl[[#All],['# POINTS EARNED]])+  SUMIF(Oct_Period_1_Tbl[[#All],[STAFF:]],$A44,Oct_Period_1_Tbl[[#All],['# POINTS EARNED]])+     SUMIF(Nov_Period_1_Tbl[[#All],[STAFF:]],$A44,Nov_Period_1_Tbl[[#All],['# POINTS EARNED]])+  SUMIF(Dec_Period_1_Tbl[[#All],[STAFF:]],$A44,Dec_Period_1_Tbl[[#All],['# POINTS EARNED]]))+   (SUMIF(Jan_Period_2_Tbl[[#All],[STAFF:]],$A44,Jan_Period_2_Tbl[[#All],['# POINTS EARNED]])+
SUMIF(Feb_Period_2_Tbl[[#All],[STAFF:]],$A44,Feb_Period_2_Tbl[[#All],['# POINTS EARNED]])+SUMIF(Mar_Period_2_Tbl[[#All],[STAFF:]],$A44,Mar_Period_2_Tbl[[#All],['# POINTS EARNED]])+SUMIF(Apr_Period_2_Tbl[[#All],[STAFF:]],$A44,Apr_Period_2_Tbl[[#All],['# POINTS EARNED]])+   SUMIF(May_Period_2_Tbl[[#All],[STAFF:]],$A44,May_Period_2_Tbl[[#All],['# POINTS EARNED]])+   SUMIF(Jun_Period_2_Tbl[[#All],[STAFF:]],$A44,Jun_Period_2_Tbl[[#All],['# POINTS EARNED]])+  SUMIF(Jul_Period_2_Tbl[[#All],[STAFF:]],$A44,Jul_Period_2_Tbl[[#All],['# POINTS EARNED]])+  SUMIF(Aug_Period_2_Tbl[[#All],[STAFF:]],$A44,Aug_Period_2_Tbl[[#All],['# POINTS EARNED]])+  SUMIF(Sep_Period_2_Tbl[[#All],[STAFF:]],$A44,Sep_Period_2_Tbl[[#All],['# POINTS EARNED]])+  SUMIF(Oct_Period_2_Tbl[[#All],[STAFF:]],$A44,Oct_Period_2_Tbl[[#All],['# POINTS EARNED]])+     SUMIF(Nov_Period_2_Tbl[[#All],[STAFF:]],$A44,Nov_Period_2_Tbl[[#All],['# POINTS EARNED]])+  SUMIF(Dec_Period_2_Tbl[[#All],[STAFF:]],$A44,Dec_Period_2_Tbl[[#All],['# POINTS EARNED]]))</f>
        <v>0</v>
      </c>
      <c r="S44" s="152">
        <f>(SUMIF(Jan_Period_1_Tbl[[#All],[STAFF:]],$A44,Jan_Period_1_Tbl[[#All],['# POINTS USED]])+
SUMIF(Feb_Period_1_Tbl[[#All],[STAFF:]],$A44,Feb_Period_1_Tbl[[#All],['# POINTS USED]])+SUMIF(Mar_Period_1_Tbl[[#All],[STAFF:]],$A44,Mar_Period_1_Tbl[[#All],['# POINTS USED]])+SUMIF(Apr_Period_1_Tbl[[#All],[STAFF:]],$A44,Apr_Period_1_Tbl[[#All],['# POINTS USED]])+   SUMIF(May_Period_1_Tbl[[#All],[STAFF:]],$A44,May_Period_1_Tbl[[#All],['# POINTS USED]])+   SUMIF(Jun_Period_1_Tbl[[#All],[STAFF:]],$A44,Jun_Period_1_Tbl[[#All],['# POINTS USED]])+  SUMIF(Jul_Period_1_Tbl[[#All],[STAFF:]],$A44,Jul_Period_1_Tbl[[#All],['# POINTS USED]])+  SUMIF(Aug_Period_1_Tbl[[#All],[STAFF:]],$A44,Aug_Period_1_Tbl[[#All],['# POINTS USED]])+  SUMIF(Sep_Period_1_Tbl[[#All],[STAFF:]],$A44,Sep_Period_1_Tbl[[#All],['# POINTS USED]])+  SUMIF(Oct_Period_1_Tbl[[#All],[STAFF:]],$A44,Oct_Period_1_Tbl[[#All],['# POINTS USED]])+     SUMIF(Nov_Period_1_Tbl[[#All],[STAFF:]],$A44,Nov_Period_1_Tbl[[#All],['# POINTS USED]])+  SUMIF(Dec_Period_1_Tbl[[#All],[STAFF:]],$A44,Dec_Period_1_Tbl[[#All],['# POINTS USED]]))+   (SUMIF(Jan_Period_2_Tbl[[#All],[STAFF:]],$A44,Jan_Period_2_Tbl[[#All],['# POINTS USED]])+
SUMIF(Feb_Period_2_Tbl[[#All],[STAFF:]],$A44,Feb_Period_2_Tbl[[#All],['# POINTS USED]])+SUMIF(Mar_Period_2_Tbl[[#All],[STAFF:]],$A44,Mar_Period_2_Tbl[[#All],['# POINTS USED]])+SUMIF(Apr_Period_2_Tbl[[#All],[STAFF:]],$A44,Apr_Period_2_Tbl[[#All],['# POINTS USED]])+   SUMIF(May_Period_2_Tbl[[#All],[STAFF:]],$A44,May_Period_2_Tbl[[#All],['# POINTS USED]])+   SUMIF(Jun_Period_2_Tbl[[#All],[STAFF:]],$A44,Jun_Period_2_Tbl[[#All],['# POINTS USED]])+  SUMIF(Jul_Period_2_Tbl[[#All],[STAFF:]],$A44,Jul_Period_2_Tbl[[#All],['# POINTS USED]])+  SUMIF(Aug_Period_2_Tbl[[#All],[STAFF:]],$A44,Aug_Period_2_Tbl[[#All],['# POINTS USED]])+  SUMIF(Sep_Period_2_Tbl[[#All],[STAFF:]],$A44,Sep_Period_2_Tbl[[#All],['# POINTS USED]])+  SUMIF(Oct_Period_2_Tbl[[#All],[STAFF:]],$A44,Oct_Period_2_Tbl[[#All],['# POINTS USED]])+     SUMIF(Nov_Period_2_Tbl[[#All],[STAFF:]],$A44,Nov_Period_2_Tbl[[#All],['# POINTS USED]])+  SUMIF(Dec_Period_2_Tbl[[#All],[STAFF:]],$A44,Dec_Period_2_Tbl[[#All],['# POINTS USED]]))</f>
        <v>0</v>
      </c>
      <c r="T44" s="152">
        <f>(SUMIF(Jan_Period_1_Tbl[[#All],[STAFF:]],$A44,Jan_Period_1_Tbl[[#All],['# CLASSES LEAD]])+
SUMIF(Feb_Period_1_Tbl[[#All],[STAFF:]],$A44,Feb_Period_1_Tbl[[#All],['# CLASSES LEAD]])+SUMIF(Mar_Period_1_Tbl[[#All],[STAFF:]],$A44,Mar_Period_1_Tbl[[#All],['# CLASSES LEAD]])+SUMIF(Apr_Period_1_Tbl[[#All],[STAFF:]],$A44,Apr_Period_1_Tbl[[#All],['# CLASSES LEAD]])+   SUMIF(May_Period_1_Tbl[[#All],[STAFF:]],$A44,May_Period_1_Tbl[[#All],['# CLASSES LEAD]])+   SUMIF(Jun_Period_1_Tbl[[#All],[STAFF:]],$A44,Jun_Period_1_Tbl[[#All],['# CLASSES LEAD]])+  SUMIF(Jul_Period_1_Tbl[[#All],[STAFF:]],$A44,Jul_Period_1_Tbl[[#All],['# CLASSES LEAD]])+  SUMIF(Aug_Period_1_Tbl[[#All],[STAFF:]],$A44,Aug_Period_1_Tbl[[#All],['# CLASSES LEAD]])+  SUMIF(Sep_Period_1_Tbl[[#All],[STAFF:]],$A44,Sep_Period_1_Tbl[[#All],['# CLASSES LEAD]])+  SUMIF(Oct_Period_1_Tbl[[#All],[STAFF:]],$A44,Oct_Period_1_Tbl[[#All],['# CLASSES LEAD]])+     SUMIF(Nov_Period_1_Tbl[[#All],[STAFF:]],$A44,Nov_Period_1_Tbl[[#All],['# CLASSES LEAD]])+  SUMIF(Dec_Period_1_Tbl[[#All],[STAFF:]],$A44,Dec_Period_1_Tbl[[#All],['# CLASSES LEAD]]))+   (SUMIF(Jan_Period_2_Tbl[[#All],[STAFF:]],$A44,Jan_Period_2_Tbl[[#All],['# CLASSES LEAD]])+
SUMIF(Feb_Period_2_Tbl[[#All],[STAFF:]],$A44,Feb_Period_2_Tbl[[#All],['# CLASSES LEAD]])+SUMIF(Mar_Period_2_Tbl[[#All],[STAFF:]],$A44,Mar_Period_2_Tbl[[#All],['# CLASSES LEAD]])+SUMIF(Apr_Period_2_Tbl[[#All],[STAFF:]],$A44,Apr_Period_2_Tbl[[#All],['# CLASSES LEAD]])+   SUMIF(May_Period_2_Tbl[[#All],[STAFF:]],$A44,May_Period_2_Tbl[[#All],['# CLASSES LEAD]])+   SUMIF(Jun_Period_2_Tbl[[#All],[STAFF:]],$A44,Jun_Period_2_Tbl[[#All],['# CLASSES LEAD]])+  SUMIF(Jul_Period_2_Tbl[[#All],[STAFF:]],$A44,Jul_Period_2_Tbl[[#All],['# CLASSES LEAD]])+  SUMIF(Aug_Period_2_Tbl[[#All],[STAFF:]],$A44,Aug_Period_2_Tbl[[#All],['# CLASSES LEAD]])+  SUMIF(Sep_Period_2_Tbl[[#All],[STAFF:]],$A44,Sep_Period_2_Tbl[[#All],['# CLASSES LEAD]])+  SUMIF(Oct_Period_2_Tbl[[#All],[STAFF:]],$A44,Oct_Period_2_Tbl[[#All],['# CLASSES LEAD]])+     SUMIF(Nov_Period_2_Tbl[[#All],[STAFF:]],$A44,Nov_Period_2_Tbl[[#All],['# CLASSES LEAD]])+  SUMIF(Dec_Period_2_Tbl[[#All],[STAFF:]],$A44,Dec_Period_2_Tbl[[#All],['# CLASSES LEAD]]))</f>
        <v>0</v>
      </c>
      <c r="U44" s="152">
        <f>(SUMIF(Jan_Period_1_Tbl[[#All],[STAFF:]],$A44,Jan_Period_1_Tbl[[#All],['# CLASSES SHOW]])+
SUMIF(Feb_Period_1_Tbl[[#All],[STAFF:]],$A44,Feb_Period_1_Tbl[[#All],['# CLASSES SHOW]])+SUMIF(Mar_Period_1_Tbl[[#All],[STAFF:]],$A44,Mar_Period_1_Tbl[[#All],['# CLASSES SHOW]])+SUMIF(Apr_Period_1_Tbl[[#All],[STAFF:]],$A44,Apr_Period_1_Tbl[[#All],['# CLASSES SHOW]])+   SUMIF(May_Period_1_Tbl[[#All],[STAFF:]],$A44,May_Period_1_Tbl[[#All],['# CLASSES SHOW]])+   SUMIF(Jun_Period_1_Tbl[[#All],[STAFF:]],$A44,Jun_Period_1_Tbl[[#All],['# CLASSES SHOW]])+  SUMIF(Jul_Period_1_Tbl[[#All],[STAFF:]],$A44,Jul_Period_1_Tbl[[#All],['# CLASSES SHOW]])+  SUMIF(Aug_Period_1_Tbl[[#All],[STAFF:]],$A44,Aug_Period_1_Tbl[[#All],['# CLASSES SHOW]])+  SUMIF(Sep_Period_1_Tbl[[#All],[STAFF:]],$A44,Sep_Period_1_Tbl[[#All],['# CLASSES SHOW]])+  SUMIF(Oct_Period_1_Tbl[[#All],[STAFF:]],$A44,Oct_Period_1_Tbl[[#All],['# CLASSES SHOW]])+     SUMIF(Nov_Period_1_Tbl[[#All],[STAFF:]],$A44,Nov_Period_1_Tbl[[#All],['# CLASSES SHOW]])+  SUMIF(Dec_Period_1_Tbl[[#All],[STAFF:]],$A44,Dec_Period_1_Tbl[[#All],['# CLASSES SHOW]]))+   (SUMIF(Jan_Period_2_Tbl[[#All],[STAFF:]],$A44,Jan_Period_2_Tbl[[#All],['# CLASSES SHOW]])+
SUMIF(Feb_Period_2_Tbl[[#All],[STAFF:]],$A44,Feb_Period_2_Tbl[[#All],['# CLASSES SHOW]])+SUMIF(Mar_Period_2_Tbl[[#All],[STAFF:]],$A44,Mar_Period_2_Tbl[[#All],['# CLASSES SHOW]])+SUMIF(Apr_Period_2_Tbl[[#All],[STAFF:]],$A44,Apr_Period_2_Tbl[[#All],['# CLASSES SHOW]])+   SUMIF(May_Period_2_Tbl[[#All],[STAFF:]],$A44,May_Period_2_Tbl[[#All],['# CLASSES SHOW]])+   SUMIF(Jun_Period_2_Tbl[[#All],[STAFF:]],$A44,Jun_Period_2_Tbl[[#All],['# CLASSES SHOW]])+  SUMIF(Jul_Period_2_Tbl[[#All],[STAFF:]],$A44,Jul_Period_2_Tbl[[#All],['# CLASSES SHOW]])+  SUMIF(Aug_Period_2_Tbl[[#All],[STAFF:]],$A44,Aug_Period_2_Tbl[[#All],['# CLASSES SHOW]])+  SUMIF(Sep_Period_2_Tbl[[#All],[STAFF:]],$A44,Sep_Period_2_Tbl[[#All],['# CLASSES SHOW]])+  SUMIF(Oct_Period_2_Tbl[[#All],[STAFF:]],$A44,Oct_Period_2_Tbl[[#All],['# CLASSES SHOW]])+     SUMIF(Nov_Period_2_Tbl[[#All],[STAFF:]],$A44,Nov_Period_2_Tbl[[#All],['# CLASSES SHOW]])+  SUMIF(Dec_Period_2_Tbl[[#All],[STAFF:]],$A44,Dec_Period_2_Tbl[[#All],['# CLASSES SHOW]]))</f>
        <v>0</v>
      </c>
      <c r="V44" s="156"/>
      <c r="W44" s="156"/>
      <c r="X44" s="154">
        <f t="shared" si="10"/>
        <v>0</v>
      </c>
      <c r="Y44" s="154">
        <f t="shared" si="11"/>
        <v>0</v>
      </c>
      <c r="Z44" s="154">
        <f t="shared" si="12"/>
        <v>0</v>
      </c>
      <c r="AA44" s="154">
        <f t="shared" si="13"/>
        <v>0</v>
      </c>
      <c r="AB44" s="154">
        <f t="shared" si="14"/>
        <v>0</v>
      </c>
      <c r="AC44" s="154">
        <f t="shared" si="15"/>
        <v>0</v>
      </c>
      <c r="AD44" s="154">
        <f t="shared" si="16"/>
        <v>0</v>
      </c>
      <c r="AE44" s="149"/>
      <c r="AF44" s="149"/>
      <c r="AG44" s="149"/>
      <c r="AH44" s="149"/>
      <c r="AJ44" s="75" t="str">
        <f t="shared" si="17"/>
        <v>zBlank</v>
      </c>
      <c r="AK44" s="210"/>
      <c r="AL44" s="168">
        <f>IFERROR(VLOOKUP(B44,List!$A:$B,2,FALSE),-1)</f>
        <v>-1</v>
      </c>
      <c r="AM44" s="168">
        <f>IFERROR(VLOOKUP(C44,List!$A:$B,2,FALSE),-1)</f>
        <v>-1</v>
      </c>
    </row>
    <row r="45" spans="1:39" ht="15" hidden="1" customHeight="1" x14ac:dyDescent="0.25">
      <c r="A45" s="20"/>
      <c r="B45" s="186"/>
      <c r="C45" s="186"/>
      <c r="D45" s="187"/>
      <c r="E45" s="188">
        <f>(SUMIF(Jan_Period_1_Tbl[[#All],[STAFF:]],$A45,Jan_Period_1_Tbl[[#All],['# PTO USED]])+
SUMIF(Feb_Period_1_Tbl[[#All],[STAFF:]],$A45,Feb_Period_1_Tbl[[#All],['# PTO USED]])+SUMIF(Mar_Period_1_Tbl[[#All],[STAFF:]],$A45,Mar_Period_1_Tbl[[#All],['# PTO USED]])+SUMIF(Apr_Period_1_Tbl[[#All],[STAFF:]],$A45,Apr_Period_1_Tbl[[#All],['# PTO USED]])+   SUMIF(May_Period_1_Tbl[[#All],[STAFF:]],$A45,May_Period_1_Tbl[[#All],['# PTO USED]])+   SUMIF(Jun_Period_1_Tbl[[#All],[STAFF:]],$A45,Jun_Period_1_Tbl[[#All],['# PTO USED]])+  SUMIF(Jul_Period_1_Tbl[[#All],[STAFF:]],$A45,Jul_Period_1_Tbl[[#All],['# PTO USED]])+  SUMIF(Aug_Period_1_Tbl[[#All],[STAFF:]],$A45,Aug_Period_1_Tbl[[#All],['# PTO USED]])+  SUMIF(Sep_Period_1_Tbl[[#All],[STAFF:]],$A45,Sep_Period_1_Tbl[[#All],['# PTO USED]])+  SUMIF(Oct_Period_1_Tbl[[#All],[STAFF:]],$A45,Oct_Period_1_Tbl[[#All],['# PTO USED]])+     SUMIF(Nov_Period_1_Tbl[[#All],[STAFF:]],$A45,Nov_Period_1_Tbl[[#All],['# PTO USED]])+  SUMIF(Dec_Period_1_Tbl[[#All],[STAFF:]],$A45,Dec_Period_1_Tbl[[#All],['# PTO USED]]))+   (SUMIF(Jan_Period_2_Tbl[[#All],[STAFF:]],$A45,Jan_Period_2_Tbl[[#All],['# PTO USED]])+
SUMIF(Feb_Period_2_Tbl[[#All],[STAFF:]],$A45,Feb_Period_2_Tbl[[#All],['# PTO USED]])+SUMIF(Mar_Period_2_Tbl[[#All],[STAFF:]],$A45,Mar_Period_2_Tbl[[#All],['# PTO USED]])+SUMIF(Apr_Period_2_Tbl[[#All],[STAFF:]],$A45,Apr_Period_2_Tbl[[#All],['# PTO USED]])+   SUMIF(May_Period_2_Tbl[[#All],[STAFF:]],$A45,May_Period_2_Tbl[[#All],['# PTO USED]])+   SUMIF(Jun_Period_2_Tbl[[#All],[STAFF:]],$A45,Jun_Period_2_Tbl[[#All],['# PTO USED]])+  SUMIF(Jul_Period_2_Tbl[[#All],[STAFF:]],$A45,Jul_Period_2_Tbl[[#All],['# PTO USED]])+  SUMIF(Aug_Period_2_Tbl[[#All],[STAFF:]],$A45,Aug_Period_2_Tbl[[#All],['# PTO USED]])+  SUMIF(Sep_Period_2_Tbl[[#All],[STAFF:]],$A45,Sep_Period_2_Tbl[[#All],['# PTO USED]])+  SUMIF(Oct_Period_2_Tbl[[#All],[STAFF:]],$A45,Oct_Period_2_Tbl[[#All],['# PTO USED]])+     SUMIF(Nov_Period_2_Tbl[[#All],[STAFF:]],$A45,Nov_Period_2_Tbl[[#All],['# PTO USED]])+  SUMIF(Dec_Period_2_Tbl[[#All],[STAFF:]],$A45,Dec_Period_2_Tbl[[#All],['# PTO USED]]))</f>
        <v>0</v>
      </c>
      <c r="F45" s="189">
        <f>(SUMIF(Jan_Period_1_Tbl[[#All],[STAFF:]],$A45,Jan_Period_1_Tbl[[#All],['# HRS WORKED]])+
SUMIF(Feb_Period_1_Tbl[[#All],[STAFF:]],$A45,Feb_Period_1_Tbl[[#All],['# HRS WORKED]])+SUMIF(Mar_Period_1_Tbl[[#All],[STAFF:]],$A45,Mar_Period_1_Tbl[[#All],['# HRS WORKED]])+SUMIF(Apr_Period_1_Tbl[[#All],[STAFF:]],$A45,Apr_Period_1_Tbl[[#All],['# HRS WORKED]])+   SUMIF(May_Period_1_Tbl[[#All],[STAFF:]],$A45,May_Period_1_Tbl[[#All],['# HRS WORKED]])+   SUMIF(Jun_Period_1_Tbl[[#All],[STAFF:]],$A45,Jun_Period_1_Tbl[[#All],['# HRS WORKED]])+  SUMIF(Jul_Period_1_Tbl[[#All],[STAFF:]],$A45,Jul_Period_1_Tbl[[#All],['# HRS WORKED]])+  SUMIF(Aug_Period_1_Tbl[[#All],[STAFF:]],$A45,Aug_Period_1_Tbl[[#All],['# HRS WORKED]])+  SUMIF(Sep_Period_1_Tbl[[#All],[STAFF:]],$A45,Sep_Period_1_Tbl[[#All],['# HRS WORKED]])+  SUMIF(Oct_Period_1_Tbl[[#All],[STAFF:]],$A45,Oct_Period_1_Tbl[[#All],['# HRS WORKED]])+     SUMIF(Nov_Period_1_Tbl[[#All],[STAFF:]],$A45,Nov_Period_1_Tbl[[#All],['# HRS WORKED]])+  SUMIF(Dec_Period_1_Tbl[[#All],[STAFF:]],$A45,Dec_Period_1_Tbl[[#All],['# HRS WORKED]]))+   (SUMIF(Jan_Period_2_Tbl[[#All],[STAFF:]],$A45,Jan_Period_2_Tbl[[#All],['# HRS WORKED]])+
SUMIF(Feb_Period_2_Tbl[[#All],[STAFF:]],$A45,Feb_Period_2_Tbl[[#All],['# HRS WORKED]])+SUMIF(Mar_Period_2_Tbl[[#All],[STAFF:]],$A45,Mar_Period_2_Tbl[[#All],['# HRS WORKED]])+SUMIF(Apr_Period_2_Tbl[[#All],[STAFF:]],$A45,Apr_Period_2_Tbl[[#All],['# HRS WORKED]])+   SUMIF(May_Period_2_Tbl[[#All],[STAFF:]],$A45,May_Period_2_Tbl[[#All],['# HRS WORKED]])+   SUMIF(Jun_Period_2_Tbl[[#All],[STAFF:]],$A45,Jun_Period_2_Tbl[[#All],['# HRS WORKED]])+  SUMIF(Jul_Period_2_Tbl[[#All],[STAFF:]],$A45,Jul_Period_2_Tbl[[#All],['# HRS WORKED]])+  SUMIF(Aug_Period_2_Tbl[[#All],[STAFF:]],$A45,Aug_Period_2_Tbl[[#All],['# HRS WORKED]])+  SUMIF(Sep_Period_2_Tbl[[#All],[STAFF:]],$A45,Sep_Period_2_Tbl[[#All],['# HRS WORKED]])+  SUMIF(Oct_Period_2_Tbl[[#All],[STAFF:]],$A45,Oct_Period_2_Tbl[[#All],['# HRS WORKED]])+     SUMIF(Nov_Period_2_Tbl[[#All],[STAFF:]],$A45,Nov_Period_2_Tbl[[#All],['# HRS WORKED]])+  SUMIF(Dec_Period_2_Tbl[[#All],[STAFF:]],$A45,Dec_Period_2_Tbl[[#All],['# HRS WORKED]]))</f>
        <v>0</v>
      </c>
      <c r="G45" s="190">
        <f>(SUMIF(Jan_Period_1_Tbl[[#All],[STAFF:]],$A45,Jan_Period_1_Tbl[[#All],[$ Hourly WAGES]])+
SUMIF(Feb_Period_1_Tbl[[#All],[STAFF:]],$A45,Feb_Period_1_Tbl[[#All],[$ Hourly WAGES]])+SUMIF(Mar_Period_1_Tbl[[#All],[STAFF:]],$A45,Mar_Period_1_Tbl[[#All],[$ Hourly WAGES]])+SUMIF(Apr_Period_1_Tbl[[#All],[STAFF:]],$A45,Apr_Period_1_Tbl[[#All],[$ Hourly WAGES]])+   SUMIF(May_Period_1_Tbl[[#All],[STAFF:]],$A45,May_Period_1_Tbl[[#All],[$ Hourly WAGES]])+   SUMIF(Jun_Period_1_Tbl[[#All],[STAFF:]],$A45,Jun_Period_1_Tbl[[#All],[$ Hourly WAGES]])+  SUMIF(Jul_Period_1_Tbl[[#All],[STAFF:]],$A45,Jul_Period_1_Tbl[[#All],[$ Hourly WAGES]])+  SUMIF(Aug_Period_1_Tbl[[#All],[STAFF:]],$A45,Aug_Period_1_Tbl[[#All],[$ Hourly WAGES]])+  SUMIF(Sep_Period_1_Tbl[[#All],[STAFF:]],$A45,Sep_Period_1_Tbl[[#All],[$ Hourly WAGES]])+  SUMIF(Oct_Period_1_Tbl[[#All],[STAFF:]],$A45,Oct_Period_1_Tbl[[#All],[$ Hourly WAGES]])+     SUMIF(Nov_Period_1_Tbl[[#All],[STAFF:]],$A45,Nov_Period_1_Tbl[[#All],[$ Hourly WAGES]])+  SUMIF(Dec_Period_1_Tbl[[#All],[STAFF:]],$A45,Dec_Period_1_Tbl[[#All],[$ Hourly WAGES]]))+   (SUMIF(Jan_Period_2_Tbl[[#All],[STAFF:]],$A45,Jan_Period_2_Tbl[[#All],[$ Hourly WAGES]])+
SUMIF(Feb_Period_2_Tbl[[#All],[STAFF:]],$A45,Feb_Period_2_Tbl[[#All],[$ Hourly WAGES]])+SUMIF(Mar_Period_2_Tbl[[#All],[STAFF:]],$A45,Mar_Period_2_Tbl[[#All],[$ Hourly WAGES]])+SUMIF(Apr_Period_2_Tbl[[#All],[STAFF:]],$A45,Apr_Period_2_Tbl[[#All],[$ Hourly WAGES]])+   SUMIF(May_Period_2_Tbl[[#All],[STAFF:]],$A45,May_Period_2_Tbl[[#All],[$ Hourly WAGES]])+   SUMIF(Jun_Period_2_Tbl[[#All],[STAFF:]],$A45,Jun_Period_2_Tbl[[#All],[$ Hourly WAGES]])+  SUMIF(Jul_Period_2_Tbl[[#All],[STAFF:]],$A45,Jul_Period_2_Tbl[[#All],[$ Hourly WAGES]])+  SUMIF(Aug_Period_2_Tbl[[#All],[STAFF:]],$A45,Aug_Period_2_Tbl[[#All],[$ Hourly WAGES]])+  SUMIF(Sep_Period_2_Tbl[[#All],[STAFF:]],$A45,Sep_Period_2_Tbl[[#All],[$ Hourly WAGES]])+  SUMIF(Oct_Period_2_Tbl[[#All],[STAFF:]],$A45,Oct_Period_2_Tbl[[#All],[$ Hourly WAGES]])+     SUMIF(Nov_Period_2_Tbl[[#All],[STAFF:]],$A45,Nov_Period_2_Tbl[[#All],[$ Hourly WAGES]])+  SUMIF(Dec_Period_2_Tbl[[#All],[STAFF:]],$A45,Dec_Period_2_Tbl[[#All],[$ Hourly WAGES]]))</f>
        <v>0</v>
      </c>
      <c r="H45" s="190">
        <f>(SUMIF(Jan_Period_1_Tbl[[#All],[STAFF:]],$A45,Jan_Period_1_Tbl[[#All],[$ SALARY]])+
SUMIF(Feb_Period_1_Tbl[[#All],[STAFF:]],$A45,Feb_Period_1_Tbl[[#All],[$ SALARY]])+SUMIF(Mar_Period_1_Tbl[[#All],[STAFF:]],$A45,Mar_Period_1_Tbl[[#All],[$ SALARY]])+SUMIF(Apr_Period_1_Tbl[[#All],[STAFF:]],$A45,Apr_Period_1_Tbl[[#All],[$ SALARY]])+   SUMIF(May_Period_1_Tbl[[#All],[STAFF:]],$A45,May_Period_1_Tbl[[#All],[$ SALARY]])+   SUMIF(Jun_Period_1_Tbl[[#All],[STAFF:]],$A45,Jun_Period_1_Tbl[[#All],[$ SALARY]])+  SUMIF(Jul_Period_1_Tbl[[#All],[STAFF:]],$A45,Jul_Period_1_Tbl[[#All],[$ SALARY]])+  SUMIF(Aug_Period_1_Tbl[[#All],[STAFF:]],$A45,Aug_Period_1_Tbl[[#All],[$ SALARY]])+  SUMIF(Sep_Period_1_Tbl[[#All],[STAFF:]],$A45,Sep_Period_1_Tbl[[#All],[$ SALARY]])+  SUMIF(Oct_Period_1_Tbl[[#All],[STAFF:]],$A45,Oct_Period_1_Tbl[[#All],[$ SALARY]])+     SUMIF(Nov_Period_1_Tbl[[#All],[STAFF:]],$A45,Nov_Period_1_Tbl[[#All],[$ SALARY]])+  SUMIF(Dec_Period_1_Tbl[[#All],[STAFF:]],$A45,Dec_Period_1_Tbl[[#All],[$ SALARY]]))+   (SUMIF(Jan_Period_2_Tbl[[#All],[STAFF:]],$A45,Jan_Period_2_Tbl[[#All],[$ SALARY]])+
SUMIF(Feb_Period_2_Tbl[[#All],[STAFF:]],$A45,Feb_Period_2_Tbl[[#All],[$ SALARY]])+SUMIF(Mar_Period_2_Tbl[[#All],[STAFF:]],$A45,Mar_Period_2_Tbl[[#All],[$ SALARY]])+SUMIF(Apr_Period_2_Tbl[[#All],[STAFF:]],$A45,Apr_Period_2_Tbl[[#All],[$ SALARY]])+   SUMIF(May_Period_2_Tbl[[#All],[STAFF:]],$A45,May_Period_2_Tbl[[#All],[$ SALARY]])+   SUMIF(Jun_Period_2_Tbl[[#All],[STAFF:]],$A45,Jun_Period_2_Tbl[[#All],[$ SALARY]])+  SUMIF(Jul_Period_2_Tbl[[#All],[STAFF:]],$A45,Jul_Period_2_Tbl[[#All],[$ SALARY]])+  SUMIF(Aug_Period_2_Tbl[[#All],[STAFF:]],$A45,Aug_Period_2_Tbl[[#All],[$ SALARY]])+  SUMIF(Sep_Period_2_Tbl[[#All],[STAFF:]],$A45,Sep_Period_2_Tbl[[#All],[$ SALARY]])+  SUMIF(Oct_Period_2_Tbl[[#All],[STAFF:]],$A45,Oct_Period_2_Tbl[[#All],[$ SALARY]])+     SUMIF(Nov_Period_2_Tbl[[#All],[STAFF:]],$A45,Nov_Period_2_Tbl[[#All],[$ SALARY]])+  SUMIF(Dec_Period_2_Tbl[[#All],[STAFF:]],$A45,Dec_Period_2_Tbl[[#All],[$ SALARY]]))</f>
        <v>0</v>
      </c>
      <c r="I45" s="190">
        <f>(SUMIF(Jan_Period_1_Tbl[[#All],[STAFF:]],$A45,Jan_Period_1_Tbl[[#All],[$ SALARY PT]])+
SUMIF(Feb_Period_1_Tbl[[#All],[STAFF:]],$A45,Feb_Period_1_Tbl[[#All],[$ SALARY PT]])+SUMIF(Mar_Period_1_Tbl[[#All],[STAFF:]],$A45,Mar_Period_1_Tbl[[#All],[$ SALARY PT]])+SUMIF(Apr_Period_1_Tbl[[#All],[STAFF:]],$A45,Apr_Period_1_Tbl[[#All],[$ SALARY PT]])+   SUMIF(May_Period_1_Tbl[[#All],[STAFF:]],$A45,May_Period_1_Tbl[[#All],[$ SALARY PT]])+   SUMIF(Jun_Period_1_Tbl[[#All],[STAFF:]],$A45,Jun_Period_1_Tbl[[#All],[$ SALARY PT]])+  SUMIF(Jul_Period_1_Tbl[[#All],[STAFF:]],$A45,Jul_Period_1_Tbl[[#All],[$ SALARY PT]])+  SUMIF(Aug_Period_1_Tbl[[#All],[STAFF:]],$A45,Aug_Period_1_Tbl[[#All],[$ SALARY PT]])+  SUMIF(Sep_Period_1_Tbl[[#All],[STAFF:]],$A45,Sep_Period_1_Tbl[[#All],[$ SALARY PT]])+  SUMIF(Oct_Period_1_Tbl[[#All],[STAFF:]],$A45,Oct_Period_1_Tbl[[#All],[$ SALARY PT]])+     SUMIF(Nov_Period_1_Tbl[[#All],[STAFF:]],$A45,Nov_Period_1_Tbl[[#All],[$ SALARY PT]])+  SUMIF(Dec_Period_1_Tbl[[#All],[STAFF:]],$A45,Dec_Period_1_Tbl[[#All],[$ SALARY PT]]))+   (SUMIF(Jan_Period_2_Tbl[[#All],[STAFF:]],$A45,Jan_Period_2_Tbl[[#All],[$ SALARY PT]])+
SUMIF(Feb_Period_2_Tbl[[#All],[STAFF:]],$A45,Feb_Period_2_Tbl[[#All],[$ SALARY PT]])+SUMIF(Mar_Period_2_Tbl[[#All],[STAFF:]],$A45,Mar_Period_2_Tbl[[#All],[$ SALARY PT]])+SUMIF(Apr_Period_2_Tbl[[#All],[STAFF:]],$A45,Apr_Period_2_Tbl[[#All],[$ SALARY PT]])+   SUMIF(May_Period_2_Tbl[[#All],[STAFF:]],$A45,May_Period_2_Tbl[[#All],[$ SALARY PT]])+   SUMIF(Jun_Period_2_Tbl[[#All],[STAFF:]],$A45,Jun_Period_2_Tbl[[#All],[$ SALARY PT]])+  SUMIF(Jul_Period_2_Tbl[[#All],[STAFF:]],$A45,Jul_Period_2_Tbl[[#All],[$ SALARY PT]])+  SUMIF(Aug_Period_2_Tbl[[#All],[STAFF:]],$A45,Aug_Period_2_Tbl[[#All],[$ SALARY PT]])+  SUMIF(Sep_Period_2_Tbl[[#All],[STAFF:]],$A45,Sep_Period_2_Tbl[[#All],[$ SALARY PT]])+  SUMIF(Oct_Period_2_Tbl[[#All],[STAFF:]],$A45,Oct_Period_2_Tbl[[#All],[$ SALARY PT]])+     SUMIF(Nov_Period_2_Tbl[[#All],[STAFF:]],$A45,Nov_Period_2_Tbl[[#All],[$ SALARY PT]])+  SUMIF(Dec_Period_2_Tbl[[#All],[STAFF:]],$A45,Dec_Period_2_Tbl[[#All],[$ SALARY PT]]))</f>
        <v>0</v>
      </c>
      <c r="J45" s="190">
        <f>(SUMIF(Jan_Period_1_Tbl[[#All],[STAFF:]],$A45,Jan_Period_1_Tbl[[#All],[$ FREE PT]])+
SUMIF(Feb_Period_1_Tbl[[#All],[STAFF:]],$A45,Feb_Period_1_Tbl[[#All],[$ FREE PT]])+SUMIF(Mar_Period_1_Tbl[[#All],[STAFF:]],$A45,Mar_Period_1_Tbl[[#All],[$ FREE PT]])+SUMIF(Apr_Period_1_Tbl[[#All],[STAFF:]],$A45,Apr_Period_1_Tbl[[#All],[$ FREE PT]])+   SUMIF(May_Period_1_Tbl[[#All],[STAFF:]],$A45,May_Period_1_Tbl[[#All],[$ FREE PT]])+   SUMIF(Jun_Period_1_Tbl[[#All],[STAFF:]],$A45,Jun_Period_1_Tbl[[#All],[$ FREE PT]])+  SUMIF(Jul_Period_1_Tbl[[#All],[STAFF:]],$A45,Jul_Period_1_Tbl[[#All],[$ FREE PT]])+  SUMIF(Aug_Period_1_Tbl[[#All],[STAFF:]],$A45,Aug_Period_1_Tbl[[#All],[$ FREE PT]])+  SUMIF(Sep_Period_1_Tbl[[#All],[STAFF:]],$A45,Sep_Period_1_Tbl[[#All],[$ FREE PT]])+  SUMIF(Oct_Period_1_Tbl[[#All],[STAFF:]],$A45,Oct_Period_1_Tbl[[#All],[$ FREE PT]])+     SUMIF(Nov_Period_1_Tbl[[#All],[STAFF:]],$A45,Nov_Period_1_Tbl[[#All],[$ FREE PT]])+  SUMIF(Dec_Period_1_Tbl[[#All],[STAFF:]],$A45,Dec_Period_1_Tbl[[#All],[$ FREE PT]]))+   (SUMIF(Jan_Period_2_Tbl[[#All],[STAFF:]],$A45,Jan_Period_2_Tbl[[#All],[$ FREE PT]])+
SUMIF(Feb_Period_2_Tbl[[#All],[STAFF:]],$A45,Feb_Period_2_Tbl[[#All],[$ FREE PT]])+SUMIF(Mar_Period_2_Tbl[[#All],[STAFF:]],$A45,Mar_Period_2_Tbl[[#All],[$ FREE PT]])+SUMIF(Apr_Period_2_Tbl[[#All],[STAFF:]],$A45,Apr_Period_2_Tbl[[#All],[$ FREE PT]])+   SUMIF(May_Period_2_Tbl[[#All],[STAFF:]],$A45,May_Period_2_Tbl[[#All],[$ FREE PT]])+   SUMIF(Jun_Period_2_Tbl[[#All],[STAFF:]],$A45,Jun_Period_2_Tbl[[#All],[$ FREE PT]])+  SUMIF(Jul_Period_2_Tbl[[#All],[STAFF:]],$A45,Jul_Period_2_Tbl[[#All],[$ FREE PT]])+  SUMIF(Aug_Period_2_Tbl[[#All],[STAFF:]],$A45,Aug_Period_2_Tbl[[#All],[$ FREE PT]])+  SUMIF(Sep_Period_2_Tbl[[#All],[STAFF:]],$A45,Sep_Period_2_Tbl[[#All],[$ FREE PT]])+  SUMIF(Oct_Period_2_Tbl[[#All],[STAFF:]],$A45,Oct_Period_2_Tbl[[#All],[$ FREE PT]])+     SUMIF(Nov_Period_2_Tbl[[#All],[STAFF:]],$A45,Nov_Period_2_Tbl[[#All],[$ FREE PT]])+  SUMIF(Dec_Period_2_Tbl[[#All],[STAFF:]],$A45,Dec_Period_2_Tbl[[#All],[$ FREE PT]]))</f>
        <v>0</v>
      </c>
      <c r="K45" s="190">
        <f>(SUMIF(Jan_Period_1_Tbl[[#All],[STAFF:]],$A45,Jan_Period_1_Tbl[[#All],[$ PAID PT]])+
SUMIF(Feb_Period_1_Tbl[[#All],[STAFF:]],$A45,Feb_Period_1_Tbl[[#All],[$ PAID PT]])+SUMIF(Mar_Period_1_Tbl[[#All],[STAFF:]],$A45,Mar_Period_1_Tbl[[#All],[$ PAID PT]])+SUMIF(Apr_Period_1_Tbl[[#All],[STAFF:]],$A45,Apr_Period_1_Tbl[[#All],[$ PAID PT]])+   SUMIF(May_Period_1_Tbl[[#All],[STAFF:]],$A45,May_Period_1_Tbl[[#All],[$ PAID PT]])+   SUMIF(Jun_Period_1_Tbl[[#All],[STAFF:]],$A45,Jun_Period_1_Tbl[[#All],[$ PAID PT]])+  SUMIF(Jul_Period_1_Tbl[[#All],[STAFF:]],$A45,Jul_Period_1_Tbl[[#All],[$ PAID PT]])+  SUMIF(Aug_Period_1_Tbl[[#All],[STAFF:]],$A45,Aug_Period_1_Tbl[[#All],[$ PAID PT]])+  SUMIF(Sep_Period_1_Tbl[[#All],[STAFF:]],$A45,Sep_Period_1_Tbl[[#All],[$ PAID PT]])+  SUMIF(Oct_Period_1_Tbl[[#All],[STAFF:]],$A45,Oct_Period_1_Tbl[[#All],[$ PAID PT]])+     SUMIF(Nov_Period_1_Tbl[[#All],[STAFF:]],$A45,Nov_Period_1_Tbl[[#All],[$ PAID PT]])+  SUMIF(Dec_Period_1_Tbl[[#All],[STAFF:]],$A45,Dec_Period_1_Tbl[[#All],[$ PAID PT]]))+   (SUMIF(Jan_Period_2_Tbl[[#All],[STAFF:]],$A45,Jan_Period_2_Tbl[[#All],[$ PAID PT]])+
SUMIF(Feb_Period_2_Tbl[[#All],[STAFF:]],$A45,Feb_Period_2_Tbl[[#All],[$ PAID PT]])+SUMIF(Mar_Period_2_Tbl[[#All],[STAFF:]],$A45,Mar_Period_2_Tbl[[#All],[$ PAID PT]])+SUMIF(Apr_Period_2_Tbl[[#All],[STAFF:]],$A45,Apr_Period_2_Tbl[[#All],[$ PAID PT]])+   SUMIF(May_Period_2_Tbl[[#All],[STAFF:]],$A45,May_Period_2_Tbl[[#All],[$ PAID PT]])+   SUMIF(Jun_Period_2_Tbl[[#All],[STAFF:]],$A45,Jun_Period_2_Tbl[[#All],[$ PAID PT]])+  SUMIF(Jul_Period_2_Tbl[[#All],[STAFF:]],$A45,Jul_Period_2_Tbl[[#All],[$ PAID PT]])+  SUMIF(Aug_Period_2_Tbl[[#All],[STAFF:]],$A45,Aug_Period_2_Tbl[[#All],[$ PAID PT]])+  SUMIF(Sep_Period_2_Tbl[[#All],[STAFF:]],$A45,Sep_Period_2_Tbl[[#All],[$ PAID PT]])+  SUMIF(Oct_Period_2_Tbl[[#All],[STAFF:]],$A45,Oct_Period_2_Tbl[[#All],[$ PAID PT]])+     SUMIF(Nov_Period_2_Tbl[[#All],[STAFF:]],$A45,Nov_Period_2_Tbl[[#All],[$ PAID PT]])+  SUMIF(Dec_Period_2_Tbl[[#All],[STAFF:]],$A45,Dec_Period_2_Tbl[[#All],[$ PAID PT]]))</f>
        <v>0</v>
      </c>
      <c r="L45" s="190">
        <f>(SUMIF(Jan_Period_1_Tbl[[#All],[STAFF:]],$A45,Jan_Period_1_Tbl[[#All],[$ PT COMM]])+
SUMIF(Feb_Period_1_Tbl[[#All],[STAFF:]],$A45,Feb_Period_1_Tbl[[#All],[$ PT COMM]])+SUMIF(Mar_Period_1_Tbl[[#All],[STAFF:]],$A45,Mar_Period_1_Tbl[[#All],[$ PT COMM]])+SUMIF(Apr_Period_1_Tbl[[#All],[STAFF:]],$A45,Apr_Period_1_Tbl[[#All],[$ PT COMM]])+   SUMIF(May_Period_1_Tbl[[#All],[STAFF:]],$A45,May_Period_1_Tbl[[#All],[$ PT COMM]])+   SUMIF(Jun_Period_1_Tbl[[#All],[STAFF:]],$A45,Jun_Period_1_Tbl[[#All],[$ PT COMM]])+  SUMIF(Jul_Period_1_Tbl[[#All],[STAFF:]],$A45,Jul_Period_1_Tbl[[#All],[$ PT COMM]])+  SUMIF(Aug_Period_1_Tbl[[#All],[STAFF:]],$A45,Aug_Period_1_Tbl[[#All],[$ PT COMM]])+  SUMIF(Sep_Period_1_Tbl[[#All],[STAFF:]],$A45,Sep_Period_1_Tbl[[#All],[$ PT COMM]])+  SUMIF(Oct_Period_1_Tbl[[#All],[STAFF:]],$A45,Oct_Period_1_Tbl[[#All],[$ PT COMM]])+     SUMIF(Nov_Period_1_Tbl[[#All],[STAFF:]],$A45,Nov_Period_1_Tbl[[#All],[$ PT COMM]])+  SUMIF(Dec_Period_1_Tbl[[#All],[STAFF:]],$A45,Dec_Period_1_Tbl[[#All],[$ PT COMM]]))+   (SUMIF(Jan_Period_2_Tbl[[#All],[STAFF:]],$A45,Jan_Period_2_Tbl[[#All],[$ PT COMM]])+
SUMIF(Feb_Period_2_Tbl[[#All],[STAFF:]],$A45,Feb_Period_2_Tbl[[#All],[$ PT COMM]])+SUMIF(Mar_Period_2_Tbl[[#All],[STAFF:]],$A45,Mar_Period_2_Tbl[[#All],[$ PT COMM]])+SUMIF(Apr_Period_2_Tbl[[#All],[STAFF:]],$A45,Apr_Period_2_Tbl[[#All],[$ PT COMM]])+   SUMIF(May_Period_2_Tbl[[#All],[STAFF:]],$A45,May_Period_2_Tbl[[#All],[$ PT COMM]])+   SUMIF(Jun_Period_2_Tbl[[#All],[STAFF:]],$A45,Jun_Period_2_Tbl[[#All],[$ PT COMM]])+  SUMIF(Jul_Period_2_Tbl[[#All],[STAFF:]],$A45,Jul_Period_2_Tbl[[#All],[$ PT COMM]])+  SUMIF(Aug_Period_2_Tbl[[#All],[STAFF:]],$A45,Aug_Period_2_Tbl[[#All],[$ PT COMM]])+  SUMIF(Sep_Period_2_Tbl[[#All],[STAFF:]],$A45,Sep_Period_2_Tbl[[#All],[$ PT COMM]])+  SUMIF(Oct_Period_2_Tbl[[#All],[STAFF:]],$A45,Oct_Period_2_Tbl[[#All],[$ PT COMM]])+     SUMIF(Nov_Period_2_Tbl[[#All],[STAFF:]],$A45,Nov_Period_2_Tbl[[#All],[$ PT COMM]])+  SUMIF(Dec_Period_2_Tbl[[#All],[STAFF:]],$A45,Dec_Period_2_Tbl[[#All],[$ PT COMM]]))</f>
        <v>0</v>
      </c>
      <c r="M45" s="190">
        <f>(SUMIF(Jan_Period_1_Tbl[[#All],[STAFF:]],$A45,Jan_Period_1_Tbl[[#All],[$ EFT COMM]])+
SUMIF(Feb_Period_1_Tbl[[#All],[STAFF:]],$A45,Feb_Period_1_Tbl[[#All],[$ EFT COMM]])+SUMIF(Mar_Period_1_Tbl[[#All],[STAFF:]],$A45,Mar_Period_1_Tbl[[#All],[$ EFT COMM]])+SUMIF(Apr_Period_1_Tbl[[#All],[STAFF:]],$A45,Apr_Period_1_Tbl[[#All],[$ EFT COMM]])+   SUMIF(May_Period_1_Tbl[[#All],[STAFF:]],$A45,May_Period_1_Tbl[[#All],[$ EFT COMM]])+   SUMIF(Jun_Period_1_Tbl[[#All],[STAFF:]],$A45,Jun_Period_1_Tbl[[#All],[$ EFT COMM]])+  SUMIF(Jul_Period_1_Tbl[[#All],[STAFF:]],$A45,Jul_Period_1_Tbl[[#All],[$ EFT COMM]])+  SUMIF(Aug_Period_1_Tbl[[#All],[STAFF:]],$A45,Aug_Period_1_Tbl[[#All],[$ EFT COMM]])+  SUMIF(Sep_Period_1_Tbl[[#All],[STAFF:]],$A45,Sep_Period_1_Tbl[[#All],[$ EFT COMM]])+  SUMIF(Oct_Period_1_Tbl[[#All],[STAFF:]],$A45,Oct_Period_1_Tbl[[#All],[$ EFT COMM]])+     SUMIF(Nov_Period_1_Tbl[[#All],[STAFF:]],$A45,Nov_Period_1_Tbl[[#All],[$ EFT COMM]])+  SUMIF(Dec_Period_1_Tbl[[#All],[STAFF:]],$A45,Dec_Period_1_Tbl[[#All],[$ EFT COMM]]))+   (SUMIF(Jan_Period_2_Tbl[[#All],[STAFF:]],$A45,Jan_Period_2_Tbl[[#All],[$ EFT COMM]])+
SUMIF(Feb_Period_2_Tbl[[#All],[STAFF:]],$A45,Feb_Period_2_Tbl[[#All],[$ EFT COMM]])+SUMIF(Mar_Period_2_Tbl[[#All],[STAFF:]],$A45,Mar_Period_2_Tbl[[#All],[$ EFT COMM]])+SUMIF(Apr_Period_2_Tbl[[#All],[STAFF:]],$A45,Apr_Period_2_Tbl[[#All],[$ EFT COMM]])+   SUMIF(May_Period_2_Tbl[[#All],[STAFF:]],$A45,May_Period_2_Tbl[[#All],[$ EFT COMM]])+   SUMIF(Jun_Period_2_Tbl[[#All],[STAFF:]],$A45,Jun_Period_2_Tbl[[#All],[$ EFT COMM]])+  SUMIF(Jul_Period_2_Tbl[[#All],[STAFF:]],$A45,Jul_Period_2_Tbl[[#All],[$ EFT COMM]])+  SUMIF(Aug_Period_2_Tbl[[#All],[STAFF:]],$A45,Aug_Period_2_Tbl[[#All],[$ EFT COMM]])+  SUMIF(Sep_Period_2_Tbl[[#All],[STAFF:]],$A45,Sep_Period_2_Tbl[[#All],[$ EFT COMM]])+  SUMIF(Oct_Period_2_Tbl[[#All],[STAFF:]],$A45,Oct_Period_2_Tbl[[#All],[$ EFT COMM]])+     SUMIF(Nov_Period_2_Tbl[[#All],[STAFF:]],$A45,Nov_Period_2_Tbl[[#All],[$ EFT COMM]])+  SUMIF(Dec_Period_2_Tbl[[#All],[STAFF:]],$A45,Dec_Period_2_Tbl[[#All],[$ EFT COMM]]))</f>
        <v>0</v>
      </c>
      <c r="N45" s="190">
        <f>(SUMIF(Jan_Period_1_Tbl[[#All],[STAFF:]],$A45,Jan_Period_1_Tbl[[#All],[$ CLASS PAY]])+
SUMIF(Feb_Period_1_Tbl[[#All],[STAFF:]],$A45,Feb_Period_1_Tbl[[#All],[$ CLASS PAY]])+SUMIF(Mar_Period_1_Tbl[[#All],[STAFF:]],$A45,Mar_Period_1_Tbl[[#All],[$ CLASS PAY]])+SUMIF(Apr_Period_1_Tbl[[#All],[STAFF:]],$A45,Apr_Period_1_Tbl[[#All],[$ CLASS PAY]])+   SUMIF(May_Period_1_Tbl[[#All],[STAFF:]],$A45,May_Period_1_Tbl[[#All],[$ CLASS PAY]])+   SUMIF(Jun_Period_1_Tbl[[#All],[STAFF:]],$A45,Jun_Period_1_Tbl[[#All],[$ CLASS PAY]])+  SUMIF(Jul_Period_1_Tbl[[#All],[STAFF:]],$A45,Jul_Period_1_Tbl[[#All],[$ CLASS PAY]])+  SUMIF(Aug_Period_1_Tbl[[#All],[STAFF:]],$A45,Aug_Period_1_Tbl[[#All],[$ CLASS PAY]])+  SUMIF(Sep_Period_1_Tbl[[#All],[STAFF:]],$A45,Sep_Period_1_Tbl[[#All],[$ CLASS PAY]])+  SUMIF(Oct_Period_1_Tbl[[#All],[STAFF:]],$A45,Oct_Period_1_Tbl[[#All],[$ CLASS PAY]])+     SUMIF(Nov_Period_1_Tbl[[#All],[STAFF:]],$A45,Nov_Period_1_Tbl[[#All],[$ CLASS PAY]])+  SUMIF(Dec_Period_1_Tbl[[#All],[STAFF:]],$A45,Dec_Period_1_Tbl[[#All],[$ CLASS PAY]]))+   (SUMIF(Jan_Period_2_Tbl[[#All],[STAFF:]],$A45,Jan_Period_2_Tbl[[#All],[$ CLASS PAY]])+
SUMIF(Feb_Period_2_Tbl[[#All],[STAFF:]],$A45,Feb_Period_2_Tbl[[#All],[$ CLASS PAY]])+SUMIF(Mar_Period_2_Tbl[[#All],[STAFF:]],$A45,Mar_Period_2_Tbl[[#All],[$ CLASS PAY]])+SUMIF(Apr_Period_2_Tbl[[#All],[STAFF:]],$A45,Apr_Period_2_Tbl[[#All],[$ CLASS PAY]])+   SUMIF(May_Period_2_Tbl[[#All],[STAFF:]],$A45,May_Period_2_Tbl[[#All],[$ CLASS PAY]])+   SUMIF(Jun_Period_2_Tbl[[#All],[STAFF:]],$A45,Jun_Period_2_Tbl[[#All],[$ CLASS PAY]])+  SUMIF(Jul_Period_2_Tbl[[#All],[STAFF:]],$A45,Jul_Period_2_Tbl[[#All],[$ CLASS PAY]])+  SUMIF(Aug_Period_2_Tbl[[#All],[STAFF:]],$A45,Aug_Period_2_Tbl[[#All],[$ CLASS PAY]])+  SUMIF(Sep_Period_2_Tbl[[#All],[STAFF:]],$A45,Sep_Period_2_Tbl[[#All],[$ CLASS PAY]])+  SUMIF(Oct_Period_2_Tbl[[#All],[STAFF:]],$A45,Oct_Period_2_Tbl[[#All],[$ CLASS PAY]])+     SUMIF(Nov_Period_2_Tbl[[#All],[STAFF:]],$A45,Nov_Period_2_Tbl[[#All],[$ CLASS PAY]])+  SUMIF(Dec_Period_2_Tbl[[#All],[STAFF:]],$A45,Dec_Period_2_Tbl[[#All],[$ CLASS PAY]]))</f>
        <v>0</v>
      </c>
      <c r="O45" s="191">
        <f>(SUMIF(Jan_Period_1_Tbl[[#All],[STAFF:]],$A45,Jan_Period_1_Tbl[[#All],[$ BONUS PAY]])+
SUMIF(Feb_Period_1_Tbl[[#All],[STAFF:]],$A45,Feb_Period_1_Tbl[[#All],[$ BONUS PAY]])+SUMIF(Mar_Period_1_Tbl[[#All],[STAFF:]],$A45,Mar_Period_1_Tbl[[#All],[$ BONUS PAY]])+SUMIF(Apr_Period_1_Tbl[[#All],[STAFF:]],$A45,Apr_Period_1_Tbl[[#All],[$ BONUS PAY]])+   SUMIF(May_Period_1_Tbl[[#All],[STAFF:]],$A45,May_Period_1_Tbl[[#All],[$ BONUS PAY]])+   SUMIF(Jun_Period_1_Tbl[[#All],[STAFF:]],$A45,Jun_Period_1_Tbl[[#All],[$ BONUS PAY]])+  SUMIF(Jul_Period_1_Tbl[[#All],[STAFF:]],$A45,Jul_Period_1_Tbl[[#All],[$ BONUS PAY]])+  SUMIF(Aug_Period_1_Tbl[[#All],[STAFF:]],$A45,Aug_Period_1_Tbl[[#All],[$ BONUS PAY]])+  SUMIF(Sep_Period_1_Tbl[[#All],[STAFF:]],$A45,Sep_Period_1_Tbl[[#All],[$ BONUS PAY]])+  SUMIF(Oct_Period_1_Tbl[[#All],[STAFF:]],$A45,Oct_Period_1_Tbl[[#All],[$ BONUS PAY]])+     SUMIF(Nov_Period_1_Tbl[[#All],[STAFF:]],$A45,Nov_Period_1_Tbl[[#All],[$ BONUS PAY]])+  SUMIF(Dec_Period_1_Tbl[[#All],[STAFF:]],$A45,Dec_Period_1_Tbl[[#All],[$ BONUS PAY]]))+   (SUMIF(Jan_Period_2_Tbl[[#All],[STAFF:]],$A45,Jan_Period_2_Tbl[[#All],[$ BONUS PAY]])+
SUMIF(Feb_Period_2_Tbl[[#All],[STAFF:]],$A45,Feb_Period_2_Tbl[[#All],[$ BONUS PAY]])+SUMIF(Mar_Period_2_Tbl[[#All],[STAFF:]],$A45,Mar_Period_2_Tbl[[#All],[$ BONUS PAY]])+SUMIF(Apr_Period_2_Tbl[[#All],[STAFF:]],$A45,Apr_Period_2_Tbl[[#All],[$ BONUS PAY]])+   SUMIF(May_Period_2_Tbl[[#All],[STAFF:]],$A45,May_Period_2_Tbl[[#All],[$ BONUS PAY]])+   SUMIF(Jun_Period_2_Tbl[[#All],[STAFF:]],$A45,Jun_Period_2_Tbl[[#All],[$ BONUS PAY]])+  SUMIF(Jul_Period_2_Tbl[[#All],[STAFF:]],$A45,Jul_Period_2_Tbl[[#All],[$ BONUS PAY]])+  SUMIF(Aug_Period_2_Tbl[[#All],[STAFF:]],$A45,Aug_Period_2_Tbl[[#All],[$ BONUS PAY]])+  SUMIF(Sep_Period_2_Tbl[[#All],[STAFF:]],$A45,Sep_Period_2_Tbl[[#All],[$ BONUS PAY]])+  SUMIF(Oct_Period_2_Tbl[[#All],[STAFF:]],$A45,Oct_Period_2_Tbl[[#All],[$ BONUS PAY]])+     SUMIF(Nov_Period_2_Tbl[[#All],[STAFF:]],$A45,Nov_Period_2_Tbl[[#All],[$ BONUS PAY]])+  SUMIF(Dec_Period_2_Tbl[[#All],[STAFF:]],$A45,Dec_Period_2_Tbl[[#All],[$ BONUS PAY]]))</f>
        <v>0</v>
      </c>
      <c r="P45" s="179">
        <f t="shared" si="9"/>
        <v>0</v>
      </c>
      <c r="Q45" s="149"/>
      <c r="R45" s="153">
        <f>(SUMIF(Jan_Period_1_Tbl[[#All],[STAFF:]],$A45,Jan_Period_1_Tbl[[#All],['# POINTS EARNED]])+
SUMIF(Feb_Period_1_Tbl[[#All],[STAFF:]],$A45,Feb_Period_1_Tbl[[#All],['# POINTS EARNED]])+SUMIF(Mar_Period_1_Tbl[[#All],[STAFF:]],$A45,Mar_Period_1_Tbl[[#All],['# POINTS EARNED]])+SUMIF(Apr_Period_1_Tbl[[#All],[STAFF:]],$A45,Apr_Period_1_Tbl[[#All],['# POINTS EARNED]])+   SUMIF(May_Period_1_Tbl[[#All],[STAFF:]],$A45,May_Period_1_Tbl[[#All],['# POINTS EARNED]])+   SUMIF(Jun_Period_1_Tbl[[#All],[STAFF:]],$A45,Jun_Period_1_Tbl[[#All],['# POINTS EARNED]])+  SUMIF(Jul_Period_1_Tbl[[#All],[STAFF:]],$A45,Jul_Period_1_Tbl[[#All],['# POINTS EARNED]])+  SUMIF(Aug_Period_1_Tbl[[#All],[STAFF:]],$A45,Aug_Period_1_Tbl[[#All],['# POINTS EARNED]])+  SUMIF(Sep_Period_1_Tbl[[#All],[STAFF:]],$A45,Sep_Period_1_Tbl[[#All],['# POINTS EARNED]])+  SUMIF(Oct_Period_1_Tbl[[#All],[STAFF:]],$A45,Oct_Period_1_Tbl[[#All],['# POINTS EARNED]])+     SUMIF(Nov_Period_1_Tbl[[#All],[STAFF:]],$A45,Nov_Period_1_Tbl[[#All],['# POINTS EARNED]])+  SUMIF(Dec_Period_1_Tbl[[#All],[STAFF:]],$A45,Dec_Period_1_Tbl[[#All],['# POINTS EARNED]]))+   (SUMIF(Jan_Period_2_Tbl[[#All],[STAFF:]],$A45,Jan_Period_2_Tbl[[#All],['# POINTS EARNED]])+
SUMIF(Feb_Period_2_Tbl[[#All],[STAFF:]],$A45,Feb_Period_2_Tbl[[#All],['# POINTS EARNED]])+SUMIF(Mar_Period_2_Tbl[[#All],[STAFF:]],$A45,Mar_Period_2_Tbl[[#All],['# POINTS EARNED]])+SUMIF(Apr_Period_2_Tbl[[#All],[STAFF:]],$A45,Apr_Period_2_Tbl[[#All],['# POINTS EARNED]])+   SUMIF(May_Period_2_Tbl[[#All],[STAFF:]],$A45,May_Period_2_Tbl[[#All],['# POINTS EARNED]])+   SUMIF(Jun_Period_2_Tbl[[#All],[STAFF:]],$A45,Jun_Period_2_Tbl[[#All],['# POINTS EARNED]])+  SUMIF(Jul_Period_2_Tbl[[#All],[STAFF:]],$A45,Jul_Period_2_Tbl[[#All],['# POINTS EARNED]])+  SUMIF(Aug_Period_2_Tbl[[#All],[STAFF:]],$A45,Aug_Period_2_Tbl[[#All],['# POINTS EARNED]])+  SUMIF(Sep_Period_2_Tbl[[#All],[STAFF:]],$A45,Sep_Period_2_Tbl[[#All],['# POINTS EARNED]])+  SUMIF(Oct_Period_2_Tbl[[#All],[STAFF:]],$A45,Oct_Period_2_Tbl[[#All],['# POINTS EARNED]])+     SUMIF(Nov_Period_2_Tbl[[#All],[STAFF:]],$A45,Nov_Period_2_Tbl[[#All],['# POINTS EARNED]])+  SUMIF(Dec_Period_2_Tbl[[#All],[STAFF:]],$A45,Dec_Period_2_Tbl[[#All],['# POINTS EARNED]]))</f>
        <v>0</v>
      </c>
      <c r="S45" s="153">
        <f>(SUMIF(Jan_Period_1_Tbl[[#All],[STAFF:]],$A45,Jan_Period_1_Tbl[[#All],['# POINTS USED]])+
SUMIF(Feb_Period_1_Tbl[[#All],[STAFF:]],$A45,Feb_Period_1_Tbl[[#All],['# POINTS USED]])+SUMIF(Mar_Period_1_Tbl[[#All],[STAFF:]],$A45,Mar_Period_1_Tbl[[#All],['# POINTS USED]])+SUMIF(Apr_Period_1_Tbl[[#All],[STAFF:]],$A45,Apr_Period_1_Tbl[[#All],['# POINTS USED]])+   SUMIF(May_Period_1_Tbl[[#All],[STAFF:]],$A45,May_Period_1_Tbl[[#All],['# POINTS USED]])+   SUMIF(Jun_Period_1_Tbl[[#All],[STAFF:]],$A45,Jun_Period_1_Tbl[[#All],['# POINTS USED]])+  SUMIF(Jul_Period_1_Tbl[[#All],[STAFF:]],$A45,Jul_Period_1_Tbl[[#All],['# POINTS USED]])+  SUMIF(Aug_Period_1_Tbl[[#All],[STAFF:]],$A45,Aug_Period_1_Tbl[[#All],['# POINTS USED]])+  SUMIF(Sep_Period_1_Tbl[[#All],[STAFF:]],$A45,Sep_Period_1_Tbl[[#All],['# POINTS USED]])+  SUMIF(Oct_Period_1_Tbl[[#All],[STAFF:]],$A45,Oct_Period_1_Tbl[[#All],['# POINTS USED]])+     SUMIF(Nov_Period_1_Tbl[[#All],[STAFF:]],$A45,Nov_Period_1_Tbl[[#All],['# POINTS USED]])+  SUMIF(Dec_Period_1_Tbl[[#All],[STAFF:]],$A45,Dec_Period_1_Tbl[[#All],['# POINTS USED]]))+   (SUMIF(Jan_Period_2_Tbl[[#All],[STAFF:]],$A45,Jan_Period_2_Tbl[[#All],['# POINTS USED]])+
SUMIF(Feb_Period_2_Tbl[[#All],[STAFF:]],$A45,Feb_Period_2_Tbl[[#All],['# POINTS USED]])+SUMIF(Mar_Period_2_Tbl[[#All],[STAFF:]],$A45,Mar_Period_2_Tbl[[#All],['# POINTS USED]])+SUMIF(Apr_Period_2_Tbl[[#All],[STAFF:]],$A45,Apr_Period_2_Tbl[[#All],['# POINTS USED]])+   SUMIF(May_Period_2_Tbl[[#All],[STAFF:]],$A45,May_Period_2_Tbl[[#All],['# POINTS USED]])+   SUMIF(Jun_Period_2_Tbl[[#All],[STAFF:]],$A45,Jun_Period_2_Tbl[[#All],['# POINTS USED]])+  SUMIF(Jul_Period_2_Tbl[[#All],[STAFF:]],$A45,Jul_Period_2_Tbl[[#All],['# POINTS USED]])+  SUMIF(Aug_Period_2_Tbl[[#All],[STAFF:]],$A45,Aug_Period_2_Tbl[[#All],['# POINTS USED]])+  SUMIF(Sep_Period_2_Tbl[[#All],[STAFF:]],$A45,Sep_Period_2_Tbl[[#All],['# POINTS USED]])+  SUMIF(Oct_Period_2_Tbl[[#All],[STAFF:]],$A45,Oct_Period_2_Tbl[[#All],['# POINTS USED]])+     SUMIF(Nov_Period_2_Tbl[[#All],[STAFF:]],$A45,Nov_Period_2_Tbl[[#All],['# POINTS USED]])+  SUMIF(Dec_Period_2_Tbl[[#All],[STAFF:]],$A45,Dec_Period_2_Tbl[[#All],['# POINTS USED]]))</f>
        <v>0</v>
      </c>
      <c r="T45" s="153">
        <f>(SUMIF(Jan_Period_1_Tbl[[#All],[STAFF:]],$A45,Jan_Period_1_Tbl[[#All],['# CLASSES LEAD]])+
SUMIF(Feb_Period_1_Tbl[[#All],[STAFF:]],$A45,Feb_Period_1_Tbl[[#All],['# CLASSES LEAD]])+SUMIF(Mar_Period_1_Tbl[[#All],[STAFF:]],$A45,Mar_Period_1_Tbl[[#All],['# CLASSES LEAD]])+SUMIF(Apr_Period_1_Tbl[[#All],[STAFF:]],$A45,Apr_Period_1_Tbl[[#All],['# CLASSES LEAD]])+   SUMIF(May_Period_1_Tbl[[#All],[STAFF:]],$A45,May_Period_1_Tbl[[#All],['# CLASSES LEAD]])+   SUMIF(Jun_Period_1_Tbl[[#All],[STAFF:]],$A45,Jun_Period_1_Tbl[[#All],['# CLASSES LEAD]])+  SUMIF(Jul_Period_1_Tbl[[#All],[STAFF:]],$A45,Jul_Period_1_Tbl[[#All],['# CLASSES LEAD]])+  SUMIF(Aug_Period_1_Tbl[[#All],[STAFF:]],$A45,Aug_Period_1_Tbl[[#All],['# CLASSES LEAD]])+  SUMIF(Sep_Period_1_Tbl[[#All],[STAFF:]],$A45,Sep_Period_1_Tbl[[#All],['# CLASSES LEAD]])+  SUMIF(Oct_Period_1_Tbl[[#All],[STAFF:]],$A45,Oct_Period_1_Tbl[[#All],['# CLASSES LEAD]])+     SUMIF(Nov_Period_1_Tbl[[#All],[STAFF:]],$A45,Nov_Period_1_Tbl[[#All],['# CLASSES LEAD]])+  SUMIF(Dec_Period_1_Tbl[[#All],[STAFF:]],$A45,Dec_Period_1_Tbl[[#All],['# CLASSES LEAD]]))+   (SUMIF(Jan_Period_2_Tbl[[#All],[STAFF:]],$A45,Jan_Period_2_Tbl[[#All],['# CLASSES LEAD]])+
SUMIF(Feb_Period_2_Tbl[[#All],[STAFF:]],$A45,Feb_Period_2_Tbl[[#All],['# CLASSES LEAD]])+SUMIF(Mar_Period_2_Tbl[[#All],[STAFF:]],$A45,Mar_Period_2_Tbl[[#All],['# CLASSES LEAD]])+SUMIF(Apr_Period_2_Tbl[[#All],[STAFF:]],$A45,Apr_Period_2_Tbl[[#All],['# CLASSES LEAD]])+   SUMIF(May_Period_2_Tbl[[#All],[STAFF:]],$A45,May_Period_2_Tbl[[#All],['# CLASSES LEAD]])+   SUMIF(Jun_Period_2_Tbl[[#All],[STAFF:]],$A45,Jun_Period_2_Tbl[[#All],['# CLASSES LEAD]])+  SUMIF(Jul_Period_2_Tbl[[#All],[STAFF:]],$A45,Jul_Period_2_Tbl[[#All],['# CLASSES LEAD]])+  SUMIF(Aug_Period_2_Tbl[[#All],[STAFF:]],$A45,Aug_Period_2_Tbl[[#All],['# CLASSES LEAD]])+  SUMIF(Sep_Period_2_Tbl[[#All],[STAFF:]],$A45,Sep_Period_2_Tbl[[#All],['# CLASSES LEAD]])+  SUMIF(Oct_Period_2_Tbl[[#All],[STAFF:]],$A45,Oct_Period_2_Tbl[[#All],['# CLASSES LEAD]])+     SUMIF(Nov_Period_2_Tbl[[#All],[STAFF:]],$A45,Nov_Period_2_Tbl[[#All],['# CLASSES LEAD]])+  SUMIF(Dec_Period_2_Tbl[[#All],[STAFF:]],$A45,Dec_Period_2_Tbl[[#All],['# CLASSES LEAD]]))</f>
        <v>0</v>
      </c>
      <c r="U45" s="153">
        <f>(SUMIF(Jan_Period_1_Tbl[[#All],[STAFF:]],$A45,Jan_Period_1_Tbl[[#All],['# CLASSES SHOW]])+
SUMIF(Feb_Period_1_Tbl[[#All],[STAFF:]],$A45,Feb_Period_1_Tbl[[#All],['# CLASSES SHOW]])+SUMIF(Mar_Period_1_Tbl[[#All],[STAFF:]],$A45,Mar_Period_1_Tbl[[#All],['# CLASSES SHOW]])+SUMIF(Apr_Period_1_Tbl[[#All],[STAFF:]],$A45,Apr_Period_1_Tbl[[#All],['# CLASSES SHOW]])+   SUMIF(May_Period_1_Tbl[[#All],[STAFF:]],$A45,May_Period_1_Tbl[[#All],['# CLASSES SHOW]])+   SUMIF(Jun_Period_1_Tbl[[#All],[STAFF:]],$A45,Jun_Period_1_Tbl[[#All],['# CLASSES SHOW]])+  SUMIF(Jul_Period_1_Tbl[[#All],[STAFF:]],$A45,Jul_Period_1_Tbl[[#All],['# CLASSES SHOW]])+  SUMIF(Aug_Period_1_Tbl[[#All],[STAFF:]],$A45,Aug_Period_1_Tbl[[#All],['# CLASSES SHOW]])+  SUMIF(Sep_Period_1_Tbl[[#All],[STAFF:]],$A45,Sep_Period_1_Tbl[[#All],['# CLASSES SHOW]])+  SUMIF(Oct_Period_1_Tbl[[#All],[STAFF:]],$A45,Oct_Period_1_Tbl[[#All],['# CLASSES SHOW]])+     SUMIF(Nov_Period_1_Tbl[[#All],[STAFF:]],$A45,Nov_Period_1_Tbl[[#All],['# CLASSES SHOW]])+  SUMIF(Dec_Period_1_Tbl[[#All],[STAFF:]],$A45,Dec_Period_1_Tbl[[#All],['# CLASSES SHOW]]))+   (SUMIF(Jan_Period_2_Tbl[[#All],[STAFF:]],$A45,Jan_Period_2_Tbl[[#All],['# CLASSES SHOW]])+
SUMIF(Feb_Period_2_Tbl[[#All],[STAFF:]],$A45,Feb_Period_2_Tbl[[#All],['# CLASSES SHOW]])+SUMIF(Mar_Period_2_Tbl[[#All],[STAFF:]],$A45,Mar_Period_2_Tbl[[#All],['# CLASSES SHOW]])+SUMIF(Apr_Period_2_Tbl[[#All],[STAFF:]],$A45,Apr_Period_2_Tbl[[#All],['# CLASSES SHOW]])+   SUMIF(May_Period_2_Tbl[[#All],[STAFF:]],$A45,May_Period_2_Tbl[[#All],['# CLASSES SHOW]])+   SUMIF(Jun_Period_2_Tbl[[#All],[STAFF:]],$A45,Jun_Period_2_Tbl[[#All],['# CLASSES SHOW]])+  SUMIF(Jul_Period_2_Tbl[[#All],[STAFF:]],$A45,Jul_Period_2_Tbl[[#All],['# CLASSES SHOW]])+  SUMIF(Aug_Period_2_Tbl[[#All],[STAFF:]],$A45,Aug_Period_2_Tbl[[#All],['# CLASSES SHOW]])+  SUMIF(Sep_Period_2_Tbl[[#All],[STAFF:]],$A45,Sep_Period_2_Tbl[[#All],['# CLASSES SHOW]])+  SUMIF(Oct_Period_2_Tbl[[#All],[STAFF:]],$A45,Oct_Period_2_Tbl[[#All],['# CLASSES SHOW]])+     SUMIF(Nov_Period_2_Tbl[[#All],[STAFF:]],$A45,Nov_Period_2_Tbl[[#All],['# CLASSES SHOW]])+  SUMIF(Dec_Period_2_Tbl[[#All],[STAFF:]],$A45,Dec_Period_2_Tbl[[#All],['# CLASSES SHOW]]))</f>
        <v>0</v>
      </c>
      <c r="V45" s="156"/>
      <c r="W45" s="156"/>
      <c r="X45" s="155">
        <f t="shared" si="10"/>
        <v>0</v>
      </c>
      <c r="Y45" s="155">
        <f t="shared" si="11"/>
        <v>0</v>
      </c>
      <c r="Z45" s="155">
        <f t="shared" si="12"/>
        <v>0</v>
      </c>
      <c r="AA45" s="155">
        <f t="shared" si="13"/>
        <v>0</v>
      </c>
      <c r="AB45" s="155">
        <f t="shared" si="14"/>
        <v>0</v>
      </c>
      <c r="AC45" s="155">
        <f t="shared" si="15"/>
        <v>0</v>
      </c>
      <c r="AD45" s="155">
        <f t="shared" si="16"/>
        <v>0</v>
      </c>
      <c r="AE45" s="149"/>
      <c r="AF45" s="149"/>
      <c r="AG45" s="149"/>
      <c r="AH45" s="149"/>
      <c r="AJ45" s="75" t="str">
        <f t="shared" si="17"/>
        <v>zBlank</v>
      </c>
      <c r="AK45" s="210"/>
      <c r="AL45" s="168">
        <f>IFERROR(VLOOKUP(B45,List!$A:$B,2,FALSE),-1)</f>
        <v>-1</v>
      </c>
      <c r="AM45" s="168">
        <f>IFERROR(VLOOKUP(C45,List!$A:$B,2,FALSE),-1)</f>
        <v>-1</v>
      </c>
    </row>
    <row r="46" spans="1:39" ht="15" hidden="1" customHeight="1" x14ac:dyDescent="0.25">
      <c r="A46" s="20"/>
      <c r="B46" s="186"/>
      <c r="C46" s="186"/>
      <c r="D46" s="187"/>
      <c r="E46" s="188">
        <f>(SUMIF(Jan_Period_1_Tbl[[#All],[STAFF:]],$A46,Jan_Period_1_Tbl[[#All],['# PTO USED]])+
SUMIF(Feb_Period_1_Tbl[[#All],[STAFF:]],$A46,Feb_Period_1_Tbl[[#All],['# PTO USED]])+SUMIF(Mar_Period_1_Tbl[[#All],[STAFF:]],$A46,Mar_Period_1_Tbl[[#All],['# PTO USED]])+SUMIF(Apr_Period_1_Tbl[[#All],[STAFF:]],$A46,Apr_Period_1_Tbl[[#All],['# PTO USED]])+   SUMIF(May_Period_1_Tbl[[#All],[STAFF:]],$A46,May_Period_1_Tbl[[#All],['# PTO USED]])+   SUMIF(Jun_Period_1_Tbl[[#All],[STAFF:]],$A46,Jun_Period_1_Tbl[[#All],['# PTO USED]])+  SUMIF(Jul_Period_1_Tbl[[#All],[STAFF:]],$A46,Jul_Period_1_Tbl[[#All],['# PTO USED]])+  SUMIF(Aug_Period_1_Tbl[[#All],[STAFF:]],$A46,Aug_Period_1_Tbl[[#All],['# PTO USED]])+  SUMIF(Sep_Period_1_Tbl[[#All],[STAFF:]],$A46,Sep_Period_1_Tbl[[#All],['# PTO USED]])+  SUMIF(Oct_Period_1_Tbl[[#All],[STAFF:]],$A46,Oct_Period_1_Tbl[[#All],['# PTO USED]])+     SUMIF(Nov_Period_1_Tbl[[#All],[STAFF:]],$A46,Nov_Period_1_Tbl[[#All],['# PTO USED]])+  SUMIF(Dec_Period_1_Tbl[[#All],[STAFF:]],$A46,Dec_Period_1_Tbl[[#All],['# PTO USED]]))+   (SUMIF(Jan_Period_2_Tbl[[#All],[STAFF:]],$A46,Jan_Period_2_Tbl[[#All],['# PTO USED]])+
SUMIF(Feb_Period_2_Tbl[[#All],[STAFF:]],$A46,Feb_Period_2_Tbl[[#All],['# PTO USED]])+SUMIF(Mar_Period_2_Tbl[[#All],[STAFF:]],$A46,Mar_Period_2_Tbl[[#All],['# PTO USED]])+SUMIF(Apr_Period_2_Tbl[[#All],[STAFF:]],$A46,Apr_Period_2_Tbl[[#All],['# PTO USED]])+   SUMIF(May_Period_2_Tbl[[#All],[STAFF:]],$A46,May_Period_2_Tbl[[#All],['# PTO USED]])+   SUMIF(Jun_Period_2_Tbl[[#All],[STAFF:]],$A46,Jun_Period_2_Tbl[[#All],['# PTO USED]])+  SUMIF(Jul_Period_2_Tbl[[#All],[STAFF:]],$A46,Jul_Period_2_Tbl[[#All],['# PTO USED]])+  SUMIF(Aug_Period_2_Tbl[[#All],[STAFF:]],$A46,Aug_Period_2_Tbl[[#All],['# PTO USED]])+  SUMIF(Sep_Period_2_Tbl[[#All],[STAFF:]],$A46,Sep_Period_2_Tbl[[#All],['# PTO USED]])+  SUMIF(Oct_Period_2_Tbl[[#All],[STAFF:]],$A46,Oct_Period_2_Tbl[[#All],['# PTO USED]])+     SUMIF(Nov_Period_2_Tbl[[#All],[STAFF:]],$A46,Nov_Period_2_Tbl[[#All],['# PTO USED]])+  SUMIF(Dec_Period_2_Tbl[[#All],[STAFF:]],$A46,Dec_Period_2_Tbl[[#All],['# PTO USED]]))</f>
        <v>0</v>
      </c>
      <c r="F46" s="189">
        <f>(SUMIF(Jan_Period_1_Tbl[[#All],[STAFF:]],$A46,Jan_Period_1_Tbl[[#All],['# HRS WORKED]])+
SUMIF(Feb_Period_1_Tbl[[#All],[STAFF:]],$A46,Feb_Period_1_Tbl[[#All],['# HRS WORKED]])+SUMIF(Mar_Period_1_Tbl[[#All],[STAFF:]],$A46,Mar_Period_1_Tbl[[#All],['# HRS WORKED]])+SUMIF(Apr_Period_1_Tbl[[#All],[STAFF:]],$A46,Apr_Period_1_Tbl[[#All],['# HRS WORKED]])+   SUMIF(May_Period_1_Tbl[[#All],[STAFF:]],$A46,May_Period_1_Tbl[[#All],['# HRS WORKED]])+   SUMIF(Jun_Period_1_Tbl[[#All],[STAFF:]],$A46,Jun_Period_1_Tbl[[#All],['# HRS WORKED]])+  SUMIF(Jul_Period_1_Tbl[[#All],[STAFF:]],$A46,Jul_Period_1_Tbl[[#All],['# HRS WORKED]])+  SUMIF(Aug_Period_1_Tbl[[#All],[STAFF:]],$A46,Aug_Period_1_Tbl[[#All],['# HRS WORKED]])+  SUMIF(Sep_Period_1_Tbl[[#All],[STAFF:]],$A46,Sep_Period_1_Tbl[[#All],['# HRS WORKED]])+  SUMIF(Oct_Period_1_Tbl[[#All],[STAFF:]],$A46,Oct_Period_1_Tbl[[#All],['# HRS WORKED]])+     SUMIF(Nov_Period_1_Tbl[[#All],[STAFF:]],$A46,Nov_Period_1_Tbl[[#All],['# HRS WORKED]])+  SUMIF(Dec_Period_1_Tbl[[#All],[STAFF:]],$A46,Dec_Period_1_Tbl[[#All],['# HRS WORKED]]))+   (SUMIF(Jan_Period_2_Tbl[[#All],[STAFF:]],$A46,Jan_Period_2_Tbl[[#All],['# HRS WORKED]])+
SUMIF(Feb_Period_2_Tbl[[#All],[STAFF:]],$A46,Feb_Period_2_Tbl[[#All],['# HRS WORKED]])+SUMIF(Mar_Period_2_Tbl[[#All],[STAFF:]],$A46,Mar_Period_2_Tbl[[#All],['# HRS WORKED]])+SUMIF(Apr_Period_2_Tbl[[#All],[STAFF:]],$A46,Apr_Period_2_Tbl[[#All],['# HRS WORKED]])+   SUMIF(May_Period_2_Tbl[[#All],[STAFF:]],$A46,May_Period_2_Tbl[[#All],['# HRS WORKED]])+   SUMIF(Jun_Period_2_Tbl[[#All],[STAFF:]],$A46,Jun_Period_2_Tbl[[#All],['# HRS WORKED]])+  SUMIF(Jul_Period_2_Tbl[[#All],[STAFF:]],$A46,Jul_Period_2_Tbl[[#All],['# HRS WORKED]])+  SUMIF(Aug_Period_2_Tbl[[#All],[STAFF:]],$A46,Aug_Period_2_Tbl[[#All],['# HRS WORKED]])+  SUMIF(Sep_Period_2_Tbl[[#All],[STAFF:]],$A46,Sep_Period_2_Tbl[[#All],['# HRS WORKED]])+  SUMIF(Oct_Period_2_Tbl[[#All],[STAFF:]],$A46,Oct_Period_2_Tbl[[#All],['# HRS WORKED]])+     SUMIF(Nov_Period_2_Tbl[[#All],[STAFF:]],$A46,Nov_Period_2_Tbl[[#All],['# HRS WORKED]])+  SUMIF(Dec_Period_2_Tbl[[#All],[STAFF:]],$A46,Dec_Period_2_Tbl[[#All],['# HRS WORKED]]))</f>
        <v>0</v>
      </c>
      <c r="G46" s="190">
        <f>(SUMIF(Jan_Period_1_Tbl[[#All],[STAFF:]],$A46,Jan_Period_1_Tbl[[#All],[$ Hourly WAGES]])+
SUMIF(Feb_Period_1_Tbl[[#All],[STAFF:]],$A46,Feb_Period_1_Tbl[[#All],[$ Hourly WAGES]])+SUMIF(Mar_Period_1_Tbl[[#All],[STAFF:]],$A46,Mar_Period_1_Tbl[[#All],[$ Hourly WAGES]])+SUMIF(Apr_Period_1_Tbl[[#All],[STAFF:]],$A46,Apr_Period_1_Tbl[[#All],[$ Hourly WAGES]])+   SUMIF(May_Period_1_Tbl[[#All],[STAFF:]],$A46,May_Period_1_Tbl[[#All],[$ Hourly WAGES]])+   SUMIF(Jun_Period_1_Tbl[[#All],[STAFF:]],$A46,Jun_Period_1_Tbl[[#All],[$ Hourly WAGES]])+  SUMIF(Jul_Period_1_Tbl[[#All],[STAFF:]],$A46,Jul_Period_1_Tbl[[#All],[$ Hourly WAGES]])+  SUMIF(Aug_Period_1_Tbl[[#All],[STAFF:]],$A46,Aug_Period_1_Tbl[[#All],[$ Hourly WAGES]])+  SUMIF(Sep_Period_1_Tbl[[#All],[STAFF:]],$A46,Sep_Period_1_Tbl[[#All],[$ Hourly WAGES]])+  SUMIF(Oct_Period_1_Tbl[[#All],[STAFF:]],$A46,Oct_Period_1_Tbl[[#All],[$ Hourly WAGES]])+     SUMIF(Nov_Period_1_Tbl[[#All],[STAFF:]],$A46,Nov_Period_1_Tbl[[#All],[$ Hourly WAGES]])+  SUMIF(Dec_Period_1_Tbl[[#All],[STAFF:]],$A46,Dec_Period_1_Tbl[[#All],[$ Hourly WAGES]]))+   (SUMIF(Jan_Period_2_Tbl[[#All],[STAFF:]],$A46,Jan_Period_2_Tbl[[#All],[$ Hourly WAGES]])+
SUMIF(Feb_Period_2_Tbl[[#All],[STAFF:]],$A46,Feb_Period_2_Tbl[[#All],[$ Hourly WAGES]])+SUMIF(Mar_Period_2_Tbl[[#All],[STAFF:]],$A46,Mar_Period_2_Tbl[[#All],[$ Hourly WAGES]])+SUMIF(Apr_Period_2_Tbl[[#All],[STAFF:]],$A46,Apr_Period_2_Tbl[[#All],[$ Hourly WAGES]])+   SUMIF(May_Period_2_Tbl[[#All],[STAFF:]],$A46,May_Period_2_Tbl[[#All],[$ Hourly WAGES]])+   SUMIF(Jun_Period_2_Tbl[[#All],[STAFF:]],$A46,Jun_Period_2_Tbl[[#All],[$ Hourly WAGES]])+  SUMIF(Jul_Period_2_Tbl[[#All],[STAFF:]],$A46,Jul_Period_2_Tbl[[#All],[$ Hourly WAGES]])+  SUMIF(Aug_Period_2_Tbl[[#All],[STAFF:]],$A46,Aug_Period_2_Tbl[[#All],[$ Hourly WAGES]])+  SUMIF(Sep_Period_2_Tbl[[#All],[STAFF:]],$A46,Sep_Period_2_Tbl[[#All],[$ Hourly WAGES]])+  SUMIF(Oct_Period_2_Tbl[[#All],[STAFF:]],$A46,Oct_Period_2_Tbl[[#All],[$ Hourly WAGES]])+     SUMIF(Nov_Period_2_Tbl[[#All],[STAFF:]],$A46,Nov_Period_2_Tbl[[#All],[$ Hourly WAGES]])+  SUMIF(Dec_Period_2_Tbl[[#All],[STAFF:]],$A46,Dec_Period_2_Tbl[[#All],[$ Hourly WAGES]]))</f>
        <v>0</v>
      </c>
      <c r="H46" s="190">
        <f>(SUMIF(Jan_Period_1_Tbl[[#All],[STAFF:]],$A46,Jan_Period_1_Tbl[[#All],[$ SALARY]])+
SUMIF(Feb_Period_1_Tbl[[#All],[STAFF:]],$A46,Feb_Period_1_Tbl[[#All],[$ SALARY]])+SUMIF(Mar_Period_1_Tbl[[#All],[STAFF:]],$A46,Mar_Period_1_Tbl[[#All],[$ SALARY]])+SUMIF(Apr_Period_1_Tbl[[#All],[STAFF:]],$A46,Apr_Period_1_Tbl[[#All],[$ SALARY]])+   SUMIF(May_Period_1_Tbl[[#All],[STAFF:]],$A46,May_Period_1_Tbl[[#All],[$ SALARY]])+   SUMIF(Jun_Period_1_Tbl[[#All],[STAFF:]],$A46,Jun_Period_1_Tbl[[#All],[$ SALARY]])+  SUMIF(Jul_Period_1_Tbl[[#All],[STAFF:]],$A46,Jul_Period_1_Tbl[[#All],[$ SALARY]])+  SUMIF(Aug_Period_1_Tbl[[#All],[STAFF:]],$A46,Aug_Period_1_Tbl[[#All],[$ SALARY]])+  SUMIF(Sep_Period_1_Tbl[[#All],[STAFF:]],$A46,Sep_Period_1_Tbl[[#All],[$ SALARY]])+  SUMIF(Oct_Period_1_Tbl[[#All],[STAFF:]],$A46,Oct_Period_1_Tbl[[#All],[$ SALARY]])+     SUMIF(Nov_Period_1_Tbl[[#All],[STAFF:]],$A46,Nov_Period_1_Tbl[[#All],[$ SALARY]])+  SUMIF(Dec_Period_1_Tbl[[#All],[STAFF:]],$A46,Dec_Period_1_Tbl[[#All],[$ SALARY]]))+   (SUMIF(Jan_Period_2_Tbl[[#All],[STAFF:]],$A46,Jan_Period_2_Tbl[[#All],[$ SALARY]])+
SUMIF(Feb_Period_2_Tbl[[#All],[STAFF:]],$A46,Feb_Period_2_Tbl[[#All],[$ SALARY]])+SUMIF(Mar_Period_2_Tbl[[#All],[STAFF:]],$A46,Mar_Period_2_Tbl[[#All],[$ SALARY]])+SUMIF(Apr_Period_2_Tbl[[#All],[STAFF:]],$A46,Apr_Period_2_Tbl[[#All],[$ SALARY]])+   SUMIF(May_Period_2_Tbl[[#All],[STAFF:]],$A46,May_Period_2_Tbl[[#All],[$ SALARY]])+   SUMIF(Jun_Period_2_Tbl[[#All],[STAFF:]],$A46,Jun_Period_2_Tbl[[#All],[$ SALARY]])+  SUMIF(Jul_Period_2_Tbl[[#All],[STAFF:]],$A46,Jul_Period_2_Tbl[[#All],[$ SALARY]])+  SUMIF(Aug_Period_2_Tbl[[#All],[STAFF:]],$A46,Aug_Period_2_Tbl[[#All],[$ SALARY]])+  SUMIF(Sep_Period_2_Tbl[[#All],[STAFF:]],$A46,Sep_Period_2_Tbl[[#All],[$ SALARY]])+  SUMIF(Oct_Period_2_Tbl[[#All],[STAFF:]],$A46,Oct_Period_2_Tbl[[#All],[$ SALARY]])+     SUMIF(Nov_Period_2_Tbl[[#All],[STAFF:]],$A46,Nov_Period_2_Tbl[[#All],[$ SALARY]])+  SUMIF(Dec_Period_2_Tbl[[#All],[STAFF:]],$A46,Dec_Period_2_Tbl[[#All],[$ SALARY]]))</f>
        <v>0</v>
      </c>
      <c r="I46" s="190">
        <f>(SUMIF(Jan_Period_1_Tbl[[#All],[STAFF:]],$A46,Jan_Period_1_Tbl[[#All],[$ SALARY PT]])+
SUMIF(Feb_Period_1_Tbl[[#All],[STAFF:]],$A46,Feb_Period_1_Tbl[[#All],[$ SALARY PT]])+SUMIF(Mar_Period_1_Tbl[[#All],[STAFF:]],$A46,Mar_Period_1_Tbl[[#All],[$ SALARY PT]])+SUMIF(Apr_Period_1_Tbl[[#All],[STAFF:]],$A46,Apr_Period_1_Tbl[[#All],[$ SALARY PT]])+   SUMIF(May_Period_1_Tbl[[#All],[STAFF:]],$A46,May_Period_1_Tbl[[#All],[$ SALARY PT]])+   SUMIF(Jun_Period_1_Tbl[[#All],[STAFF:]],$A46,Jun_Period_1_Tbl[[#All],[$ SALARY PT]])+  SUMIF(Jul_Period_1_Tbl[[#All],[STAFF:]],$A46,Jul_Period_1_Tbl[[#All],[$ SALARY PT]])+  SUMIF(Aug_Period_1_Tbl[[#All],[STAFF:]],$A46,Aug_Period_1_Tbl[[#All],[$ SALARY PT]])+  SUMIF(Sep_Period_1_Tbl[[#All],[STAFF:]],$A46,Sep_Period_1_Tbl[[#All],[$ SALARY PT]])+  SUMIF(Oct_Period_1_Tbl[[#All],[STAFF:]],$A46,Oct_Period_1_Tbl[[#All],[$ SALARY PT]])+     SUMIF(Nov_Period_1_Tbl[[#All],[STAFF:]],$A46,Nov_Period_1_Tbl[[#All],[$ SALARY PT]])+  SUMIF(Dec_Period_1_Tbl[[#All],[STAFF:]],$A46,Dec_Period_1_Tbl[[#All],[$ SALARY PT]]))+   (SUMIF(Jan_Period_2_Tbl[[#All],[STAFF:]],$A46,Jan_Period_2_Tbl[[#All],[$ SALARY PT]])+
SUMIF(Feb_Period_2_Tbl[[#All],[STAFF:]],$A46,Feb_Period_2_Tbl[[#All],[$ SALARY PT]])+SUMIF(Mar_Period_2_Tbl[[#All],[STAFF:]],$A46,Mar_Period_2_Tbl[[#All],[$ SALARY PT]])+SUMIF(Apr_Period_2_Tbl[[#All],[STAFF:]],$A46,Apr_Period_2_Tbl[[#All],[$ SALARY PT]])+   SUMIF(May_Period_2_Tbl[[#All],[STAFF:]],$A46,May_Period_2_Tbl[[#All],[$ SALARY PT]])+   SUMIF(Jun_Period_2_Tbl[[#All],[STAFF:]],$A46,Jun_Period_2_Tbl[[#All],[$ SALARY PT]])+  SUMIF(Jul_Period_2_Tbl[[#All],[STAFF:]],$A46,Jul_Period_2_Tbl[[#All],[$ SALARY PT]])+  SUMIF(Aug_Period_2_Tbl[[#All],[STAFF:]],$A46,Aug_Period_2_Tbl[[#All],[$ SALARY PT]])+  SUMIF(Sep_Period_2_Tbl[[#All],[STAFF:]],$A46,Sep_Period_2_Tbl[[#All],[$ SALARY PT]])+  SUMIF(Oct_Period_2_Tbl[[#All],[STAFF:]],$A46,Oct_Period_2_Tbl[[#All],[$ SALARY PT]])+     SUMIF(Nov_Period_2_Tbl[[#All],[STAFF:]],$A46,Nov_Period_2_Tbl[[#All],[$ SALARY PT]])+  SUMIF(Dec_Period_2_Tbl[[#All],[STAFF:]],$A46,Dec_Period_2_Tbl[[#All],[$ SALARY PT]]))</f>
        <v>0</v>
      </c>
      <c r="J46" s="190">
        <f>(SUMIF(Jan_Period_1_Tbl[[#All],[STAFF:]],$A46,Jan_Period_1_Tbl[[#All],[$ FREE PT]])+
SUMIF(Feb_Period_1_Tbl[[#All],[STAFF:]],$A46,Feb_Period_1_Tbl[[#All],[$ FREE PT]])+SUMIF(Mar_Period_1_Tbl[[#All],[STAFF:]],$A46,Mar_Period_1_Tbl[[#All],[$ FREE PT]])+SUMIF(Apr_Period_1_Tbl[[#All],[STAFF:]],$A46,Apr_Period_1_Tbl[[#All],[$ FREE PT]])+   SUMIF(May_Period_1_Tbl[[#All],[STAFF:]],$A46,May_Period_1_Tbl[[#All],[$ FREE PT]])+   SUMIF(Jun_Period_1_Tbl[[#All],[STAFF:]],$A46,Jun_Period_1_Tbl[[#All],[$ FREE PT]])+  SUMIF(Jul_Period_1_Tbl[[#All],[STAFF:]],$A46,Jul_Period_1_Tbl[[#All],[$ FREE PT]])+  SUMIF(Aug_Period_1_Tbl[[#All],[STAFF:]],$A46,Aug_Period_1_Tbl[[#All],[$ FREE PT]])+  SUMIF(Sep_Period_1_Tbl[[#All],[STAFF:]],$A46,Sep_Period_1_Tbl[[#All],[$ FREE PT]])+  SUMIF(Oct_Period_1_Tbl[[#All],[STAFF:]],$A46,Oct_Period_1_Tbl[[#All],[$ FREE PT]])+     SUMIF(Nov_Period_1_Tbl[[#All],[STAFF:]],$A46,Nov_Period_1_Tbl[[#All],[$ FREE PT]])+  SUMIF(Dec_Period_1_Tbl[[#All],[STAFF:]],$A46,Dec_Period_1_Tbl[[#All],[$ FREE PT]]))+   (SUMIF(Jan_Period_2_Tbl[[#All],[STAFF:]],$A46,Jan_Period_2_Tbl[[#All],[$ FREE PT]])+
SUMIF(Feb_Period_2_Tbl[[#All],[STAFF:]],$A46,Feb_Period_2_Tbl[[#All],[$ FREE PT]])+SUMIF(Mar_Period_2_Tbl[[#All],[STAFF:]],$A46,Mar_Period_2_Tbl[[#All],[$ FREE PT]])+SUMIF(Apr_Period_2_Tbl[[#All],[STAFF:]],$A46,Apr_Period_2_Tbl[[#All],[$ FREE PT]])+   SUMIF(May_Period_2_Tbl[[#All],[STAFF:]],$A46,May_Period_2_Tbl[[#All],[$ FREE PT]])+   SUMIF(Jun_Period_2_Tbl[[#All],[STAFF:]],$A46,Jun_Period_2_Tbl[[#All],[$ FREE PT]])+  SUMIF(Jul_Period_2_Tbl[[#All],[STAFF:]],$A46,Jul_Period_2_Tbl[[#All],[$ FREE PT]])+  SUMIF(Aug_Period_2_Tbl[[#All],[STAFF:]],$A46,Aug_Period_2_Tbl[[#All],[$ FREE PT]])+  SUMIF(Sep_Period_2_Tbl[[#All],[STAFF:]],$A46,Sep_Period_2_Tbl[[#All],[$ FREE PT]])+  SUMIF(Oct_Period_2_Tbl[[#All],[STAFF:]],$A46,Oct_Period_2_Tbl[[#All],[$ FREE PT]])+     SUMIF(Nov_Period_2_Tbl[[#All],[STAFF:]],$A46,Nov_Period_2_Tbl[[#All],[$ FREE PT]])+  SUMIF(Dec_Period_2_Tbl[[#All],[STAFF:]],$A46,Dec_Period_2_Tbl[[#All],[$ FREE PT]]))</f>
        <v>0</v>
      </c>
      <c r="K46" s="190">
        <f>(SUMIF(Jan_Period_1_Tbl[[#All],[STAFF:]],$A46,Jan_Period_1_Tbl[[#All],[$ PAID PT]])+
SUMIF(Feb_Period_1_Tbl[[#All],[STAFF:]],$A46,Feb_Period_1_Tbl[[#All],[$ PAID PT]])+SUMIF(Mar_Period_1_Tbl[[#All],[STAFF:]],$A46,Mar_Period_1_Tbl[[#All],[$ PAID PT]])+SUMIF(Apr_Period_1_Tbl[[#All],[STAFF:]],$A46,Apr_Period_1_Tbl[[#All],[$ PAID PT]])+   SUMIF(May_Period_1_Tbl[[#All],[STAFF:]],$A46,May_Period_1_Tbl[[#All],[$ PAID PT]])+   SUMIF(Jun_Period_1_Tbl[[#All],[STAFF:]],$A46,Jun_Period_1_Tbl[[#All],[$ PAID PT]])+  SUMIF(Jul_Period_1_Tbl[[#All],[STAFF:]],$A46,Jul_Period_1_Tbl[[#All],[$ PAID PT]])+  SUMIF(Aug_Period_1_Tbl[[#All],[STAFF:]],$A46,Aug_Period_1_Tbl[[#All],[$ PAID PT]])+  SUMIF(Sep_Period_1_Tbl[[#All],[STAFF:]],$A46,Sep_Period_1_Tbl[[#All],[$ PAID PT]])+  SUMIF(Oct_Period_1_Tbl[[#All],[STAFF:]],$A46,Oct_Period_1_Tbl[[#All],[$ PAID PT]])+     SUMIF(Nov_Period_1_Tbl[[#All],[STAFF:]],$A46,Nov_Period_1_Tbl[[#All],[$ PAID PT]])+  SUMIF(Dec_Period_1_Tbl[[#All],[STAFF:]],$A46,Dec_Period_1_Tbl[[#All],[$ PAID PT]]))+   (SUMIF(Jan_Period_2_Tbl[[#All],[STAFF:]],$A46,Jan_Period_2_Tbl[[#All],[$ PAID PT]])+
SUMIF(Feb_Period_2_Tbl[[#All],[STAFF:]],$A46,Feb_Period_2_Tbl[[#All],[$ PAID PT]])+SUMIF(Mar_Period_2_Tbl[[#All],[STAFF:]],$A46,Mar_Period_2_Tbl[[#All],[$ PAID PT]])+SUMIF(Apr_Period_2_Tbl[[#All],[STAFF:]],$A46,Apr_Period_2_Tbl[[#All],[$ PAID PT]])+   SUMIF(May_Period_2_Tbl[[#All],[STAFF:]],$A46,May_Period_2_Tbl[[#All],[$ PAID PT]])+   SUMIF(Jun_Period_2_Tbl[[#All],[STAFF:]],$A46,Jun_Period_2_Tbl[[#All],[$ PAID PT]])+  SUMIF(Jul_Period_2_Tbl[[#All],[STAFF:]],$A46,Jul_Period_2_Tbl[[#All],[$ PAID PT]])+  SUMIF(Aug_Period_2_Tbl[[#All],[STAFF:]],$A46,Aug_Period_2_Tbl[[#All],[$ PAID PT]])+  SUMIF(Sep_Period_2_Tbl[[#All],[STAFF:]],$A46,Sep_Period_2_Tbl[[#All],[$ PAID PT]])+  SUMIF(Oct_Period_2_Tbl[[#All],[STAFF:]],$A46,Oct_Period_2_Tbl[[#All],[$ PAID PT]])+     SUMIF(Nov_Period_2_Tbl[[#All],[STAFF:]],$A46,Nov_Period_2_Tbl[[#All],[$ PAID PT]])+  SUMIF(Dec_Period_2_Tbl[[#All],[STAFF:]],$A46,Dec_Period_2_Tbl[[#All],[$ PAID PT]]))</f>
        <v>0</v>
      </c>
      <c r="L46" s="190">
        <f>(SUMIF(Jan_Period_1_Tbl[[#All],[STAFF:]],$A46,Jan_Period_1_Tbl[[#All],[$ PT COMM]])+
SUMIF(Feb_Period_1_Tbl[[#All],[STAFF:]],$A46,Feb_Period_1_Tbl[[#All],[$ PT COMM]])+SUMIF(Mar_Period_1_Tbl[[#All],[STAFF:]],$A46,Mar_Period_1_Tbl[[#All],[$ PT COMM]])+SUMIF(Apr_Period_1_Tbl[[#All],[STAFF:]],$A46,Apr_Period_1_Tbl[[#All],[$ PT COMM]])+   SUMIF(May_Period_1_Tbl[[#All],[STAFF:]],$A46,May_Period_1_Tbl[[#All],[$ PT COMM]])+   SUMIF(Jun_Period_1_Tbl[[#All],[STAFF:]],$A46,Jun_Period_1_Tbl[[#All],[$ PT COMM]])+  SUMIF(Jul_Period_1_Tbl[[#All],[STAFF:]],$A46,Jul_Period_1_Tbl[[#All],[$ PT COMM]])+  SUMIF(Aug_Period_1_Tbl[[#All],[STAFF:]],$A46,Aug_Period_1_Tbl[[#All],[$ PT COMM]])+  SUMIF(Sep_Period_1_Tbl[[#All],[STAFF:]],$A46,Sep_Period_1_Tbl[[#All],[$ PT COMM]])+  SUMIF(Oct_Period_1_Tbl[[#All],[STAFF:]],$A46,Oct_Period_1_Tbl[[#All],[$ PT COMM]])+     SUMIF(Nov_Period_1_Tbl[[#All],[STAFF:]],$A46,Nov_Period_1_Tbl[[#All],[$ PT COMM]])+  SUMIF(Dec_Period_1_Tbl[[#All],[STAFF:]],$A46,Dec_Period_1_Tbl[[#All],[$ PT COMM]]))+   (SUMIF(Jan_Period_2_Tbl[[#All],[STAFF:]],$A46,Jan_Period_2_Tbl[[#All],[$ PT COMM]])+
SUMIF(Feb_Period_2_Tbl[[#All],[STAFF:]],$A46,Feb_Period_2_Tbl[[#All],[$ PT COMM]])+SUMIF(Mar_Period_2_Tbl[[#All],[STAFF:]],$A46,Mar_Period_2_Tbl[[#All],[$ PT COMM]])+SUMIF(Apr_Period_2_Tbl[[#All],[STAFF:]],$A46,Apr_Period_2_Tbl[[#All],[$ PT COMM]])+   SUMIF(May_Period_2_Tbl[[#All],[STAFF:]],$A46,May_Period_2_Tbl[[#All],[$ PT COMM]])+   SUMIF(Jun_Period_2_Tbl[[#All],[STAFF:]],$A46,Jun_Period_2_Tbl[[#All],[$ PT COMM]])+  SUMIF(Jul_Period_2_Tbl[[#All],[STAFF:]],$A46,Jul_Period_2_Tbl[[#All],[$ PT COMM]])+  SUMIF(Aug_Period_2_Tbl[[#All],[STAFF:]],$A46,Aug_Period_2_Tbl[[#All],[$ PT COMM]])+  SUMIF(Sep_Period_2_Tbl[[#All],[STAFF:]],$A46,Sep_Period_2_Tbl[[#All],[$ PT COMM]])+  SUMIF(Oct_Period_2_Tbl[[#All],[STAFF:]],$A46,Oct_Period_2_Tbl[[#All],[$ PT COMM]])+     SUMIF(Nov_Period_2_Tbl[[#All],[STAFF:]],$A46,Nov_Period_2_Tbl[[#All],[$ PT COMM]])+  SUMIF(Dec_Period_2_Tbl[[#All],[STAFF:]],$A46,Dec_Period_2_Tbl[[#All],[$ PT COMM]]))</f>
        <v>0</v>
      </c>
      <c r="M46" s="190">
        <f>(SUMIF(Jan_Period_1_Tbl[[#All],[STAFF:]],$A46,Jan_Period_1_Tbl[[#All],[$ EFT COMM]])+
SUMIF(Feb_Period_1_Tbl[[#All],[STAFF:]],$A46,Feb_Period_1_Tbl[[#All],[$ EFT COMM]])+SUMIF(Mar_Period_1_Tbl[[#All],[STAFF:]],$A46,Mar_Period_1_Tbl[[#All],[$ EFT COMM]])+SUMIF(Apr_Period_1_Tbl[[#All],[STAFF:]],$A46,Apr_Period_1_Tbl[[#All],[$ EFT COMM]])+   SUMIF(May_Period_1_Tbl[[#All],[STAFF:]],$A46,May_Period_1_Tbl[[#All],[$ EFT COMM]])+   SUMIF(Jun_Period_1_Tbl[[#All],[STAFF:]],$A46,Jun_Period_1_Tbl[[#All],[$ EFT COMM]])+  SUMIF(Jul_Period_1_Tbl[[#All],[STAFF:]],$A46,Jul_Period_1_Tbl[[#All],[$ EFT COMM]])+  SUMIF(Aug_Period_1_Tbl[[#All],[STAFF:]],$A46,Aug_Period_1_Tbl[[#All],[$ EFT COMM]])+  SUMIF(Sep_Period_1_Tbl[[#All],[STAFF:]],$A46,Sep_Period_1_Tbl[[#All],[$ EFT COMM]])+  SUMIF(Oct_Period_1_Tbl[[#All],[STAFF:]],$A46,Oct_Period_1_Tbl[[#All],[$ EFT COMM]])+     SUMIF(Nov_Period_1_Tbl[[#All],[STAFF:]],$A46,Nov_Period_1_Tbl[[#All],[$ EFT COMM]])+  SUMIF(Dec_Period_1_Tbl[[#All],[STAFF:]],$A46,Dec_Period_1_Tbl[[#All],[$ EFT COMM]]))+   (SUMIF(Jan_Period_2_Tbl[[#All],[STAFF:]],$A46,Jan_Period_2_Tbl[[#All],[$ EFT COMM]])+
SUMIF(Feb_Period_2_Tbl[[#All],[STAFF:]],$A46,Feb_Period_2_Tbl[[#All],[$ EFT COMM]])+SUMIF(Mar_Period_2_Tbl[[#All],[STAFF:]],$A46,Mar_Period_2_Tbl[[#All],[$ EFT COMM]])+SUMIF(Apr_Period_2_Tbl[[#All],[STAFF:]],$A46,Apr_Period_2_Tbl[[#All],[$ EFT COMM]])+   SUMIF(May_Period_2_Tbl[[#All],[STAFF:]],$A46,May_Period_2_Tbl[[#All],[$ EFT COMM]])+   SUMIF(Jun_Period_2_Tbl[[#All],[STAFF:]],$A46,Jun_Period_2_Tbl[[#All],[$ EFT COMM]])+  SUMIF(Jul_Period_2_Tbl[[#All],[STAFF:]],$A46,Jul_Period_2_Tbl[[#All],[$ EFT COMM]])+  SUMIF(Aug_Period_2_Tbl[[#All],[STAFF:]],$A46,Aug_Period_2_Tbl[[#All],[$ EFT COMM]])+  SUMIF(Sep_Period_2_Tbl[[#All],[STAFF:]],$A46,Sep_Period_2_Tbl[[#All],[$ EFT COMM]])+  SUMIF(Oct_Period_2_Tbl[[#All],[STAFF:]],$A46,Oct_Period_2_Tbl[[#All],[$ EFT COMM]])+     SUMIF(Nov_Period_2_Tbl[[#All],[STAFF:]],$A46,Nov_Period_2_Tbl[[#All],[$ EFT COMM]])+  SUMIF(Dec_Period_2_Tbl[[#All],[STAFF:]],$A46,Dec_Period_2_Tbl[[#All],[$ EFT COMM]]))</f>
        <v>0</v>
      </c>
      <c r="N46" s="190">
        <f>(SUMIF(Jan_Period_1_Tbl[[#All],[STAFF:]],$A46,Jan_Period_1_Tbl[[#All],[$ CLASS PAY]])+
SUMIF(Feb_Period_1_Tbl[[#All],[STAFF:]],$A46,Feb_Period_1_Tbl[[#All],[$ CLASS PAY]])+SUMIF(Mar_Period_1_Tbl[[#All],[STAFF:]],$A46,Mar_Period_1_Tbl[[#All],[$ CLASS PAY]])+SUMIF(Apr_Period_1_Tbl[[#All],[STAFF:]],$A46,Apr_Period_1_Tbl[[#All],[$ CLASS PAY]])+   SUMIF(May_Period_1_Tbl[[#All],[STAFF:]],$A46,May_Period_1_Tbl[[#All],[$ CLASS PAY]])+   SUMIF(Jun_Period_1_Tbl[[#All],[STAFF:]],$A46,Jun_Period_1_Tbl[[#All],[$ CLASS PAY]])+  SUMIF(Jul_Period_1_Tbl[[#All],[STAFF:]],$A46,Jul_Period_1_Tbl[[#All],[$ CLASS PAY]])+  SUMIF(Aug_Period_1_Tbl[[#All],[STAFF:]],$A46,Aug_Period_1_Tbl[[#All],[$ CLASS PAY]])+  SUMIF(Sep_Period_1_Tbl[[#All],[STAFF:]],$A46,Sep_Period_1_Tbl[[#All],[$ CLASS PAY]])+  SUMIF(Oct_Period_1_Tbl[[#All],[STAFF:]],$A46,Oct_Period_1_Tbl[[#All],[$ CLASS PAY]])+     SUMIF(Nov_Period_1_Tbl[[#All],[STAFF:]],$A46,Nov_Period_1_Tbl[[#All],[$ CLASS PAY]])+  SUMIF(Dec_Period_1_Tbl[[#All],[STAFF:]],$A46,Dec_Period_1_Tbl[[#All],[$ CLASS PAY]]))+   (SUMIF(Jan_Period_2_Tbl[[#All],[STAFF:]],$A46,Jan_Period_2_Tbl[[#All],[$ CLASS PAY]])+
SUMIF(Feb_Period_2_Tbl[[#All],[STAFF:]],$A46,Feb_Period_2_Tbl[[#All],[$ CLASS PAY]])+SUMIF(Mar_Period_2_Tbl[[#All],[STAFF:]],$A46,Mar_Period_2_Tbl[[#All],[$ CLASS PAY]])+SUMIF(Apr_Period_2_Tbl[[#All],[STAFF:]],$A46,Apr_Period_2_Tbl[[#All],[$ CLASS PAY]])+   SUMIF(May_Period_2_Tbl[[#All],[STAFF:]],$A46,May_Period_2_Tbl[[#All],[$ CLASS PAY]])+   SUMIF(Jun_Period_2_Tbl[[#All],[STAFF:]],$A46,Jun_Period_2_Tbl[[#All],[$ CLASS PAY]])+  SUMIF(Jul_Period_2_Tbl[[#All],[STAFF:]],$A46,Jul_Period_2_Tbl[[#All],[$ CLASS PAY]])+  SUMIF(Aug_Period_2_Tbl[[#All],[STAFF:]],$A46,Aug_Period_2_Tbl[[#All],[$ CLASS PAY]])+  SUMIF(Sep_Period_2_Tbl[[#All],[STAFF:]],$A46,Sep_Period_2_Tbl[[#All],[$ CLASS PAY]])+  SUMIF(Oct_Period_2_Tbl[[#All],[STAFF:]],$A46,Oct_Period_2_Tbl[[#All],[$ CLASS PAY]])+     SUMIF(Nov_Period_2_Tbl[[#All],[STAFF:]],$A46,Nov_Period_2_Tbl[[#All],[$ CLASS PAY]])+  SUMIF(Dec_Period_2_Tbl[[#All],[STAFF:]],$A46,Dec_Period_2_Tbl[[#All],[$ CLASS PAY]]))</f>
        <v>0</v>
      </c>
      <c r="O46" s="191">
        <f>(SUMIF(Jan_Period_1_Tbl[[#All],[STAFF:]],$A46,Jan_Period_1_Tbl[[#All],[$ BONUS PAY]])+
SUMIF(Feb_Period_1_Tbl[[#All],[STAFF:]],$A46,Feb_Period_1_Tbl[[#All],[$ BONUS PAY]])+SUMIF(Mar_Period_1_Tbl[[#All],[STAFF:]],$A46,Mar_Period_1_Tbl[[#All],[$ BONUS PAY]])+SUMIF(Apr_Period_1_Tbl[[#All],[STAFF:]],$A46,Apr_Period_1_Tbl[[#All],[$ BONUS PAY]])+   SUMIF(May_Period_1_Tbl[[#All],[STAFF:]],$A46,May_Period_1_Tbl[[#All],[$ BONUS PAY]])+   SUMIF(Jun_Period_1_Tbl[[#All],[STAFF:]],$A46,Jun_Period_1_Tbl[[#All],[$ BONUS PAY]])+  SUMIF(Jul_Period_1_Tbl[[#All],[STAFF:]],$A46,Jul_Period_1_Tbl[[#All],[$ BONUS PAY]])+  SUMIF(Aug_Period_1_Tbl[[#All],[STAFF:]],$A46,Aug_Period_1_Tbl[[#All],[$ BONUS PAY]])+  SUMIF(Sep_Period_1_Tbl[[#All],[STAFF:]],$A46,Sep_Period_1_Tbl[[#All],[$ BONUS PAY]])+  SUMIF(Oct_Period_1_Tbl[[#All],[STAFF:]],$A46,Oct_Period_1_Tbl[[#All],[$ BONUS PAY]])+     SUMIF(Nov_Period_1_Tbl[[#All],[STAFF:]],$A46,Nov_Period_1_Tbl[[#All],[$ BONUS PAY]])+  SUMIF(Dec_Period_1_Tbl[[#All],[STAFF:]],$A46,Dec_Period_1_Tbl[[#All],[$ BONUS PAY]]))+   (SUMIF(Jan_Period_2_Tbl[[#All],[STAFF:]],$A46,Jan_Period_2_Tbl[[#All],[$ BONUS PAY]])+
SUMIF(Feb_Period_2_Tbl[[#All],[STAFF:]],$A46,Feb_Period_2_Tbl[[#All],[$ BONUS PAY]])+SUMIF(Mar_Period_2_Tbl[[#All],[STAFF:]],$A46,Mar_Period_2_Tbl[[#All],[$ BONUS PAY]])+SUMIF(Apr_Period_2_Tbl[[#All],[STAFF:]],$A46,Apr_Period_2_Tbl[[#All],[$ BONUS PAY]])+   SUMIF(May_Period_2_Tbl[[#All],[STAFF:]],$A46,May_Period_2_Tbl[[#All],[$ BONUS PAY]])+   SUMIF(Jun_Period_2_Tbl[[#All],[STAFF:]],$A46,Jun_Period_2_Tbl[[#All],[$ BONUS PAY]])+  SUMIF(Jul_Period_2_Tbl[[#All],[STAFF:]],$A46,Jul_Period_2_Tbl[[#All],[$ BONUS PAY]])+  SUMIF(Aug_Period_2_Tbl[[#All],[STAFF:]],$A46,Aug_Period_2_Tbl[[#All],[$ BONUS PAY]])+  SUMIF(Sep_Period_2_Tbl[[#All],[STAFF:]],$A46,Sep_Period_2_Tbl[[#All],[$ BONUS PAY]])+  SUMIF(Oct_Period_2_Tbl[[#All],[STAFF:]],$A46,Oct_Period_2_Tbl[[#All],[$ BONUS PAY]])+     SUMIF(Nov_Period_2_Tbl[[#All],[STAFF:]],$A46,Nov_Period_2_Tbl[[#All],[$ BONUS PAY]])+  SUMIF(Dec_Period_2_Tbl[[#All],[STAFF:]],$A46,Dec_Period_2_Tbl[[#All],[$ BONUS PAY]]))</f>
        <v>0</v>
      </c>
      <c r="P46" s="179">
        <f t="shared" si="9"/>
        <v>0</v>
      </c>
      <c r="Q46" s="149"/>
      <c r="R46" s="152">
        <f>(SUMIF(Jan_Period_1_Tbl[[#All],[STAFF:]],$A46,Jan_Period_1_Tbl[[#All],['# POINTS EARNED]])+
SUMIF(Feb_Period_1_Tbl[[#All],[STAFF:]],$A46,Feb_Period_1_Tbl[[#All],['# POINTS EARNED]])+SUMIF(Mar_Period_1_Tbl[[#All],[STAFF:]],$A46,Mar_Period_1_Tbl[[#All],['# POINTS EARNED]])+SUMIF(Apr_Period_1_Tbl[[#All],[STAFF:]],$A46,Apr_Period_1_Tbl[[#All],['# POINTS EARNED]])+   SUMIF(May_Period_1_Tbl[[#All],[STAFF:]],$A46,May_Period_1_Tbl[[#All],['# POINTS EARNED]])+   SUMIF(Jun_Period_1_Tbl[[#All],[STAFF:]],$A46,Jun_Period_1_Tbl[[#All],['# POINTS EARNED]])+  SUMIF(Jul_Period_1_Tbl[[#All],[STAFF:]],$A46,Jul_Period_1_Tbl[[#All],['# POINTS EARNED]])+  SUMIF(Aug_Period_1_Tbl[[#All],[STAFF:]],$A46,Aug_Period_1_Tbl[[#All],['# POINTS EARNED]])+  SUMIF(Sep_Period_1_Tbl[[#All],[STAFF:]],$A46,Sep_Period_1_Tbl[[#All],['# POINTS EARNED]])+  SUMIF(Oct_Period_1_Tbl[[#All],[STAFF:]],$A46,Oct_Period_1_Tbl[[#All],['# POINTS EARNED]])+     SUMIF(Nov_Period_1_Tbl[[#All],[STAFF:]],$A46,Nov_Period_1_Tbl[[#All],['# POINTS EARNED]])+  SUMIF(Dec_Period_1_Tbl[[#All],[STAFF:]],$A46,Dec_Period_1_Tbl[[#All],['# POINTS EARNED]]))+   (SUMIF(Jan_Period_2_Tbl[[#All],[STAFF:]],$A46,Jan_Period_2_Tbl[[#All],['# POINTS EARNED]])+
SUMIF(Feb_Period_2_Tbl[[#All],[STAFF:]],$A46,Feb_Period_2_Tbl[[#All],['# POINTS EARNED]])+SUMIF(Mar_Period_2_Tbl[[#All],[STAFF:]],$A46,Mar_Period_2_Tbl[[#All],['# POINTS EARNED]])+SUMIF(Apr_Period_2_Tbl[[#All],[STAFF:]],$A46,Apr_Period_2_Tbl[[#All],['# POINTS EARNED]])+   SUMIF(May_Period_2_Tbl[[#All],[STAFF:]],$A46,May_Period_2_Tbl[[#All],['# POINTS EARNED]])+   SUMIF(Jun_Period_2_Tbl[[#All],[STAFF:]],$A46,Jun_Period_2_Tbl[[#All],['# POINTS EARNED]])+  SUMIF(Jul_Period_2_Tbl[[#All],[STAFF:]],$A46,Jul_Period_2_Tbl[[#All],['# POINTS EARNED]])+  SUMIF(Aug_Period_2_Tbl[[#All],[STAFF:]],$A46,Aug_Period_2_Tbl[[#All],['# POINTS EARNED]])+  SUMIF(Sep_Period_2_Tbl[[#All],[STAFF:]],$A46,Sep_Period_2_Tbl[[#All],['# POINTS EARNED]])+  SUMIF(Oct_Period_2_Tbl[[#All],[STAFF:]],$A46,Oct_Period_2_Tbl[[#All],['# POINTS EARNED]])+     SUMIF(Nov_Period_2_Tbl[[#All],[STAFF:]],$A46,Nov_Period_2_Tbl[[#All],['# POINTS EARNED]])+  SUMIF(Dec_Period_2_Tbl[[#All],[STAFF:]],$A46,Dec_Period_2_Tbl[[#All],['# POINTS EARNED]]))</f>
        <v>0</v>
      </c>
      <c r="S46" s="152">
        <f>(SUMIF(Jan_Period_1_Tbl[[#All],[STAFF:]],$A46,Jan_Period_1_Tbl[[#All],['# POINTS USED]])+
SUMIF(Feb_Period_1_Tbl[[#All],[STAFF:]],$A46,Feb_Period_1_Tbl[[#All],['# POINTS USED]])+SUMIF(Mar_Period_1_Tbl[[#All],[STAFF:]],$A46,Mar_Period_1_Tbl[[#All],['# POINTS USED]])+SUMIF(Apr_Period_1_Tbl[[#All],[STAFF:]],$A46,Apr_Period_1_Tbl[[#All],['# POINTS USED]])+   SUMIF(May_Period_1_Tbl[[#All],[STAFF:]],$A46,May_Period_1_Tbl[[#All],['# POINTS USED]])+   SUMIF(Jun_Period_1_Tbl[[#All],[STAFF:]],$A46,Jun_Period_1_Tbl[[#All],['# POINTS USED]])+  SUMIF(Jul_Period_1_Tbl[[#All],[STAFF:]],$A46,Jul_Period_1_Tbl[[#All],['# POINTS USED]])+  SUMIF(Aug_Period_1_Tbl[[#All],[STAFF:]],$A46,Aug_Period_1_Tbl[[#All],['# POINTS USED]])+  SUMIF(Sep_Period_1_Tbl[[#All],[STAFF:]],$A46,Sep_Period_1_Tbl[[#All],['# POINTS USED]])+  SUMIF(Oct_Period_1_Tbl[[#All],[STAFF:]],$A46,Oct_Period_1_Tbl[[#All],['# POINTS USED]])+     SUMIF(Nov_Period_1_Tbl[[#All],[STAFF:]],$A46,Nov_Period_1_Tbl[[#All],['# POINTS USED]])+  SUMIF(Dec_Period_1_Tbl[[#All],[STAFF:]],$A46,Dec_Period_1_Tbl[[#All],['# POINTS USED]]))+   (SUMIF(Jan_Period_2_Tbl[[#All],[STAFF:]],$A46,Jan_Period_2_Tbl[[#All],['# POINTS USED]])+
SUMIF(Feb_Period_2_Tbl[[#All],[STAFF:]],$A46,Feb_Period_2_Tbl[[#All],['# POINTS USED]])+SUMIF(Mar_Period_2_Tbl[[#All],[STAFF:]],$A46,Mar_Period_2_Tbl[[#All],['# POINTS USED]])+SUMIF(Apr_Period_2_Tbl[[#All],[STAFF:]],$A46,Apr_Period_2_Tbl[[#All],['# POINTS USED]])+   SUMIF(May_Period_2_Tbl[[#All],[STAFF:]],$A46,May_Period_2_Tbl[[#All],['# POINTS USED]])+   SUMIF(Jun_Period_2_Tbl[[#All],[STAFF:]],$A46,Jun_Period_2_Tbl[[#All],['# POINTS USED]])+  SUMIF(Jul_Period_2_Tbl[[#All],[STAFF:]],$A46,Jul_Period_2_Tbl[[#All],['# POINTS USED]])+  SUMIF(Aug_Period_2_Tbl[[#All],[STAFF:]],$A46,Aug_Period_2_Tbl[[#All],['# POINTS USED]])+  SUMIF(Sep_Period_2_Tbl[[#All],[STAFF:]],$A46,Sep_Period_2_Tbl[[#All],['# POINTS USED]])+  SUMIF(Oct_Period_2_Tbl[[#All],[STAFF:]],$A46,Oct_Period_2_Tbl[[#All],['# POINTS USED]])+     SUMIF(Nov_Period_2_Tbl[[#All],[STAFF:]],$A46,Nov_Period_2_Tbl[[#All],['# POINTS USED]])+  SUMIF(Dec_Period_2_Tbl[[#All],[STAFF:]],$A46,Dec_Period_2_Tbl[[#All],['# POINTS USED]]))</f>
        <v>0</v>
      </c>
      <c r="T46" s="152">
        <f>(SUMIF(Jan_Period_1_Tbl[[#All],[STAFF:]],$A46,Jan_Period_1_Tbl[[#All],['# CLASSES LEAD]])+
SUMIF(Feb_Period_1_Tbl[[#All],[STAFF:]],$A46,Feb_Period_1_Tbl[[#All],['# CLASSES LEAD]])+SUMIF(Mar_Period_1_Tbl[[#All],[STAFF:]],$A46,Mar_Period_1_Tbl[[#All],['# CLASSES LEAD]])+SUMIF(Apr_Period_1_Tbl[[#All],[STAFF:]],$A46,Apr_Period_1_Tbl[[#All],['# CLASSES LEAD]])+   SUMIF(May_Period_1_Tbl[[#All],[STAFF:]],$A46,May_Period_1_Tbl[[#All],['# CLASSES LEAD]])+   SUMIF(Jun_Period_1_Tbl[[#All],[STAFF:]],$A46,Jun_Period_1_Tbl[[#All],['# CLASSES LEAD]])+  SUMIF(Jul_Period_1_Tbl[[#All],[STAFF:]],$A46,Jul_Period_1_Tbl[[#All],['# CLASSES LEAD]])+  SUMIF(Aug_Period_1_Tbl[[#All],[STAFF:]],$A46,Aug_Period_1_Tbl[[#All],['# CLASSES LEAD]])+  SUMIF(Sep_Period_1_Tbl[[#All],[STAFF:]],$A46,Sep_Period_1_Tbl[[#All],['# CLASSES LEAD]])+  SUMIF(Oct_Period_1_Tbl[[#All],[STAFF:]],$A46,Oct_Period_1_Tbl[[#All],['# CLASSES LEAD]])+     SUMIF(Nov_Period_1_Tbl[[#All],[STAFF:]],$A46,Nov_Period_1_Tbl[[#All],['# CLASSES LEAD]])+  SUMIF(Dec_Period_1_Tbl[[#All],[STAFF:]],$A46,Dec_Period_1_Tbl[[#All],['# CLASSES LEAD]]))+   (SUMIF(Jan_Period_2_Tbl[[#All],[STAFF:]],$A46,Jan_Period_2_Tbl[[#All],['# CLASSES LEAD]])+
SUMIF(Feb_Period_2_Tbl[[#All],[STAFF:]],$A46,Feb_Period_2_Tbl[[#All],['# CLASSES LEAD]])+SUMIF(Mar_Period_2_Tbl[[#All],[STAFF:]],$A46,Mar_Period_2_Tbl[[#All],['# CLASSES LEAD]])+SUMIF(Apr_Period_2_Tbl[[#All],[STAFF:]],$A46,Apr_Period_2_Tbl[[#All],['# CLASSES LEAD]])+   SUMIF(May_Period_2_Tbl[[#All],[STAFF:]],$A46,May_Period_2_Tbl[[#All],['# CLASSES LEAD]])+   SUMIF(Jun_Period_2_Tbl[[#All],[STAFF:]],$A46,Jun_Period_2_Tbl[[#All],['# CLASSES LEAD]])+  SUMIF(Jul_Period_2_Tbl[[#All],[STAFF:]],$A46,Jul_Period_2_Tbl[[#All],['# CLASSES LEAD]])+  SUMIF(Aug_Period_2_Tbl[[#All],[STAFF:]],$A46,Aug_Period_2_Tbl[[#All],['# CLASSES LEAD]])+  SUMIF(Sep_Period_2_Tbl[[#All],[STAFF:]],$A46,Sep_Period_2_Tbl[[#All],['# CLASSES LEAD]])+  SUMIF(Oct_Period_2_Tbl[[#All],[STAFF:]],$A46,Oct_Period_2_Tbl[[#All],['# CLASSES LEAD]])+     SUMIF(Nov_Period_2_Tbl[[#All],[STAFF:]],$A46,Nov_Period_2_Tbl[[#All],['# CLASSES LEAD]])+  SUMIF(Dec_Period_2_Tbl[[#All],[STAFF:]],$A46,Dec_Period_2_Tbl[[#All],['# CLASSES LEAD]]))</f>
        <v>0</v>
      </c>
      <c r="U46" s="152">
        <f>(SUMIF(Jan_Period_1_Tbl[[#All],[STAFF:]],$A46,Jan_Period_1_Tbl[[#All],['# CLASSES SHOW]])+
SUMIF(Feb_Period_1_Tbl[[#All],[STAFF:]],$A46,Feb_Period_1_Tbl[[#All],['# CLASSES SHOW]])+SUMIF(Mar_Period_1_Tbl[[#All],[STAFF:]],$A46,Mar_Period_1_Tbl[[#All],['# CLASSES SHOW]])+SUMIF(Apr_Period_1_Tbl[[#All],[STAFF:]],$A46,Apr_Period_1_Tbl[[#All],['# CLASSES SHOW]])+   SUMIF(May_Period_1_Tbl[[#All],[STAFF:]],$A46,May_Period_1_Tbl[[#All],['# CLASSES SHOW]])+   SUMIF(Jun_Period_1_Tbl[[#All],[STAFF:]],$A46,Jun_Period_1_Tbl[[#All],['# CLASSES SHOW]])+  SUMIF(Jul_Period_1_Tbl[[#All],[STAFF:]],$A46,Jul_Period_1_Tbl[[#All],['# CLASSES SHOW]])+  SUMIF(Aug_Period_1_Tbl[[#All],[STAFF:]],$A46,Aug_Period_1_Tbl[[#All],['# CLASSES SHOW]])+  SUMIF(Sep_Period_1_Tbl[[#All],[STAFF:]],$A46,Sep_Period_1_Tbl[[#All],['# CLASSES SHOW]])+  SUMIF(Oct_Period_1_Tbl[[#All],[STAFF:]],$A46,Oct_Period_1_Tbl[[#All],['# CLASSES SHOW]])+     SUMIF(Nov_Period_1_Tbl[[#All],[STAFF:]],$A46,Nov_Period_1_Tbl[[#All],['# CLASSES SHOW]])+  SUMIF(Dec_Period_1_Tbl[[#All],[STAFF:]],$A46,Dec_Period_1_Tbl[[#All],['# CLASSES SHOW]]))+   (SUMIF(Jan_Period_2_Tbl[[#All],[STAFF:]],$A46,Jan_Period_2_Tbl[[#All],['# CLASSES SHOW]])+
SUMIF(Feb_Period_2_Tbl[[#All],[STAFF:]],$A46,Feb_Period_2_Tbl[[#All],['# CLASSES SHOW]])+SUMIF(Mar_Period_2_Tbl[[#All],[STAFF:]],$A46,Mar_Period_2_Tbl[[#All],['# CLASSES SHOW]])+SUMIF(Apr_Period_2_Tbl[[#All],[STAFF:]],$A46,Apr_Period_2_Tbl[[#All],['# CLASSES SHOW]])+   SUMIF(May_Period_2_Tbl[[#All],[STAFF:]],$A46,May_Period_2_Tbl[[#All],['# CLASSES SHOW]])+   SUMIF(Jun_Period_2_Tbl[[#All],[STAFF:]],$A46,Jun_Period_2_Tbl[[#All],['# CLASSES SHOW]])+  SUMIF(Jul_Period_2_Tbl[[#All],[STAFF:]],$A46,Jul_Period_2_Tbl[[#All],['# CLASSES SHOW]])+  SUMIF(Aug_Period_2_Tbl[[#All],[STAFF:]],$A46,Aug_Period_2_Tbl[[#All],['# CLASSES SHOW]])+  SUMIF(Sep_Period_2_Tbl[[#All],[STAFF:]],$A46,Sep_Period_2_Tbl[[#All],['# CLASSES SHOW]])+  SUMIF(Oct_Period_2_Tbl[[#All],[STAFF:]],$A46,Oct_Period_2_Tbl[[#All],['# CLASSES SHOW]])+     SUMIF(Nov_Period_2_Tbl[[#All],[STAFF:]],$A46,Nov_Period_2_Tbl[[#All],['# CLASSES SHOW]])+  SUMIF(Dec_Period_2_Tbl[[#All],[STAFF:]],$A46,Dec_Period_2_Tbl[[#All],['# CLASSES SHOW]]))</f>
        <v>0</v>
      </c>
      <c r="V46" s="156"/>
      <c r="W46" s="156"/>
      <c r="X46" s="154">
        <f t="shared" si="10"/>
        <v>0</v>
      </c>
      <c r="Y46" s="154">
        <f t="shared" si="11"/>
        <v>0</v>
      </c>
      <c r="Z46" s="154">
        <f t="shared" si="12"/>
        <v>0</v>
      </c>
      <c r="AA46" s="154">
        <f t="shared" si="13"/>
        <v>0</v>
      </c>
      <c r="AB46" s="154">
        <f t="shared" si="14"/>
        <v>0</v>
      </c>
      <c r="AC46" s="154">
        <f t="shared" si="15"/>
        <v>0</v>
      </c>
      <c r="AD46" s="154">
        <f t="shared" si="16"/>
        <v>0</v>
      </c>
      <c r="AE46" s="149"/>
      <c r="AF46" s="149"/>
      <c r="AG46" s="149"/>
      <c r="AH46" s="149"/>
      <c r="AJ46" s="75" t="str">
        <f t="shared" si="17"/>
        <v>zBlank</v>
      </c>
      <c r="AK46" s="210"/>
      <c r="AL46" s="168">
        <f>IFERROR(VLOOKUP(B46,List!$A:$B,2,FALSE),-1)</f>
        <v>-1</v>
      </c>
      <c r="AM46" s="168">
        <f>IFERROR(VLOOKUP(C46,List!$A:$B,2,FALSE),-1)</f>
        <v>-1</v>
      </c>
    </row>
    <row r="47" spans="1:39" ht="15" hidden="1" customHeight="1" x14ac:dyDescent="0.25">
      <c r="A47" s="20"/>
      <c r="B47" s="186"/>
      <c r="C47" s="186"/>
      <c r="D47" s="187"/>
      <c r="E47" s="188">
        <f>(SUMIF(Jan_Period_1_Tbl[[#All],[STAFF:]],$A47,Jan_Period_1_Tbl[[#All],['# PTO USED]])+
SUMIF(Feb_Period_1_Tbl[[#All],[STAFF:]],$A47,Feb_Period_1_Tbl[[#All],['# PTO USED]])+SUMIF(Mar_Period_1_Tbl[[#All],[STAFF:]],$A47,Mar_Period_1_Tbl[[#All],['# PTO USED]])+SUMIF(Apr_Period_1_Tbl[[#All],[STAFF:]],$A47,Apr_Period_1_Tbl[[#All],['# PTO USED]])+   SUMIF(May_Period_1_Tbl[[#All],[STAFF:]],$A47,May_Period_1_Tbl[[#All],['# PTO USED]])+   SUMIF(Jun_Period_1_Tbl[[#All],[STAFF:]],$A47,Jun_Period_1_Tbl[[#All],['# PTO USED]])+  SUMIF(Jul_Period_1_Tbl[[#All],[STAFF:]],$A47,Jul_Period_1_Tbl[[#All],['# PTO USED]])+  SUMIF(Aug_Period_1_Tbl[[#All],[STAFF:]],$A47,Aug_Period_1_Tbl[[#All],['# PTO USED]])+  SUMIF(Sep_Period_1_Tbl[[#All],[STAFF:]],$A47,Sep_Period_1_Tbl[[#All],['# PTO USED]])+  SUMIF(Oct_Period_1_Tbl[[#All],[STAFF:]],$A47,Oct_Period_1_Tbl[[#All],['# PTO USED]])+     SUMIF(Nov_Period_1_Tbl[[#All],[STAFF:]],$A47,Nov_Period_1_Tbl[[#All],['# PTO USED]])+  SUMIF(Dec_Period_1_Tbl[[#All],[STAFF:]],$A47,Dec_Period_1_Tbl[[#All],['# PTO USED]]))+   (SUMIF(Jan_Period_2_Tbl[[#All],[STAFF:]],$A47,Jan_Period_2_Tbl[[#All],['# PTO USED]])+
SUMIF(Feb_Period_2_Tbl[[#All],[STAFF:]],$A47,Feb_Period_2_Tbl[[#All],['# PTO USED]])+SUMIF(Mar_Period_2_Tbl[[#All],[STAFF:]],$A47,Mar_Period_2_Tbl[[#All],['# PTO USED]])+SUMIF(Apr_Period_2_Tbl[[#All],[STAFF:]],$A47,Apr_Period_2_Tbl[[#All],['# PTO USED]])+   SUMIF(May_Period_2_Tbl[[#All],[STAFF:]],$A47,May_Period_2_Tbl[[#All],['# PTO USED]])+   SUMIF(Jun_Period_2_Tbl[[#All],[STAFF:]],$A47,Jun_Period_2_Tbl[[#All],['# PTO USED]])+  SUMIF(Jul_Period_2_Tbl[[#All],[STAFF:]],$A47,Jul_Period_2_Tbl[[#All],['# PTO USED]])+  SUMIF(Aug_Period_2_Tbl[[#All],[STAFF:]],$A47,Aug_Period_2_Tbl[[#All],['# PTO USED]])+  SUMIF(Sep_Period_2_Tbl[[#All],[STAFF:]],$A47,Sep_Period_2_Tbl[[#All],['# PTO USED]])+  SUMIF(Oct_Period_2_Tbl[[#All],[STAFF:]],$A47,Oct_Period_2_Tbl[[#All],['# PTO USED]])+     SUMIF(Nov_Period_2_Tbl[[#All],[STAFF:]],$A47,Nov_Period_2_Tbl[[#All],['# PTO USED]])+  SUMIF(Dec_Period_2_Tbl[[#All],[STAFF:]],$A47,Dec_Period_2_Tbl[[#All],['# PTO USED]]))</f>
        <v>0</v>
      </c>
      <c r="F47" s="189">
        <f>(SUMIF(Jan_Period_1_Tbl[[#All],[STAFF:]],$A47,Jan_Period_1_Tbl[[#All],['# HRS WORKED]])+
SUMIF(Feb_Period_1_Tbl[[#All],[STAFF:]],$A47,Feb_Period_1_Tbl[[#All],['# HRS WORKED]])+SUMIF(Mar_Period_1_Tbl[[#All],[STAFF:]],$A47,Mar_Period_1_Tbl[[#All],['# HRS WORKED]])+SUMIF(Apr_Period_1_Tbl[[#All],[STAFF:]],$A47,Apr_Period_1_Tbl[[#All],['# HRS WORKED]])+   SUMIF(May_Period_1_Tbl[[#All],[STAFF:]],$A47,May_Period_1_Tbl[[#All],['# HRS WORKED]])+   SUMIF(Jun_Period_1_Tbl[[#All],[STAFF:]],$A47,Jun_Period_1_Tbl[[#All],['# HRS WORKED]])+  SUMIF(Jul_Period_1_Tbl[[#All],[STAFF:]],$A47,Jul_Period_1_Tbl[[#All],['# HRS WORKED]])+  SUMIF(Aug_Period_1_Tbl[[#All],[STAFF:]],$A47,Aug_Period_1_Tbl[[#All],['# HRS WORKED]])+  SUMIF(Sep_Period_1_Tbl[[#All],[STAFF:]],$A47,Sep_Period_1_Tbl[[#All],['# HRS WORKED]])+  SUMIF(Oct_Period_1_Tbl[[#All],[STAFF:]],$A47,Oct_Period_1_Tbl[[#All],['# HRS WORKED]])+     SUMIF(Nov_Period_1_Tbl[[#All],[STAFF:]],$A47,Nov_Period_1_Tbl[[#All],['# HRS WORKED]])+  SUMIF(Dec_Period_1_Tbl[[#All],[STAFF:]],$A47,Dec_Period_1_Tbl[[#All],['# HRS WORKED]]))+   (SUMIF(Jan_Period_2_Tbl[[#All],[STAFF:]],$A47,Jan_Period_2_Tbl[[#All],['# HRS WORKED]])+
SUMIF(Feb_Period_2_Tbl[[#All],[STAFF:]],$A47,Feb_Period_2_Tbl[[#All],['# HRS WORKED]])+SUMIF(Mar_Period_2_Tbl[[#All],[STAFF:]],$A47,Mar_Period_2_Tbl[[#All],['# HRS WORKED]])+SUMIF(Apr_Period_2_Tbl[[#All],[STAFF:]],$A47,Apr_Period_2_Tbl[[#All],['# HRS WORKED]])+   SUMIF(May_Period_2_Tbl[[#All],[STAFF:]],$A47,May_Period_2_Tbl[[#All],['# HRS WORKED]])+   SUMIF(Jun_Period_2_Tbl[[#All],[STAFF:]],$A47,Jun_Period_2_Tbl[[#All],['# HRS WORKED]])+  SUMIF(Jul_Period_2_Tbl[[#All],[STAFF:]],$A47,Jul_Period_2_Tbl[[#All],['# HRS WORKED]])+  SUMIF(Aug_Period_2_Tbl[[#All],[STAFF:]],$A47,Aug_Period_2_Tbl[[#All],['# HRS WORKED]])+  SUMIF(Sep_Period_2_Tbl[[#All],[STAFF:]],$A47,Sep_Period_2_Tbl[[#All],['# HRS WORKED]])+  SUMIF(Oct_Period_2_Tbl[[#All],[STAFF:]],$A47,Oct_Period_2_Tbl[[#All],['# HRS WORKED]])+     SUMIF(Nov_Period_2_Tbl[[#All],[STAFF:]],$A47,Nov_Period_2_Tbl[[#All],['# HRS WORKED]])+  SUMIF(Dec_Period_2_Tbl[[#All],[STAFF:]],$A47,Dec_Period_2_Tbl[[#All],['# HRS WORKED]]))</f>
        <v>0</v>
      </c>
      <c r="G47" s="190">
        <f>(SUMIF(Jan_Period_1_Tbl[[#All],[STAFF:]],$A47,Jan_Period_1_Tbl[[#All],[$ Hourly WAGES]])+
SUMIF(Feb_Period_1_Tbl[[#All],[STAFF:]],$A47,Feb_Period_1_Tbl[[#All],[$ Hourly WAGES]])+SUMIF(Mar_Period_1_Tbl[[#All],[STAFF:]],$A47,Mar_Period_1_Tbl[[#All],[$ Hourly WAGES]])+SUMIF(Apr_Period_1_Tbl[[#All],[STAFF:]],$A47,Apr_Period_1_Tbl[[#All],[$ Hourly WAGES]])+   SUMIF(May_Period_1_Tbl[[#All],[STAFF:]],$A47,May_Period_1_Tbl[[#All],[$ Hourly WAGES]])+   SUMIF(Jun_Period_1_Tbl[[#All],[STAFF:]],$A47,Jun_Period_1_Tbl[[#All],[$ Hourly WAGES]])+  SUMIF(Jul_Period_1_Tbl[[#All],[STAFF:]],$A47,Jul_Period_1_Tbl[[#All],[$ Hourly WAGES]])+  SUMIF(Aug_Period_1_Tbl[[#All],[STAFF:]],$A47,Aug_Period_1_Tbl[[#All],[$ Hourly WAGES]])+  SUMIF(Sep_Period_1_Tbl[[#All],[STAFF:]],$A47,Sep_Period_1_Tbl[[#All],[$ Hourly WAGES]])+  SUMIF(Oct_Period_1_Tbl[[#All],[STAFF:]],$A47,Oct_Period_1_Tbl[[#All],[$ Hourly WAGES]])+     SUMIF(Nov_Period_1_Tbl[[#All],[STAFF:]],$A47,Nov_Period_1_Tbl[[#All],[$ Hourly WAGES]])+  SUMIF(Dec_Period_1_Tbl[[#All],[STAFF:]],$A47,Dec_Period_1_Tbl[[#All],[$ Hourly WAGES]]))+   (SUMIF(Jan_Period_2_Tbl[[#All],[STAFF:]],$A47,Jan_Period_2_Tbl[[#All],[$ Hourly WAGES]])+
SUMIF(Feb_Period_2_Tbl[[#All],[STAFF:]],$A47,Feb_Period_2_Tbl[[#All],[$ Hourly WAGES]])+SUMIF(Mar_Period_2_Tbl[[#All],[STAFF:]],$A47,Mar_Period_2_Tbl[[#All],[$ Hourly WAGES]])+SUMIF(Apr_Period_2_Tbl[[#All],[STAFF:]],$A47,Apr_Period_2_Tbl[[#All],[$ Hourly WAGES]])+   SUMIF(May_Period_2_Tbl[[#All],[STAFF:]],$A47,May_Period_2_Tbl[[#All],[$ Hourly WAGES]])+   SUMIF(Jun_Period_2_Tbl[[#All],[STAFF:]],$A47,Jun_Period_2_Tbl[[#All],[$ Hourly WAGES]])+  SUMIF(Jul_Period_2_Tbl[[#All],[STAFF:]],$A47,Jul_Period_2_Tbl[[#All],[$ Hourly WAGES]])+  SUMIF(Aug_Period_2_Tbl[[#All],[STAFF:]],$A47,Aug_Period_2_Tbl[[#All],[$ Hourly WAGES]])+  SUMIF(Sep_Period_2_Tbl[[#All],[STAFF:]],$A47,Sep_Period_2_Tbl[[#All],[$ Hourly WAGES]])+  SUMIF(Oct_Period_2_Tbl[[#All],[STAFF:]],$A47,Oct_Period_2_Tbl[[#All],[$ Hourly WAGES]])+     SUMIF(Nov_Period_2_Tbl[[#All],[STAFF:]],$A47,Nov_Period_2_Tbl[[#All],[$ Hourly WAGES]])+  SUMIF(Dec_Period_2_Tbl[[#All],[STAFF:]],$A47,Dec_Period_2_Tbl[[#All],[$ Hourly WAGES]]))</f>
        <v>0</v>
      </c>
      <c r="H47" s="190">
        <f>(SUMIF(Jan_Period_1_Tbl[[#All],[STAFF:]],$A47,Jan_Period_1_Tbl[[#All],[$ SALARY]])+
SUMIF(Feb_Period_1_Tbl[[#All],[STAFF:]],$A47,Feb_Period_1_Tbl[[#All],[$ SALARY]])+SUMIF(Mar_Period_1_Tbl[[#All],[STAFF:]],$A47,Mar_Period_1_Tbl[[#All],[$ SALARY]])+SUMIF(Apr_Period_1_Tbl[[#All],[STAFF:]],$A47,Apr_Period_1_Tbl[[#All],[$ SALARY]])+   SUMIF(May_Period_1_Tbl[[#All],[STAFF:]],$A47,May_Period_1_Tbl[[#All],[$ SALARY]])+   SUMIF(Jun_Period_1_Tbl[[#All],[STAFF:]],$A47,Jun_Period_1_Tbl[[#All],[$ SALARY]])+  SUMIF(Jul_Period_1_Tbl[[#All],[STAFF:]],$A47,Jul_Period_1_Tbl[[#All],[$ SALARY]])+  SUMIF(Aug_Period_1_Tbl[[#All],[STAFF:]],$A47,Aug_Period_1_Tbl[[#All],[$ SALARY]])+  SUMIF(Sep_Period_1_Tbl[[#All],[STAFF:]],$A47,Sep_Period_1_Tbl[[#All],[$ SALARY]])+  SUMIF(Oct_Period_1_Tbl[[#All],[STAFF:]],$A47,Oct_Period_1_Tbl[[#All],[$ SALARY]])+     SUMIF(Nov_Period_1_Tbl[[#All],[STAFF:]],$A47,Nov_Period_1_Tbl[[#All],[$ SALARY]])+  SUMIF(Dec_Period_1_Tbl[[#All],[STAFF:]],$A47,Dec_Period_1_Tbl[[#All],[$ SALARY]]))+   (SUMIF(Jan_Period_2_Tbl[[#All],[STAFF:]],$A47,Jan_Period_2_Tbl[[#All],[$ SALARY]])+
SUMIF(Feb_Period_2_Tbl[[#All],[STAFF:]],$A47,Feb_Period_2_Tbl[[#All],[$ SALARY]])+SUMIF(Mar_Period_2_Tbl[[#All],[STAFF:]],$A47,Mar_Period_2_Tbl[[#All],[$ SALARY]])+SUMIF(Apr_Period_2_Tbl[[#All],[STAFF:]],$A47,Apr_Period_2_Tbl[[#All],[$ SALARY]])+   SUMIF(May_Period_2_Tbl[[#All],[STAFF:]],$A47,May_Period_2_Tbl[[#All],[$ SALARY]])+   SUMIF(Jun_Period_2_Tbl[[#All],[STAFF:]],$A47,Jun_Period_2_Tbl[[#All],[$ SALARY]])+  SUMIF(Jul_Period_2_Tbl[[#All],[STAFF:]],$A47,Jul_Period_2_Tbl[[#All],[$ SALARY]])+  SUMIF(Aug_Period_2_Tbl[[#All],[STAFF:]],$A47,Aug_Period_2_Tbl[[#All],[$ SALARY]])+  SUMIF(Sep_Period_2_Tbl[[#All],[STAFF:]],$A47,Sep_Period_2_Tbl[[#All],[$ SALARY]])+  SUMIF(Oct_Period_2_Tbl[[#All],[STAFF:]],$A47,Oct_Period_2_Tbl[[#All],[$ SALARY]])+     SUMIF(Nov_Period_2_Tbl[[#All],[STAFF:]],$A47,Nov_Period_2_Tbl[[#All],[$ SALARY]])+  SUMIF(Dec_Period_2_Tbl[[#All],[STAFF:]],$A47,Dec_Period_2_Tbl[[#All],[$ SALARY]]))</f>
        <v>0</v>
      </c>
      <c r="I47" s="190">
        <f>(SUMIF(Jan_Period_1_Tbl[[#All],[STAFF:]],$A47,Jan_Period_1_Tbl[[#All],[$ SALARY PT]])+
SUMIF(Feb_Period_1_Tbl[[#All],[STAFF:]],$A47,Feb_Period_1_Tbl[[#All],[$ SALARY PT]])+SUMIF(Mar_Period_1_Tbl[[#All],[STAFF:]],$A47,Mar_Period_1_Tbl[[#All],[$ SALARY PT]])+SUMIF(Apr_Period_1_Tbl[[#All],[STAFF:]],$A47,Apr_Period_1_Tbl[[#All],[$ SALARY PT]])+   SUMIF(May_Period_1_Tbl[[#All],[STAFF:]],$A47,May_Period_1_Tbl[[#All],[$ SALARY PT]])+   SUMIF(Jun_Period_1_Tbl[[#All],[STAFF:]],$A47,Jun_Period_1_Tbl[[#All],[$ SALARY PT]])+  SUMIF(Jul_Period_1_Tbl[[#All],[STAFF:]],$A47,Jul_Period_1_Tbl[[#All],[$ SALARY PT]])+  SUMIF(Aug_Period_1_Tbl[[#All],[STAFF:]],$A47,Aug_Period_1_Tbl[[#All],[$ SALARY PT]])+  SUMIF(Sep_Period_1_Tbl[[#All],[STAFF:]],$A47,Sep_Period_1_Tbl[[#All],[$ SALARY PT]])+  SUMIF(Oct_Period_1_Tbl[[#All],[STAFF:]],$A47,Oct_Period_1_Tbl[[#All],[$ SALARY PT]])+     SUMIF(Nov_Period_1_Tbl[[#All],[STAFF:]],$A47,Nov_Period_1_Tbl[[#All],[$ SALARY PT]])+  SUMIF(Dec_Period_1_Tbl[[#All],[STAFF:]],$A47,Dec_Period_1_Tbl[[#All],[$ SALARY PT]]))+   (SUMIF(Jan_Period_2_Tbl[[#All],[STAFF:]],$A47,Jan_Period_2_Tbl[[#All],[$ SALARY PT]])+
SUMIF(Feb_Period_2_Tbl[[#All],[STAFF:]],$A47,Feb_Period_2_Tbl[[#All],[$ SALARY PT]])+SUMIF(Mar_Period_2_Tbl[[#All],[STAFF:]],$A47,Mar_Period_2_Tbl[[#All],[$ SALARY PT]])+SUMIF(Apr_Period_2_Tbl[[#All],[STAFF:]],$A47,Apr_Period_2_Tbl[[#All],[$ SALARY PT]])+   SUMIF(May_Period_2_Tbl[[#All],[STAFF:]],$A47,May_Period_2_Tbl[[#All],[$ SALARY PT]])+   SUMIF(Jun_Period_2_Tbl[[#All],[STAFF:]],$A47,Jun_Period_2_Tbl[[#All],[$ SALARY PT]])+  SUMIF(Jul_Period_2_Tbl[[#All],[STAFF:]],$A47,Jul_Period_2_Tbl[[#All],[$ SALARY PT]])+  SUMIF(Aug_Period_2_Tbl[[#All],[STAFF:]],$A47,Aug_Period_2_Tbl[[#All],[$ SALARY PT]])+  SUMIF(Sep_Period_2_Tbl[[#All],[STAFF:]],$A47,Sep_Period_2_Tbl[[#All],[$ SALARY PT]])+  SUMIF(Oct_Period_2_Tbl[[#All],[STAFF:]],$A47,Oct_Period_2_Tbl[[#All],[$ SALARY PT]])+     SUMIF(Nov_Period_2_Tbl[[#All],[STAFF:]],$A47,Nov_Period_2_Tbl[[#All],[$ SALARY PT]])+  SUMIF(Dec_Period_2_Tbl[[#All],[STAFF:]],$A47,Dec_Period_2_Tbl[[#All],[$ SALARY PT]]))</f>
        <v>0</v>
      </c>
      <c r="J47" s="190">
        <f>(SUMIF(Jan_Period_1_Tbl[[#All],[STAFF:]],$A47,Jan_Period_1_Tbl[[#All],[$ FREE PT]])+
SUMIF(Feb_Period_1_Tbl[[#All],[STAFF:]],$A47,Feb_Period_1_Tbl[[#All],[$ FREE PT]])+SUMIF(Mar_Period_1_Tbl[[#All],[STAFF:]],$A47,Mar_Period_1_Tbl[[#All],[$ FREE PT]])+SUMIF(Apr_Period_1_Tbl[[#All],[STAFF:]],$A47,Apr_Period_1_Tbl[[#All],[$ FREE PT]])+   SUMIF(May_Period_1_Tbl[[#All],[STAFF:]],$A47,May_Period_1_Tbl[[#All],[$ FREE PT]])+   SUMIF(Jun_Period_1_Tbl[[#All],[STAFF:]],$A47,Jun_Period_1_Tbl[[#All],[$ FREE PT]])+  SUMIF(Jul_Period_1_Tbl[[#All],[STAFF:]],$A47,Jul_Period_1_Tbl[[#All],[$ FREE PT]])+  SUMIF(Aug_Period_1_Tbl[[#All],[STAFF:]],$A47,Aug_Period_1_Tbl[[#All],[$ FREE PT]])+  SUMIF(Sep_Period_1_Tbl[[#All],[STAFF:]],$A47,Sep_Period_1_Tbl[[#All],[$ FREE PT]])+  SUMIF(Oct_Period_1_Tbl[[#All],[STAFF:]],$A47,Oct_Period_1_Tbl[[#All],[$ FREE PT]])+     SUMIF(Nov_Period_1_Tbl[[#All],[STAFF:]],$A47,Nov_Period_1_Tbl[[#All],[$ FREE PT]])+  SUMIF(Dec_Period_1_Tbl[[#All],[STAFF:]],$A47,Dec_Period_1_Tbl[[#All],[$ FREE PT]]))+   (SUMIF(Jan_Period_2_Tbl[[#All],[STAFF:]],$A47,Jan_Period_2_Tbl[[#All],[$ FREE PT]])+
SUMIF(Feb_Period_2_Tbl[[#All],[STAFF:]],$A47,Feb_Period_2_Tbl[[#All],[$ FREE PT]])+SUMIF(Mar_Period_2_Tbl[[#All],[STAFF:]],$A47,Mar_Period_2_Tbl[[#All],[$ FREE PT]])+SUMIF(Apr_Period_2_Tbl[[#All],[STAFF:]],$A47,Apr_Period_2_Tbl[[#All],[$ FREE PT]])+   SUMIF(May_Period_2_Tbl[[#All],[STAFF:]],$A47,May_Period_2_Tbl[[#All],[$ FREE PT]])+   SUMIF(Jun_Period_2_Tbl[[#All],[STAFF:]],$A47,Jun_Period_2_Tbl[[#All],[$ FREE PT]])+  SUMIF(Jul_Period_2_Tbl[[#All],[STAFF:]],$A47,Jul_Period_2_Tbl[[#All],[$ FREE PT]])+  SUMIF(Aug_Period_2_Tbl[[#All],[STAFF:]],$A47,Aug_Period_2_Tbl[[#All],[$ FREE PT]])+  SUMIF(Sep_Period_2_Tbl[[#All],[STAFF:]],$A47,Sep_Period_2_Tbl[[#All],[$ FREE PT]])+  SUMIF(Oct_Period_2_Tbl[[#All],[STAFF:]],$A47,Oct_Period_2_Tbl[[#All],[$ FREE PT]])+     SUMIF(Nov_Period_2_Tbl[[#All],[STAFF:]],$A47,Nov_Period_2_Tbl[[#All],[$ FREE PT]])+  SUMIF(Dec_Period_2_Tbl[[#All],[STAFF:]],$A47,Dec_Period_2_Tbl[[#All],[$ FREE PT]]))</f>
        <v>0</v>
      </c>
      <c r="K47" s="190">
        <f>(SUMIF(Jan_Period_1_Tbl[[#All],[STAFF:]],$A47,Jan_Period_1_Tbl[[#All],[$ PAID PT]])+
SUMIF(Feb_Period_1_Tbl[[#All],[STAFF:]],$A47,Feb_Period_1_Tbl[[#All],[$ PAID PT]])+SUMIF(Mar_Period_1_Tbl[[#All],[STAFF:]],$A47,Mar_Period_1_Tbl[[#All],[$ PAID PT]])+SUMIF(Apr_Period_1_Tbl[[#All],[STAFF:]],$A47,Apr_Period_1_Tbl[[#All],[$ PAID PT]])+   SUMIF(May_Period_1_Tbl[[#All],[STAFF:]],$A47,May_Period_1_Tbl[[#All],[$ PAID PT]])+   SUMIF(Jun_Period_1_Tbl[[#All],[STAFF:]],$A47,Jun_Period_1_Tbl[[#All],[$ PAID PT]])+  SUMIF(Jul_Period_1_Tbl[[#All],[STAFF:]],$A47,Jul_Period_1_Tbl[[#All],[$ PAID PT]])+  SUMIF(Aug_Period_1_Tbl[[#All],[STAFF:]],$A47,Aug_Period_1_Tbl[[#All],[$ PAID PT]])+  SUMIF(Sep_Period_1_Tbl[[#All],[STAFF:]],$A47,Sep_Period_1_Tbl[[#All],[$ PAID PT]])+  SUMIF(Oct_Period_1_Tbl[[#All],[STAFF:]],$A47,Oct_Period_1_Tbl[[#All],[$ PAID PT]])+     SUMIF(Nov_Period_1_Tbl[[#All],[STAFF:]],$A47,Nov_Period_1_Tbl[[#All],[$ PAID PT]])+  SUMIF(Dec_Period_1_Tbl[[#All],[STAFF:]],$A47,Dec_Period_1_Tbl[[#All],[$ PAID PT]]))+   (SUMIF(Jan_Period_2_Tbl[[#All],[STAFF:]],$A47,Jan_Period_2_Tbl[[#All],[$ PAID PT]])+
SUMIF(Feb_Period_2_Tbl[[#All],[STAFF:]],$A47,Feb_Period_2_Tbl[[#All],[$ PAID PT]])+SUMIF(Mar_Period_2_Tbl[[#All],[STAFF:]],$A47,Mar_Period_2_Tbl[[#All],[$ PAID PT]])+SUMIF(Apr_Period_2_Tbl[[#All],[STAFF:]],$A47,Apr_Period_2_Tbl[[#All],[$ PAID PT]])+   SUMIF(May_Period_2_Tbl[[#All],[STAFF:]],$A47,May_Period_2_Tbl[[#All],[$ PAID PT]])+   SUMIF(Jun_Period_2_Tbl[[#All],[STAFF:]],$A47,Jun_Period_2_Tbl[[#All],[$ PAID PT]])+  SUMIF(Jul_Period_2_Tbl[[#All],[STAFF:]],$A47,Jul_Period_2_Tbl[[#All],[$ PAID PT]])+  SUMIF(Aug_Period_2_Tbl[[#All],[STAFF:]],$A47,Aug_Period_2_Tbl[[#All],[$ PAID PT]])+  SUMIF(Sep_Period_2_Tbl[[#All],[STAFF:]],$A47,Sep_Period_2_Tbl[[#All],[$ PAID PT]])+  SUMIF(Oct_Period_2_Tbl[[#All],[STAFF:]],$A47,Oct_Period_2_Tbl[[#All],[$ PAID PT]])+     SUMIF(Nov_Period_2_Tbl[[#All],[STAFF:]],$A47,Nov_Period_2_Tbl[[#All],[$ PAID PT]])+  SUMIF(Dec_Period_2_Tbl[[#All],[STAFF:]],$A47,Dec_Period_2_Tbl[[#All],[$ PAID PT]]))</f>
        <v>0</v>
      </c>
      <c r="L47" s="190">
        <f>(SUMIF(Jan_Period_1_Tbl[[#All],[STAFF:]],$A47,Jan_Period_1_Tbl[[#All],[$ PT COMM]])+
SUMIF(Feb_Period_1_Tbl[[#All],[STAFF:]],$A47,Feb_Period_1_Tbl[[#All],[$ PT COMM]])+SUMIF(Mar_Period_1_Tbl[[#All],[STAFF:]],$A47,Mar_Period_1_Tbl[[#All],[$ PT COMM]])+SUMIF(Apr_Period_1_Tbl[[#All],[STAFF:]],$A47,Apr_Period_1_Tbl[[#All],[$ PT COMM]])+   SUMIF(May_Period_1_Tbl[[#All],[STAFF:]],$A47,May_Period_1_Tbl[[#All],[$ PT COMM]])+   SUMIF(Jun_Period_1_Tbl[[#All],[STAFF:]],$A47,Jun_Period_1_Tbl[[#All],[$ PT COMM]])+  SUMIF(Jul_Period_1_Tbl[[#All],[STAFF:]],$A47,Jul_Period_1_Tbl[[#All],[$ PT COMM]])+  SUMIF(Aug_Period_1_Tbl[[#All],[STAFF:]],$A47,Aug_Period_1_Tbl[[#All],[$ PT COMM]])+  SUMIF(Sep_Period_1_Tbl[[#All],[STAFF:]],$A47,Sep_Period_1_Tbl[[#All],[$ PT COMM]])+  SUMIF(Oct_Period_1_Tbl[[#All],[STAFF:]],$A47,Oct_Period_1_Tbl[[#All],[$ PT COMM]])+     SUMIF(Nov_Period_1_Tbl[[#All],[STAFF:]],$A47,Nov_Period_1_Tbl[[#All],[$ PT COMM]])+  SUMIF(Dec_Period_1_Tbl[[#All],[STAFF:]],$A47,Dec_Period_1_Tbl[[#All],[$ PT COMM]]))+   (SUMIF(Jan_Period_2_Tbl[[#All],[STAFF:]],$A47,Jan_Period_2_Tbl[[#All],[$ PT COMM]])+
SUMIF(Feb_Period_2_Tbl[[#All],[STAFF:]],$A47,Feb_Period_2_Tbl[[#All],[$ PT COMM]])+SUMIF(Mar_Period_2_Tbl[[#All],[STAFF:]],$A47,Mar_Period_2_Tbl[[#All],[$ PT COMM]])+SUMIF(Apr_Period_2_Tbl[[#All],[STAFF:]],$A47,Apr_Period_2_Tbl[[#All],[$ PT COMM]])+   SUMIF(May_Period_2_Tbl[[#All],[STAFF:]],$A47,May_Period_2_Tbl[[#All],[$ PT COMM]])+   SUMIF(Jun_Period_2_Tbl[[#All],[STAFF:]],$A47,Jun_Period_2_Tbl[[#All],[$ PT COMM]])+  SUMIF(Jul_Period_2_Tbl[[#All],[STAFF:]],$A47,Jul_Period_2_Tbl[[#All],[$ PT COMM]])+  SUMIF(Aug_Period_2_Tbl[[#All],[STAFF:]],$A47,Aug_Period_2_Tbl[[#All],[$ PT COMM]])+  SUMIF(Sep_Period_2_Tbl[[#All],[STAFF:]],$A47,Sep_Period_2_Tbl[[#All],[$ PT COMM]])+  SUMIF(Oct_Period_2_Tbl[[#All],[STAFF:]],$A47,Oct_Period_2_Tbl[[#All],[$ PT COMM]])+     SUMIF(Nov_Period_2_Tbl[[#All],[STAFF:]],$A47,Nov_Period_2_Tbl[[#All],[$ PT COMM]])+  SUMIF(Dec_Period_2_Tbl[[#All],[STAFF:]],$A47,Dec_Period_2_Tbl[[#All],[$ PT COMM]]))</f>
        <v>0</v>
      </c>
      <c r="M47" s="190">
        <f>(SUMIF(Jan_Period_1_Tbl[[#All],[STAFF:]],$A47,Jan_Period_1_Tbl[[#All],[$ EFT COMM]])+
SUMIF(Feb_Period_1_Tbl[[#All],[STAFF:]],$A47,Feb_Period_1_Tbl[[#All],[$ EFT COMM]])+SUMIF(Mar_Period_1_Tbl[[#All],[STAFF:]],$A47,Mar_Period_1_Tbl[[#All],[$ EFT COMM]])+SUMIF(Apr_Period_1_Tbl[[#All],[STAFF:]],$A47,Apr_Period_1_Tbl[[#All],[$ EFT COMM]])+   SUMIF(May_Period_1_Tbl[[#All],[STAFF:]],$A47,May_Period_1_Tbl[[#All],[$ EFT COMM]])+   SUMIF(Jun_Period_1_Tbl[[#All],[STAFF:]],$A47,Jun_Period_1_Tbl[[#All],[$ EFT COMM]])+  SUMIF(Jul_Period_1_Tbl[[#All],[STAFF:]],$A47,Jul_Period_1_Tbl[[#All],[$ EFT COMM]])+  SUMIF(Aug_Period_1_Tbl[[#All],[STAFF:]],$A47,Aug_Period_1_Tbl[[#All],[$ EFT COMM]])+  SUMIF(Sep_Period_1_Tbl[[#All],[STAFF:]],$A47,Sep_Period_1_Tbl[[#All],[$ EFT COMM]])+  SUMIF(Oct_Period_1_Tbl[[#All],[STAFF:]],$A47,Oct_Period_1_Tbl[[#All],[$ EFT COMM]])+     SUMIF(Nov_Period_1_Tbl[[#All],[STAFF:]],$A47,Nov_Period_1_Tbl[[#All],[$ EFT COMM]])+  SUMIF(Dec_Period_1_Tbl[[#All],[STAFF:]],$A47,Dec_Period_1_Tbl[[#All],[$ EFT COMM]]))+   (SUMIF(Jan_Period_2_Tbl[[#All],[STAFF:]],$A47,Jan_Period_2_Tbl[[#All],[$ EFT COMM]])+
SUMIF(Feb_Period_2_Tbl[[#All],[STAFF:]],$A47,Feb_Period_2_Tbl[[#All],[$ EFT COMM]])+SUMIF(Mar_Period_2_Tbl[[#All],[STAFF:]],$A47,Mar_Period_2_Tbl[[#All],[$ EFT COMM]])+SUMIF(Apr_Period_2_Tbl[[#All],[STAFF:]],$A47,Apr_Period_2_Tbl[[#All],[$ EFT COMM]])+   SUMIF(May_Period_2_Tbl[[#All],[STAFF:]],$A47,May_Period_2_Tbl[[#All],[$ EFT COMM]])+   SUMIF(Jun_Period_2_Tbl[[#All],[STAFF:]],$A47,Jun_Period_2_Tbl[[#All],[$ EFT COMM]])+  SUMIF(Jul_Period_2_Tbl[[#All],[STAFF:]],$A47,Jul_Period_2_Tbl[[#All],[$ EFT COMM]])+  SUMIF(Aug_Period_2_Tbl[[#All],[STAFF:]],$A47,Aug_Period_2_Tbl[[#All],[$ EFT COMM]])+  SUMIF(Sep_Period_2_Tbl[[#All],[STAFF:]],$A47,Sep_Period_2_Tbl[[#All],[$ EFT COMM]])+  SUMIF(Oct_Period_2_Tbl[[#All],[STAFF:]],$A47,Oct_Period_2_Tbl[[#All],[$ EFT COMM]])+     SUMIF(Nov_Period_2_Tbl[[#All],[STAFF:]],$A47,Nov_Period_2_Tbl[[#All],[$ EFT COMM]])+  SUMIF(Dec_Period_2_Tbl[[#All],[STAFF:]],$A47,Dec_Period_2_Tbl[[#All],[$ EFT COMM]]))</f>
        <v>0</v>
      </c>
      <c r="N47" s="190">
        <f>(SUMIF(Jan_Period_1_Tbl[[#All],[STAFF:]],$A47,Jan_Period_1_Tbl[[#All],[$ CLASS PAY]])+
SUMIF(Feb_Period_1_Tbl[[#All],[STAFF:]],$A47,Feb_Period_1_Tbl[[#All],[$ CLASS PAY]])+SUMIF(Mar_Period_1_Tbl[[#All],[STAFF:]],$A47,Mar_Period_1_Tbl[[#All],[$ CLASS PAY]])+SUMIF(Apr_Period_1_Tbl[[#All],[STAFF:]],$A47,Apr_Period_1_Tbl[[#All],[$ CLASS PAY]])+   SUMIF(May_Period_1_Tbl[[#All],[STAFF:]],$A47,May_Period_1_Tbl[[#All],[$ CLASS PAY]])+   SUMIF(Jun_Period_1_Tbl[[#All],[STAFF:]],$A47,Jun_Period_1_Tbl[[#All],[$ CLASS PAY]])+  SUMIF(Jul_Period_1_Tbl[[#All],[STAFF:]],$A47,Jul_Period_1_Tbl[[#All],[$ CLASS PAY]])+  SUMIF(Aug_Period_1_Tbl[[#All],[STAFF:]],$A47,Aug_Period_1_Tbl[[#All],[$ CLASS PAY]])+  SUMIF(Sep_Period_1_Tbl[[#All],[STAFF:]],$A47,Sep_Period_1_Tbl[[#All],[$ CLASS PAY]])+  SUMIF(Oct_Period_1_Tbl[[#All],[STAFF:]],$A47,Oct_Period_1_Tbl[[#All],[$ CLASS PAY]])+     SUMIF(Nov_Period_1_Tbl[[#All],[STAFF:]],$A47,Nov_Period_1_Tbl[[#All],[$ CLASS PAY]])+  SUMIF(Dec_Period_1_Tbl[[#All],[STAFF:]],$A47,Dec_Period_1_Tbl[[#All],[$ CLASS PAY]]))+   (SUMIF(Jan_Period_2_Tbl[[#All],[STAFF:]],$A47,Jan_Period_2_Tbl[[#All],[$ CLASS PAY]])+
SUMIF(Feb_Period_2_Tbl[[#All],[STAFF:]],$A47,Feb_Period_2_Tbl[[#All],[$ CLASS PAY]])+SUMIF(Mar_Period_2_Tbl[[#All],[STAFF:]],$A47,Mar_Period_2_Tbl[[#All],[$ CLASS PAY]])+SUMIF(Apr_Period_2_Tbl[[#All],[STAFF:]],$A47,Apr_Period_2_Tbl[[#All],[$ CLASS PAY]])+   SUMIF(May_Period_2_Tbl[[#All],[STAFF:]],$A47,May_Period_2_Tbl[[#All],[$ CLASS PAY]])+   SUMIF(Jun_Period_2_Tbl[[#All],[STAFF:]],$A47,Jun_Period_2_Tbl[[#All],[$ CLASS PAY]])+  SUMIF(Jul_Period_2_Tbl[[#All],[STAFF:]],$A47,Jul_Period_2_Tbl[[#All],[$ CLASS PAY]])+  SUMIF(Aug_Period_2_Tbl[[#All],[STAFF:]],$A47,Aug_Period_2_Tbl[[#All],[$ CLASS PAY]])+  SUMIF(Sep_Period_2_Tbl[[#All],[STAFF:]],$A47,Sep_Period_2_Tbl[[#All],[$ CLASS PAY]])+  SUMIF(Oct_Period_2_Tbl[[#All],[STAFF:]],$A47,Oct_Period_2_Tbl[[#All],[$ CLASS PAY]])+     SUMIF(Nov_Period_2_Tbl[[#All],[STAFF:]],$A47,Nov_Period_2_Tbl[[#All],[$ CLASS PAY]])+  SUMIF(Dec_Period_2_Tbl[[#All],[STAFF:]],$A47,Dec_Period_2_Tbl[[#All],[$ CLASS PAY]]))</f>
        <v>0</v>
      </c>
      <c r="O47" s="191">
        <f>(SUMIF(Jan_Period_1_Tbl[[#All],[STAFF:]],$A47,Jan_Period_1_Tbl[[#All],[$ BONUS PAY]])+
SUMIF(Feb_Period_1_Tbl[[#All],[STAFF:]],$A47,Feb_Period_1_Tbl[[#All],[$ BONUS PAY]])+SUMIF(Mar_Period_1_Tbl[[#All],[STAFF:]],$A47,Mar_Period_1_Tbl[[#All],[$ BONUS PAY]])+SUMIF(Apr_Period_1_Tbl[[#All],[STAFF:]],$A47,Apr_Period_1_Tbl[[#All],[$ BONUS PAY]])+   SUMIF(May_Period_1_Tbl[[#All],[STAFF:]],$A47,May_Period_1_Tbl[[#All],[$ BONUS PAY]])+   SUMIF(Jun_Period_1_Tbl[[#All],[STAFF:]],$A47,Jun_Period_1_Tbl[[#All],[$ BONUS PAY]])+  SUMIF(Jul_Period_1_Tbl[[#All],[STAFF:]],$A47,Jul_Period_1_Tbl[[#All],[$ BONUS PAY]])+  SUMIF(Aug_Period_1_Tbl[[#All],[STAFF:]],$A47,Aug_Period_1_Tbl[[#All],[$ BONUS PAY]])+  SUMIF(Sep_Period_1_Tbl[[#All],[STAFF:]],$A47,Sep_Period_1_Tbl[[#All],[$ BONUS PAY]])+  SUMIF(Oct_Period_1_Tbl[[#All],[STAFF:]],$A47,Oct_Period_1_Tbl[[#All],[$ BONUS PAY]])+     SUMIF(Nov_Period_1_Tbl[[#All],[STAFF:]],$A47,Nov_Period_1_Tbl[[#All],[$ BONUS PAY]])+  SUMIF(Dec_Period_1_Tbl[[#All],[STAFF:]],$A47,Dec_Period_1_Tbl[[#All],[$ BONUS PAY]]))+   (SUMIF(Jan_Period_2_Tbl[[#All],[STAFF:]],$A47,Jan_Period_2_Tbl[[#All],[$ BONUS PAY]])+
SUMIF(Feb_Period_2_Tbl[[#All],[STAFF:]],$A47,Feb_Period_2_Tbl[[#All],[$ BONUS PAY]])+SUMIF(Mar_Period_2_Tbl[[#All],[STAFF:]],$A47,Mar_Period_2_Tbl[[#All],[$ BONUS PAY]])+SUMIF(Apr_Period_2_Tbl[[#All],[STAFF:]],$A47,Apr_Period_2_Tbl[[#All],[$ BONUS PAY]])+   SUMIF(May_Period_2_Tbl[[#All],[STAFF:]],$A47,May_Period_2_Tbl[[#All],[$ BONUS PAY]])+   SUMIF(Jun_Period_2_Tbl[[#All],[STAFF:]],$A47,Jun_Period_2_Tbl[[#All],[$ BONUS PAY]])+  SUMIF(Jul_Period_2_Tbl[[#All],[STAFF:]],$A47,Jul_Period_2_Tbl[[#All],[$ BONUS PAY]])+  SUMIF(Aug_Period_2_Tbl[[#All],[STAFF:]],$A47,Aug_Period_2_Tbl[[#All],[$ BONUS PAY]])+  SUMIF(Sep_Period_2_Tbl[[#All],[STAFF:]],$A47,Sep_Period_2_Tbl[[#All],[$ BONUS PAY]])+  SUMIF(Oct_Period_2_Tbl[[#All],[STAFF:]],$A47,Oct_Period_2_Tbl[[#All],[$ BONUS PAY]])+     SUMIF(Nov_Period_2_Tbl[[#All],[STAFF:]],$A47,Nov_Period_2_Tbl[[#All],[$ BONUS PAY]])+  SUMIF(Dec_Period_2_Tbl[[#All],[STAFF:]],$A47,Dec_Period_2_Tbl[[#All],[$ BONUS PAY]]))</f>
        <v>0</v>
      </c>
      <c r="P47" s="179">
        <f t="shared" si="9"/>
        <v>0</v>
      </c>
      <c r="Q47" s="149"/>
      <c r="R47" s="153">
        <f>(SUMIF(Jan_Period_1_Tbl[[#All],[STAFF:]],$A47,Jan_Period_1_Tbl[[#All],['# POINTS EARNED]])+
SUMIF(Feb_Period_1_Tbl[[#All],[STAFF:]],$A47,Feb_Period_1_Tbl[[#All],['# POINTS EARNED]])+SUMIF(Mar_Period_1_Tbl[[#All],[STAFF:]],$A47,Mar_Period_1_Tbl[[#All],['# POINTS EARNED]])+SUMIF(Apr_Period_1_Tbl[[#All],[STAFF:]],$A47,Apr_Period_1_Tbl[[#All],['# POINTS EARNED]])+   SUMIF(May_Period_1_Tbl[[#All],[STAFF:]],$A47,May_Period_1_Tbl[[#All],['# POINTS EARNED]])+   SUMIF(Jun_Period_1_Tbl[[#All],[STAFF:]],$A47,Jun_Period_1_Tbl[[#All],['# POINTS EARNED]])+  SUMIF(Jul_Period_1_Tbl[[#All],[STAFF:]],$A47,Jul_Period_1_Tbl[[#All],['# POINTS EARNED]])+  SUMIF(Aug_Period_1_Tbl[[#All],[STAFF:]],$A47,Aug_Period_1_Tbl[[#All],['# POINTS EARNED]])+  SUMIF(Sep_Period_1_Tbl[[#All],[STAFF:]],$A47,Sep_Period_1_Tbl[[#All],['# POINTS EARNED]])+  SUMIF(Oct_Period_1_Tbl[[#All],[STAFF:]],$A47,Oct_Period_1_Tbl[[#All],['# POINTS EARNED]])+     SUMIF(Nov_Period_1_Tbl[[#All],[STAFF:]],$A47,Nov_Period_1_Tbl[[#All],['# POINTS EARNED]])+  SUMIF(Dec_Period_1_Tbl[[#All],[STAFF:]],$A47,Dec_Period_1_Tbl[[#All],['# POINTS EARNED]]))+   (SUMIF(Jan_Period_2_Tbl[[#All],[STAFF:]],$A47,Jan_Period_2_Tbl[[#All],['# POINTS EARNED]])+
SUMIF(Feb_Period_2_Tbl[[#All],[STAFF:]],$A47,Feb_Period_2_Tbl[[#All],['# POINTS EARNED]])+SUMIF(Mar_Period_2_Tbl[[#All],[STAFF:]],$A47,Mar_Period_2_Tbl[[#All],['# POINTS EARNED]])+SUMIF(Apr_Period_2_Tbl[[#All],[STAFF:]],$A47,Apr_Period_2_Tbl[[#All],['# POINTS EARNED]])+   SUMIF(May_Period_2_Tbl[[#All],[STAFF:]],$A47,May_Period_2_Tbl[[#All],['# POINTS EARNED]])+   SUMIF(Jun_Period_2_Tbl[[#All],[STAFF:]],$A47,Jun_Period_2_Tbl[[#All],['# POINTS EARNED]])+  SUMIF(Jul_Period_2_Tbl[[#All],[STAFF:]],$A47,Jul_Period_2_Tbl[[#All],['# POINTS EARNED]])+  SUMIF(Aug_Period_2_Tbl[[#All],[STAFF:]],$A47,Aug_Period_2_Tbl[[#All],['# POINTS EARNED]])+  SUMIF(Sep_Period_2_Tbl[[#All],[STAFF:]],$A47,Sep_Period_2_Tbl[[#All],['# POINTS EARNED]])+  SUMIF(Oct_Period_2_Tbl[[#All],[STAFF:]],$A47,Oct_Period_2_Tbl[[#All],['# POINTS EARNED]])+     SUMIF(Nov_Period_2_Tbl[[#All],[STAFF:]],$A47,Nov_Period_2_Tbl[[#All],['# POINTS EARNED]])+  SUMIF(Dec_Period_2_Tbl[[#All],[STAFF:]],$A47,Dec_Period_2_Tbl[[#All],['# POINTS EARNED]]))</f>
        <v>0</v>
      </c>
      <c r="S47" s="153">
        <f>(SUMIF(Jan_Period_1_Tbl[[#All],[STAFF:]],$A47,Jan_Period_1_Tbl[[#All],['# POINTS USED]])+
SUMIF(Feb_Period_1_Tbl[[#All],[STAFF:]],$A47,Feb_Period_1_Tbl[[#All],['# POINTS USED]])+SUMIF(Mar_Period_1_Tbl[[#All],[STAFF:]],$A47,Mar_Period_1_Tbl[[#All],['# POINTS USED]])+SUMIF(Apr_Period_1_Tbl[[#All],[STAFF:]],$A47,Apr_Period_1_Tbl[[#All],['# POINTS USED]])+   SUMIF(May_Period_1_Tbl[[#All],[STAFF:]],$A47,May_Period_1_Tbl[[#All],['# POINTS USED]])+   SUMIF(Jun_Period_1_Tbl[[#All],[STAFF:]],$A47,Jun_Period_1_Tbl[[#All],['# POINTS USED]])+  SUMIF(Jul_Period_1_Tbl[[#All],[STAFF:]],$A47,Jul_Period_1_Tbl[[#All],['# POINTS USED]])+  SUMIF(Aug_Period_1_Tbl[[#All],[STAFF:]],$A47,Aug_Period_1_Tbl[[#All],['# POINTS USED]])+  SUMIF(Sep_Period_1_Tbl[[#All],[STAFF:]],$A47,Sep_Period_1_Tbl[[#All],['# POINTS USED]])+  SUMIF(Oct_Period_1_Tbl[[#All],[STAFF:]],$A47,Oct_Period_1_Tbl[[#All],['# POINTS USED]])+     SUMIF(Nov_Period_1_Tbl[[#All],[STAFF:]],$A47,Nov_Period_1_Tbl[[#All],['# POINTS USED]])+  SUMIF(Dec_Period_1_Tbl[[#All],[STAFF:]],$A47,Dec_Period_1_Tbl[[#All],['# POINTS USED]]))+   (SUMIF(Jan_Period_2_Tbl[[#All],[STAFF:]],$A47,Jan_Period_2_Tbl[[#All],['# POINTS USED]])+
SUMIF(Feb_Period_2_Tbl[[#All],[STAFF:]],$A47,Feb_Period_2_Tbl[[#All],['# POINTS USED]])+SUMIF(Mar_Period_2_Tbl[[#All],[STAFF:]],$A47,Mar_Period_2_Tbl[[#All],['# POINTS USED]])+SUMIF(Apr_Period_2_Tbl[[#All],[STAFF:]],$A47,Apr_Period_2_Tbl[[#All],['# POINTS USED]])+   SUMIF(May_Period_2_Tbl[[#All],[STAFF:]],$A47,May_Period_2_Tbl[[#All],['# POINTS USED]])+   SUMIF(Jun_Period_2_Tbl[[#All],[STAFF:]],$A47,Jun_Period_2_Tbl[[#All],['# POINTS USED]])+  SUMIF(Jul_Period_2_Tbl[[#All],[STAFF:]],$A47,Jul_Period_2_Tbl[[#All],['# POINTS USED]])+  SUMIF(Aug_Period_2_Tbl[[#All],[STAFF:]],$A47,Aug_Period_2_Tbl[[#All],['# POINTS USED]])+  SUMIF(Sep_Period_2_Tbl[[#All],[STAFF:]],$A47,Sep_Period_2_Tbl[[#All],['# POINTS USED]])+  SUMIF(Oct_Period_2_Tbl[[#All],[STAFF:]],$A47,Oct_Period_2_Tbl[[#All],['# POINTS USED]])+     SUMIF(Nov_Period_2_Tbl[[#All],[STAFF:]],$A47,Nov_Period_2_Tbl[[#All],['# POINTS USED]])+  SUMIF(Dec_Period_2_Tbl[[#All],[STAFF:]],$A47,Dec_Period_2_Tbl[[#All],['# POINTS USED]]))</f>
        <v>0</v>
      </c>
      <c r="T47" s="153">
        <f>(SUMIF(Jan_Period_1_Tbl[[#All],[STAFF:]],$A47,Jan_Period_1_Tbl[[#All],['# CLASSES LEAD]])+
SUMIF(Feb_Period_1_Tbl[[#All],[STAFF:]],$A47,Feb_Period_1_Tbl[[#All],['# CLASSES LEAD]])+SUMIF(Mar_Period_1_Tbl[[#All],[STAFF:]],$A47,Mar_Period_1_Tbl[[#All],['# CLASSES LEAD]])+SUMIF(Apr_Period_1_Tbl[[#All],[STAFF:]],$A47,Apr_Period_1_Tbl[[#All],['# CLASSES LEAD]])+   SUMIF(May_Period_1_Tbl[[#All],[STAFF:]],$A47,May_Period_1_Tbl[[#All],['# CLASSES LEAD]])+   SUMIF(Jun_Period_1_Tbl[[#All],[STAFF:]],$A47,Jun_Period_1_Tbl[[#All],['# CLASSES LEAD]])+  SUMIF(Jul_Period_1_Tbl[[#All],[STAFF:]],$A47,Jul_Period_1_Tbl[[#All],['# CLASSES LEAD]])+  SUMIF(Aug_Period_1_Tbl[[#All],[STAFF:]],$A47,Aug_Period_1_Tbl[[#All],['# CLASSES LEAD]])+  SUMIF(Sep_Period_1_Tbl[[#All],[STAFF:]],$A47,Sep_Period_1_Tbl[[#All],['# CLASSES LEAD]])+  SUMIF(Oct_Period_1_Tbl[[#All],[STAFF:]],$A47,Oct_Period_1_Tbl[[#All],['# CLASSES LEAD]])+     SUMIF(Nov_Period_1_Tbl[[#All],[STAFF:]],$A47,Nov_Period_1_Tbl[[#All],['# CLASSES LEAD]])+  SUMIF(Dec_Period_1_Tbl[[#All],[STAFF:]],$A47,Dec_Period_1_Tbl[[#All],['# CLASSES LEAD]]))+   (SUMIF(Jan_Period_2_Tbl[[#All],[STAFF:]],$A47,Jan_Period_2_Tbl[[#All],['# CLASSES LEAD]])+
SUMIF(Feb_Period_2_Tbl[[#All],[STAFF:]],$A47,Feb_Period_2_Tbl[[#All],['# CLASSES LEAD]])+SUMIF(Mar_Period_2_Tbl[[#All],[STAFF:]],$A47,Mar_Period_2_Tbl[[#All],['# CLASSES LEAD]])+SUMIF(Apr_Period_2_Tbl[[#All],[STAFF:]],$A47,Apr_Period_2_Tbl[[#All],['# CLASSES LEAD]])+   SUMIF(May_Period_2_Tbl[[#All],[STAFF:]],$A47,May_Period_2_Tbl[[#All],['# CLASSES LEAD]])+   SUMIF(Jun_Period_2_Tbl[[#All],[STAFF:]],$A47,Jun_Period_2_Tbl[[#All],['# CLASSES LEAD]])+  SUMIF(Jul_Period_2_Tbl[[#All],[STAFF:]],$A47,Jul_Period_2_Tbl[[#All],['# CLASSES LEAD]])+  SUMIF(Aug_Period_2_Tbl[[#All],[STAFF:]],$A47,Aug_Period_2_Tbl[[#All],['# CLASSES LEAD]])+  SUMIF(Sep_Period_2_Tbl[[#All],[STAFF:]],$A47,Sep_Period_2_Tbl[[#All],['# CLASSES LEAD]])+  SUMIF(Oct_Period_2_Tbl[[#All],[STAFF:]],$A47,Oct_Period_2_Tbl[[#All],['# CLASSES LEAD]])+     SUMIF(Nov_Period_2_Tbl[[#All],[STAFF:]],$A47,Nov_Period_2_Tbl[[#All],['# CLASSES LEAD]])+  SUMIF(Dec_Period_2_Tbl[[#All],[STAFF:]],$A47,Dec_Period_2_Tbl[[#All],['# CLASSES LEAD]]))</f>
        <v>0</v>
      </c>
      <c r="U47" s="153">
        <f>(SUMIF(Jan_Period_1_Tbl[[#All],[STAFF:]],$A47,Jan_Period_1_Tbl[[#All],['# CLASSES SHOW]])+
SUMIF(Feb_Period_1_Tbl[[#All],[STAFF:]],$A47,Feb_Period_1_Tbl[[#All],['# CLASSES SHOW]])+SUMIF(Mar_Period_1_Tbl[[#All],[STAFF:]],$A47,Mar_Period_1_Tbl[[#All],['# CLASSES SHOW]])+SUMIF(Apr_Period_1_Tbl[[#All],[STAFF:]],$A47,Apr_Period_1_Tbl[[#All],['# CLASSES SHOW]])+   SUMIF(May_Period_1_Tbl[[#All],[STAFF:]],$A47,May_Period_1_Tbl[[#All],['# CLASSES SHOW]])+   SUMIF(Jun_Period_1_Tbl[[#All],[STAFF:]],$A47,Jun_Period_1_Tbl[[#All],['# CLASSES SHOW]])+  SUMIF(Jul_Period_1_Tbl[[#All],[STAFF:]],$A47,Jul_Period_1_Tbl[[#All],['# CLASSES SHOW]])+  SUMIF(Aug_Period_1_Tbl[[#All],[STAFF:]],$A47,Aug_Period_1_Tbl[[#All],['# CLASSES SHOW]])+  SUMIF(Sep_Period_1_Tbl[[#All],[STAFF:]],$A47,Sep_Period_1_Tbl[[#All],['# CLASSES SHOW]])+  SUMIF(Oct_Period_1_Tbl[[#All],[STAFF:]],$A47,Oct_Period_1_Tbl[[#All],['# CLASSES SHOW]])+     SUMIF(Nov_Period_1_Tbl[[#All],[STAFF:]],$A47,Nov_Period_1_Tbl[[#All],['# CLASSES SHOW]])+  SUMIF(Dec_Period_1_Tbl[[#All],[STAFF:]],$A47,Dec_Period_1_Tbl[[#All],['# CLASSES SHOW]]))+   (SUMIF(Jan_Period_2_Tbl[[#All],[STAFF:]],$A47,Jan_Period_2_Tbl[[#All],['# CLASSES SHOW]])+
SUMIF(Feb_Period_2_Tbl[[#All],[STAFF:]],$A47,Feb_Period_2_Tbl[[#All],['# CLASSES SHOW]])+SUMIF(Mar_Period_2_Tbl[[#All],[STAFF:]],$A47,Mar_Period_2_Tbl[[#All],['# CLASSES SHOW]])+SUMIF(Apr_Period_2_Tbl[[#All],[STAFF:]],$A47,Apr_Period_2_Tbl[[#All],['# CLASSES SHOW]])+   SUMIF(May_Period_2_Tbl[[#All],[STAFF:]],$A47,May_Period_2_Tbl[[#All],['# CLASSES SHOW]])+   SUMIF(Jun_Period_2_Tbl[[#All],[STAFF:]],$A47,Jun_Period_2_Tbl[[#All],['# CLASSES SHOW]])+  SUMIF(Jul_Period_2_Tbl[[#All],[STAFF:]],$A47,Jul_Period_2_Tbl[[#All],['# CLASSES SHOW]])+  SUMIF(Aug_Period_2_Tbl[[#All],[STAFF:]],$A47,Aug_Period_2_Tbl[[#All],['# CLASSES SHOW]])+  SUMIF(Sep_Period_2_Tbl[[#All],[STAFF:]],$A47,Sep_Period_2_Tbl[[#All],['# CLASSES SHOW]])+  SUMIF(Oct_Period_2_Tbl[[#All],[STAFF:]],$A47,Oct_Period_2_Tbl[[#All],['# CLASSES SHOW]])+     SUMIF(Nov_Period_2_Tbl[[#All],[STAFF:]],$A47,Nov_Period_2_Tbl[[#All],['# CLASSES SHOW]])+  SUMIF(Dec_Period_2_Tbl[[#All],[STAFF:]],$A47,Dec_Period_2_Tbl[[#All],['# CLASSES SHOW]]))</f>
        <v>0</v>
      </c>
      <c r="V47" s="156"/>
      <c r="W47" s="156"/>
      <c r="X47" s="155">
        <f t="shared" si="10"/>
        <v>0</v>
      </c>
      <c r="Y47" s="155">
        <f t="shared" si="11"/>
        <v>0</v>
      </c>
      <c r="Z47" s="155">
        <f t="shared" si="12"/>
        <v>0</v>
      </c>
      <c r="AA47" s="155">
        <f t="shared" si="13"/>
        <v>0</v>
      </c>
      <c r="AB47" s="155">
        <f t="shared" si="14"/>
        <v>0</v>
      </c>
      <c r="AC47" s="155">
        <f t="shared" si="15"/>
        <v>0</v>
      </c>
      <c r="AD47" s="155">
        <f t="shared" si="16"/>
        <v>0</v>
      </c>
      <c r="AE47" s="149"/>
      <c r="AF47" s="149"/>
      <c r="AG47" s="149"/>
      <c r="AH47" s="149"/>
      <c r="AJ47" s="75" t="str">
        <f t="shared" si="17"/>
        <v>zBlank</v>
      </c>
      <c r="AK47" s="210"/>
      <c r="AL47" s="168">
        <f>IFERROR(VLOOKUP(B47,List!$A:$B,2,FALSE),-1)</f>
        <v>-1</v>
      </c>
      <c r="AM47" s="168">
        <f>IFERROR(VLOOKUP(C47,List!$A:$B,2,FALSE),-1)</f>
        <v>-1</v>
      </c>
    </row>
    <row r="48" spans="1:39" ht="15" hidden="1" customHeight="1" x14ac:dyDescent="0.25">
      <c r="A48" s="20"/>
      <c r="B48" s="186"/>
      <c r="C48" s="186"/>
      <c r="D48" s="187"/>
      <c r="E48" s="188">
        <f>(SUMIF(Jan_Period_1_Tbl[[#All],[STAFF:]],$A48,Jan_Period_1_Tbl[[#All],['# PTO USED]])+
SUMIF(Feb_Period_1_Tbl[[#All],[STAFF:]],$A48,Feb_Period_1_Tbl[[#All],['# PTO USED]])+SUMIF(Mar_Period_1_Tbl[[#All],[STAFF:]],$A48,Mar_Period_1_Tbl[[#All],['# PTO USED]])+SUMIF(Apr_Period_1_Tbl[[#All],[STAFF:]],$A48,Apr_Period_1_Tbl[[#All],['# PTO USED]])+   SUMIF(May_Period_1_Tbl[[#All],[STAFF:]],$A48,May_Period_1_Tbl[[#All],['# PTO USED]])+   SUMIF(Jun_Period_1_Tbl[[#All],[STAFF:]],$A48,Jun_Period_1_Tbl[[#All],['# PTO USED]])+  SUMIF(Jul_Period_1_Tbl[[#All],[STAFF:]],$A48,Jul_Period_1_Tbl[[#All],['# PTO USED]])+  SUMIF(Aug_Period_1_Tbl[[#All],[STAFF:]],$A48,Aug_Period_1_Tbl[[#All],['# PTO USED]])+  SUMIF(Sep_Period_1_Tbl[[#All],[STAFF:]],$A48,Sep_Period_1_Tbl[[#All],['# PTO USED]])+  SUMIF(Oct_Period_1_Tbl[[#All],[STAFF:]],$A48,Oct_Period_1_Tbl[[#All],['# PTO USED]])+     SUMIF(Nov_Period_1_Tbl[[#All],[STAFF:]],$A48,Nov_Period_1_Tbl[[#All],['# PTO USED]])+  SUMIF(Dec_Period_1_Tbl[[#All],[STAFF:]],$A48,Dec_Period_1_Tbl[[#All],['# PTO USED]]))+   (SUMIF(Jan_Period_2_Tbl[[#All],[STAFF:]],$A48,Jan_Period_2_Tbl[[#All],['# PTO USED]])+
SUMIF(Feb_Period_2_Tbl[[#All],[STAFF:]],$A48,Feb_Period_2_Tbl[[#All],['# PTO USED]])+SUMIF(Mar_Period_2_Tbl[[#All],[STAFF:]],$A48,Mar_Period_2_Tbl[[#All],['# PTO USED]])+SUMIF(Apr_Period_2_Tbl[[#All],[STAFF:]],$A48,Apr_Period_2_Tbl[[#All],['# PTO USED]])+   SUMIF(May_Period_2_Tbl[[#All],[STAFF:]],$A48,May_Period_2_Tbl[[#All],['# PTO USED]])+   SUMIF(Jun_Period_2_Tbl[[#All],[STAFF:]],$A48,Jun_Period_2_Tbl[[#All],['# PTO USED]])+  SUMIF(Jul_Period_2_Tbl[[#All],[STAFF:]],$A48,Jul_Period_2_Tbl[[#All],['# PTO USED]])+  SUMIF(Aug_Period_2_Tbl[[#All],[STAFF:]],$A48,Aug_Period_2_Tbl[[#All],['# PTO USED]])+  SUMIF(Sep_Period_2_Tbl[[#All],[STAFF:]],$A48,Sep_Period_2_Tbl[[#All],['# PTO USED]])+  SUMIF(Oct_Period_2_Tbl[[#All],[STAFF:]],$A48,Oct_Period_2_Tbl[[#All],['# PTO USED]])+     SUMIF(Nov_Period_2_Tbl[[#All],[STAFF:]],$A48,Nov_Period_2_Tbl[[#All],['# PTO USED]])+  SUMIF(Dec_Period_2_Tbl[[#All],[STAFF:]],$A48,Dec_Period_2_Tbl[[#All],['# PTO USED]]))</f>
        <v>0</v>
      </c>
      <c r="F48" s="189">
        <f>(SUMIF(Jan_Period_1_Tbl[[#All],[STAFF:]],$A48,Jan_Period_1_Tbl[[#All],['# HRS WORKED]])+
SUMIF(Feb_Period_1_Tbl[[#All],[STAFF:]],$A48,Feb_Period_1_Tbl[[#All],['# HRS WORKED]])+SUMIF(Mar_Period_1_Tbl[[#All],[STAFF:]],$A48,Mar_Period_1_Tbl[[#All],['# HRS WORKED]])+SUMIF(Apr_Period_1_Tbl[[#All],[STAFF:]],$A48,Apr_Period_1_Tbl[[#All],['# HRS WORKED]])+   SUMIF(May_Period_1_Tbl[[#All],[STAFF:]],$A48,May_Period_1_Tbl[[#All],['# HRS WORKED]])+   SUMIF(Jun_Period_1_Tbl[[#All],[STAFF:]],$A48,Jun_Period_1_Tbl[[#All],['# HRS WORKED]])+  SUMIF(Jul_Period_1_Tbl[[#All],[STAFF:]],$A48,Jul_Period_1_Tbl[[#All],['# HRS WORKED]])+  SUMIF(Aug_Period_1_Tbl[[#All],[STAFF:]],$A48,Aug_Period_1_Tbl[[#All],['# HRS WORKED]])+  SUMIF(Sep_Period_1_Tbl[[#All],[STAFF:]],$A48,Sep_Period_1_Tbl[[#All],['# HRS WORKED]])+  SUMIF(Oct_Period_1_Tbl[[#All],[STAFF:]],$A48,Oct_Period_1_Tbl[[#All],['# HRS WORKED]])+     SUMIF(Nov_Period_1_Tbl[[#All],[STAFF:]],$A48,Nov_Period_1_Tbl[[#All],['# HRS WORKED]])+  SUMIF(Dec_Period_1_Tbl[[#All],[STAFF:]],$A48,Dec_Period_1_Tbl[[#All],['# HRS WORKED]]))+   (SUMIF(Jan_Period_2_Tbl[[#All],[STAFF:]],$A48,Jan_Period_2_Tbl[[#All],['# HRS WORKED]])+
SUMIF(Feb_Period_2_Tbl[[#All],[STAFF:]],$A48,Feb_Period_2_Tbl[[#All],['# HRS WORKED]])+SUMIF(Mar_Period_2_Tbl[[#All],[STAFF:]],$A48,Mar_Period_2_Tbl[[#All],['# HRS WORKED]])+SUMIF(Apr_Period_2_Tbl[[#All],[STAFF:]],$A48,Apr_Period_2_Tbl[[#All],['# HRS WORKED]])+   SUMIF(May_Period_2_Tbl[[#All],[STAFF:]],$A48,May_Period_2_Tbl[[#All],['# HRS WORKED]])+   SUMIF(Jun_Period_2_Tbl[[#All],[STAFF:]],$A48,Jun_Period_2_Tbl[[#All],['# HRS WORKED]])+  SUMIF(Jul_Period_2_Tbl[[#All],[STAFF:]],$A48,Jul_Period_2_Tbl[[#All],['# HRS WORKED]])+  SUMIF(Aug_Period_2_Tbl[[#All],[STAFF:]],$A48,Aug_Period_2_Tbl[[#All],['# HRS WORKED]])+  SUMIF(Sep_Period_2_Tbl[[#All],[STAFF:]],$A48,Sep_Period_2_Tbl[[#All],['# HRS WORKED]])+  SUMIF(Oct_Period_2_Tbl[[#All],[STAFF:]],$A48,Oct_Period_2_Tbl[[#All],['# HRS WORKED]])+     SUMIF(Nov_Period_2_Tbl[[#All],[STAFF:]],$A48,Nov_Period_2_Tbl[[#All],['# HRS WORKED]])+  SUMIF(Dec_Period_2_Tbl[[#All],[STAFF:]],$A48,Dec_Period_2_Tbl[[#All],['# HRS WORKED]]))</f>
        <v>0</v>
      </c>
      <c r="G48" s="190">
        <f>(SUMIF(Jan_Period_1_Tbl[[#All],[STAFF:]],$A48,Jan_Period_1_Tbl[[#All],[$ Hourly WAGES]])+
SUMIF(Feb_Period_1_Tbl[[#All],[STAFF:]],$A48,Feb_Period_1_Tbl[[#All],[$ Hourly WAGES]])+SUMIF(Mar_Period_1_Tbl[[#All],[STAFF:]],$A48,Mar_Period_1_Tbl[[#All],[$ Hourly WAGES]])+SUMIF(Apr_Period_1_Tbl[[#All],[STAFF:]],$A48,Apr_Period_1_Tbl[[#All],[$ Hourly WAGES]])+   SUMIF(May_Period_1_Tbl[[#All],[STAFF:]],$A48,May_Period_1_Tbl[[#All],[$ Hourly WAGES]])+   SUMIF(Jun_Period_1_Tbl[[#All],[STAFF:]],$A48,Jun_Period_1_Tbl[[#All],[$ Hourly WAGES]])+  SUMIF(Jul_Period_1_Tbl[[#All],[STAFF:]],$A48,Jul_Period_1_Tbl[[#All],[$ Hourly WAGES]])+  SUMIF(Aug_Period_1_Tbl[[#All],[STAFF:]],$A48,Aug_Period_1_Tbl[[#All],[$ Hourly WAGES]])+  SUMIF(Sep_Period_1_Tbl[[#All],[STAFF:]],$A48,Sep_Period_1_Tbl[[#All],[$ Hourly WAGES]])+  SUMIF(Oct_Period_1_Tbl[[#All],[STAFF:]],$A48,Oct_Period_1_Tbl[[#All],[$ Hourly WAGES]])+     SUMIF(Nov_Period_1_Tbl[[#All],[STAFF:]],$A48,Nov_Period_1_Tbl[[#All],[$ Hourly WAGES]])+  SUMIF(Dec_Period_1_Tbl[[#All],[STAFF:]],$A48,Dec_Period_1_Tbl[[#All],[$ Hourly WAGES]]))+   (SUMIF(Jan_Period_2_Tbl[[#All],[STAFF:]],$A48,Jan_Period_2_Tbl[[#All],[$ Hourly WAGES]])+
SUMIF(Feb_Period_2_Tbl[[#All],[STAFF:]],$A48,Feb_Period_2_Tbl[[#All],[$ Hourly WAGES]])+SUMIF(Mar_Period_2_Tbl[[#All],[STAFF:]],$A48,Mar_Period_2_Tbl[[#All],[$ Hourly WAGES]])+SUMIF(Apr_Period_2_Tbl[[#All],[STAFF:]],$A48,Apr_Period_2_Tbl[[#All],[$ Hourly WAGES]])+   SUMIF(May_Period_2_Tbl[[#All],[STAFF:]],$A48,May_Period_2_Tbl[[#All],[$ Hourly WAGES]])+   SUMIF(Jun_Period_2_Tbl[[#All],[STAFF:]],$A48,Jun_Period_2_Tbl[[#All],[$ Hourly WAGES]])+  SUMIF(Jul_Period_2_Tbl[[#All],[STAFF:]],$A48,Jul_Period_2_Tbl[[#All],[$ Hourly WAGES]])+  SUMIF(Aug_Period_2_Tbl[[#All],[STAFF:]],$A48,Aug_Period_2_Tbl[[#All],[$ Hourly WAGES]])+  SUMIF(Sep_Period_2_Tbl[[#All],[STAFF:]],$A48,Sep_Period_2_Tbl[[#All],[$ Hourly WAGES]])+  SUMIF(Oct_Period_2_Tbl[[#All],[STAFF:]],$A48,Oct_Period_2_Tbl[[#All],[$ Hourly WAGES]])+     SUMIF(Nov_Period_2_Tbl[[#All],[STAFF:]],$A48,Nov_Period_2_Tbl[[#All],[$ Hourly WAGES]])+  SUMIF(Dec_Period_2_Tbl[[#All],[STAFF:]],$A48,Dec_Period_2_Tbl[[#All],[$ Hourly WAGES]]))</f>
        <v>0</v>
      </c>
      <c r="H48" s="190">
        <f>(SUMIF(Jan_Period_1_Tbl[[#All],[STAFF:]],$A48,Jan_Period_1_Tbl[[#All],[$ SALARY]])+
SUMIF(Feb_Period_1_Tbl[[#All],[STAFF:]],$A48,Feb_Period_1_Tbl[[#All],[$ SALARY]])+SUMIF(Mar_Period_1_Tbl[[#All],[STAFF:]],$A48,Mar_Period_1_Tbl[[#All],[$ SALARY]])+SUMIF(Apr_Period_1_Tbl[[#All],[STAFF:]],$A48,Apr_Period_1_Tbl[[#All],[$ SALARY]])+   SUMIF(May_Period_1_Tbl[[#All],[STAFF:]],$A48,May_Period_1_Tbl[[#All],[$ SALARY]])+   SUMIF(Jun_Period_1_Tbl[[#All],[STAFF:]],$A48,Jun_Period_1_Tbl[[#All],[$ SALARY]])+  SUMIF(Jul_Period_1_Tbl[[#All],[STAFF:]],$A48,Jul_Period_1_Tbl[[#All],[$ SALARY]])+  SUMIF(Aug_Period_1_Tbl[[#All],[STAFF:]],$A48,Aug_Period_1_Tbl[[#All],[$ SALARY]])+  SUMIF(Sep_Period_1_Tbl[[#All],[STAFF:]],$A48,Sep_Period_1_Tbl[[#All],[$ SALARY]])+  SUMIF(Oct_Period_1_Tbl[[#All],[STAFF:]],$A48,Oct_Period_1_Tbl[[#All],[$ SALARY]])+     SUMIF(Nov_Period_1_Tbl[[#All],[STAFF:]],$A48,Nov_Period_1_Tbl[[#All],[$ SALARY]])+  SUMIF(Dec_Period_1_Tbl[[#All],[STAFF:]],$A48,Dec_Period_1_Tbl[[#All],[$ SALARY]]))+   (SUMIF(Jan_Period_2_Tbl[[#All],[STAFF:]],$A48,Jan_Period_2_Tbl[[#All],[$ SALARY]])+
SUMIF(Feb_Period_2_Tbl[[#All],[STAFF:]],$A48,Feb_Period_2_Tbl[[#All],[$ SALARY]])+SUMIF(Mar_Period_2_Tbl[[#All],[STAFF:]],$A48,Mar_Period_2_Tbl[[#All],[$ SALARY]])+SUMIF(Apr_Period_2_Tbl[[#All],[STAFF:]],$A48,Apr_Period_2_Tbl[[#All],[$ SALARY]])+   SUMIF(May_Period_2_Tbl[[#All],[STAFF:]],$A48,May_Period_2_Tbl[[#All],[$ SALARY]])+   SUMIF(Jun_Period_2_Tbl[[#All],[STAFF:]],$A48,Jun_Period_2_Tbl[[#All],[$ SALARY]])+  SUMIF(Jul_Period_2_Tbl[[#All],[STAFF:]],$A48,Jul_Period_2_Tbl[[#All],[$ SALARY]])+  SUMIF(Aug_Period_2_Tbl[[#All],[STAFF:]],$A48,Aug_Period_2_Tbl[[#All],[$ SALARY]])+  SUMIF(Sep_Period_2_Tbl[[#All],[STAFF:]],$A48,Sep_Period_2_Tbl[[#All],[$ SALARY]])+  SUMIF(Oct_Period_2_Tbl[[#All],[STAFF:]],$A48,Oct_Period_2_Tbl[[#All],[$ SALARY]])+     SUMIF(Nov_Period_2_Tbl[[#All],[STAFF:]],$A48,Nov_Period_2_Tbl[[#All],[$ SALARY]])+  SUMIF(Dec_Period_2_Tbl[[#All],[STAFF:]],$A48,Dec_Period_2_Tbl[[#All],[$ SALARY]]))</f>
        <v>0</v>
      </c>
      <c r="I48" s="190">
        <f>(SUMIF(Jan_Period_1_Tbl[[#All],[STAFF:]],$A48,Jan_Period_1_Tbl[[#All],[$ SALARY PT]])+
SUMIF(Feb_Period_1_Tbl[[#All],[STAFF:]],$A48,Feb_Period_1_Tbl[[#All],[$ SALARY PT]])+SUMIF(Mar_Period_1_Tbl[[#All],[STAFF:]],$A48,Mar_Period_1_Tbl[[#All],[$ SALARY PT]])+SUMIF(Apr_Period_1_Tbl[[#All],[STAFF:]],$A48,Apr_Period_1_Tbl[[#All],[$ SALARY PT]])+   SUMIF(May_Period_1_Tbl[[#All],[STAFF:]],$A48,May_Period_1_Tbl[[#All],[$ SALARY PT]])+   SUMIF(Jun_Period_1_Tbl[[#All],[STAFF:]],$A48,Jun_Period_1_Tbl[[#All],[$ SALARY PT]])+  SUMIF(Jul_Period_1_Tbl[[#All],[STAFF:]],$A48,Jul_Period_1_Tbl[[#All],[$ SALARY PT]])+  SUMIF(Aug_Period_1_Tbl[[#All],[STAFF:]],$A48,Aug_Period_1_Tbl[[#All],[$ SALARY PT]])+  SUMIF(Sep_Period_1_Tbl[[#All],[STAFF:]],$A48,Sep_Period_1_Tbl[[#All],[$ SALARY PT]])+  SUMIF(Oct_Period_1_Tbl[[#All],[STAFF:]],$A48,Oct_Period_1_Tbl[[#All],[$ SALARY PT]])+     SUMIF(Nov_Period_1_Tbl[[#All],[STAFF:]],$A48,Nov_Period_1_Tbl[[#All],[$ SALARY PT]])+  SUMIF(Dec_Period_1_Tbl[[#All],[STAFF:]],$A48,Dec_Period_1_Tbl[[#All],[$ SALARY PT]]))+   (SUMIF(Jan_Period_2_Tbl[[#All],[STAFF:]],$A48,Jan_Period_2_Tbl[[#All],[$ SALARY PT]])+
SUMIF(Feb_Period_2_Tbl[[#All],[STAFF:]],$A48,Feb_Period_2_Tbl[[#All],[$ SALARY PT]])+SUMIF(Mar_Period_2_Tbl[[#All],[STAFF:]],$A48,Mar_Period_2_Tbl[[#All],[$ SALARY PT]])+SUMIF(Apr_Period_2_Tbl[[#All],[STAFF:]],$A48,Apr_Period_2_Tbl[[#All],[$ SALARY PT]])+   SUMIF(May_Period_2_Tbl[[#All],[STAFF:]],$A48,May_Period_2_Tbl[[#All],[$ SALARY PT]])+   SUMIF(Jun_Period_2_Tbl[[#All],[STAFF:]],$A48,Jun_Period_2_Tbl[[#All],[$ SALARY PT]])+  SUMIF(Jul_Period_2_Tbl[[#All],[STAFF:]],$A48,Jul_Period_2_Tbl[[#All],[$ SALARY PT]])+  SUMIF(Aug_Period_2_Tbl[[#All],[STAFF:]],$A48,Aug_Period_2_Tbl[[#All],[$ SALARY PT]])+  SUMIF(Sep_Period_2_Tbl[[#All],[STAFF:]],$A48,Sep_Period_2_Tbl[[#All],[$ SALARY PT]])+  SUMIF(Oct_Period_2_Tbl[[#All],[STAFF:]],$A48,Oct_Period_2_Tbl[[#All],[$ SALARY PT]])+     SUMIF(Nov_Period_2_Tbl[[#All],[STAFF:]],$A48,Nov_Period_2_Tbl[[#All],[$ SALARY PT]])+  SUMIF(Dec_Period_2_Tbl[[#All],[STAFF:]],$A48,Dec_Period_2_Tbl[[#All],[$ SALARY PT]]))</f>
        <v>0</v>
      </c>
      <c r="J48" s="190">
        <f>(SUMIF(Jan_Period_1_Tbl[[#All],[STAFF:]],$A48,Jan_Period_1_Tbl[[#All],[$ FREE PT]])+
SUMIF(Feb_Period_1_Tbl[[#All],[STAFF:]],$A48,Feb_Period_1_Tbl[[#All],[$ FREE PT]])+SUMIF(Mar_Period_1_Tbl[[#All],[STAFF:]],$A48,Mar_Period_1_Tbl[[#All],[$ FREE PT]])+SUMIF(Apr_Period_1_Tbl[[#All],[STAFF:]],$A48,Apr_Period_1_Tbl[[#All],[$ FREE PT]])+   SUMIF(May_Period_1_Tbl[[#All],[STAFF:]],$A48,May_Period_1_Tbl[[#All],[$ FREE PT]])+   SUMIF(Jun_Period_1_Tbl[[#All],[STAFF:]],$A48,Jun_Period_1_Tbl[[#All],[$ FREE PT]])+  SUMIF(Jul_Period_1_Tbl[[#All],[STAFF:]],$A48,Jul_Period_1_Tbl[[#All],[$ FREE PT]])+  SUMIF(Aug_Period_1_Tbl[[#All],[STAFF:]],$A48,Aug_Period_1_Tbl[[#All],[$ FREE PT]])+  SUMIF(Sep_Period_1_Tbl[[#All],[STAFF:]],$A48,Sep_Period_1_Tbl[[#All],[$ FREE PT]])+  SUMIF(Oct_Period_1_Tbl[[#All],[STAFF:]],$A48,Oct_Period_1_Tbl[[#All],[$ FREE PT]])+     SUMIF(Nov_Period_1_Tbl[[#All],[STAFF:]],$A48,Nov_Period_1_Tbl[[#All],[$ FREE PT]])+  SUMIF(Dec_Period_1_Tbl[[#All],[STAFF:]],$A48,Dec_Period_1_Tbl[[#All],[$ FREE PT]]))+   (SUMIF(Jan_Period_2_Tbl[[#All],[STAFF:]],$A48,Jan_Period_2_Tbl[[#All],[$ FREE PT]])+
SUMIF(Feb_Period_2_Tbl[[#All],[STAFF:]],$A48,Feb_Period_2_Tbl[[#All],[$ FREE PT]])+SUMIF(Mar_Period_2_Tbl[[#All],[STAFF:]],$A48,Mar_Period_2_Tbl[[#All],[$ FREE PT]])+SUMIF(Apr_Period_2_Tbl[[#All],[STAFF:]],$A48,Apr_Period_2_Tbl[[#All],[$ FREE PT]])+   SUMIF(May_Period_2_Tbl[[#All],[STAFF:]],$A48,May_Period_2_Tbl[[#All],[$ FREE PT]])+   SUMIF(Jun_Period_2_Tbl[[#All],[STAFF:]],$A48,Jun_Period_2_Tbl[[#All],[$ FREE PT]])+  SUMIF(Jul_Period_2_Tbl[[#All],[STAFF:]],$A48,Jul_Period_2_Tbl[[#All],[$ FREE PT]])+  SUMIF(Aug_Period_2_Tbl[[#All],[STAFF:]],$A48,Aug_Period_2_Tbl[[#All],[$ FREE PT]])+  SUMIF(Sep_Period_2_Tbl[[#All],[STAFF:]],$A48,Sep_Period_2_Tbl[[#All],[$ FREE PT]])+  SUMIF(Oct_Period_2_Tbl[[#All],[STAFF:]],$A48,Oct_Period_2_Tbl[[#All],[$ FREE PT]])+     SUMIF(Nov_Period_2_Tbl[[#All],[STAFF:]],$A48,Nov_Period_2_Tbl[[#All],[$ FREE PT]])+  SUMIF(Dec_Period_2_Tbl[[#All],[STAFF:]],$A48,Dec_Period_2_Tbl[[#All],[$ FREE PT]]))</f>
        <v>0</v>
      </c>
      <c r="K48" s="190">
        <f>(SUMIF(Jan_Period_1_Tbl[[#All],[STAFF:]],$A48,Jan_Period_1_Tbl[[#All],[$ PAID PT]])+
SUMIF(Feb_Period_1_Tbl[[#All],[STAFF:]],$A48,Feb_Period_1_Tbl[[#All],[$ PAID PT]])+SUMIF(Mar_Period_1_Tbl[[#All],[STAFF:]],$A48,Mar_Period_1_Tbl[[#All],[$ PAID PT]])+SUMIF(Apr_Period_1_Tbl[[#All],[STAFF:]],$A48,Apr_Period_1_Tbl[[#All],[$ PAID PT]])+   SUMIF(May_Period_1_Tbl[[#All],[STAFF:]],$A48,May_Period_1_Tbl[[#All],[$ PAID PT]])+   SUMIF(Jun_Period_1_Tbl[[#All],[STAFF:]],$A48,Jun_Period_1_Tbl[[#All],[$ PAID PT]])+  SUMIF(Jul_Period_1_Tbl[[#All],[STAFF:]],$A48,Jul_Period_1_Tbl[[#All],[$ PAID PT]])+  SUMIF(Aug_Period_1_Tbl[[#All],[STAFF:]],$A48,Aug_Period_1_Tbl[[#All],[$ PAID PT]])+  SUMIF(Sep_Period_1_Tbl[[#All],[STAFF:]],$A48,Sep_Period_1_Tbl[[#All],[$ PAID PT]])+  SUMIF(Oct_Period_1_Tbl[[#All],[STAFF:]],$A48,Oct_Period_1_Tbl[[#All],[$ PAID PT]])+     SUMIF(Nov_Period_1_Tbl[[#All],[STAFF:]],$A48,Nov_Period_1_Tbl[[#All],[$ PAID PT]])+  SUMIF(Dec_Period_1_Tbl[[#All],[STAFF:]],$A48,Dec_Period_1_Tbl[[#All],[$ PAID PT]]))+   (SUMIF(Jan_Period_2_Tbl[[#All],[STAFF:]],$A48,Jan_Period_2_Tbl[[#All],[$ PAID PT]])+
SUMIF(Feb_Period_2_Tbl[[#All],[STAFF:]],$A48,Feb_Period_2_Tbl[[#All],[$ PAID PT]])+SUMIF(Mar_Period_2_Tbl[[#All],[STAFF:]],$A48,Mar_Period_2_Tbl[[#All],[$ PAID PT]])+SUMIF(Apr_Period_2_Tbl[[#All],[STAFF:]],$A48,Apr_Period_2_Tbl[[#All],[$ PAID PT]])+   SUMIF(May_Period_2_Tbl[[#All],[STAFF:]],$A48,May_Period_2_Tbl[[#All],[$ PAID PT]])+   SUMIF(Jun_Period_2_Tbl[[#All],[STAFF:]],$A48,Jun_Period_2_Tbl[[#All],[$ PAID PT]])+  SUMIF(Jul_Period_2_Tbl[[#All],[STAFF:]],$A48,Jul_Period_2_Tbl[[#All],[$ PAID PT]])+  SUMIF(Aug_Period_2_Tbl[[#All],[STAFF:]],$A48,Aug_Period_2_Tbl[[#All],[$ PAID PT]])+  SUMIF(Sep_Period_2_Tbl[[#All],[STAFF:]],$A48,Sep_Period_2_Tbl[[#All],[$ PAID PT]])+  SUMIF(Oct_Period_2_Tbl[[#All],[STAFF:]],$A48,Oct_Period_2_Tbl[[#All],[$ PAID PT]])+     SUMIF(Nov_Period_2_Tbl[[#All],[STAFF:]],$A48,Nov_Period_2_Tbl[[#All],[$ PAID PT]])+  SUMIF(Dec_Period_2_Tbl[[#All],[STAFF:]],$A48,Dec_Period_2_Tbl[[#All],[$ PAID PT]]))</f>
        <v>0</v>
      </c>
      <c r="L48" s="190">
        <f>(SUMIF(Jan_Period_1_Tbl[[#All],[STAFF:]],$A48,Jan_Period_1_Tbl[[#All],[$ PT COMM]])+
SUMIF(Feb_Period_1_Tbl[[#All],[STAFF:]],$A48,Feb_Period_1_Tbl[[#All],[$ PT COMM]])+SUMIF(Mar_Period_1_Tbl[[#All],[STAFF:]],$A48,Mar_Period_1_Tbl[[#All],[$ PT COMM]])+SUMIF(Apr_Period_1_Tbl[[#All],[STAFF:]],$A48,Apr_Period_1_Tbl[[#All],[$ PT COMM]])+   SUMIF(May_Period_1_Tbl[[#All],[STAFF:]],$A48,May_Period_1_Tbl[[#All],[$ PT COMM]])+   SUMIF(Jun_Period_1_Tbl[[#All],[STAFF:]],$A48,Jun_Period_1_Tbl[[#All],[$ PT COMM]])+  SUMIF(Jul_Period_1_Tbl[[#All],[STAFF:]],$A48,Jul_Period_1_Tbl[[#All],[$ PT COMM]])+  SUMIF(Aug_Period_1_Tbl[[#All],[STAFF:]],$A48,Aug_Period_1_Tbl[[#All],[$ PT COMM]])+  SUMIF(Sep_Period_1_Tbl[[#All],[STAFF:]],$A48,Sep_Period_1_Tbl[[#All],[$ PT COMM]])+  SUMIF(Oct_Period_1_Tbl[[#All],[STAFF:]],$A48,Oct_Period_1_Tbl[[#All],[$ PT COMM]])+     SUMIF(Nov_Period_1_Tbl[[#All],[STAFF:]],$A48,Nov_Period_1_Tbl[[#All],[$ PT COMM]])+  SUMIF(Dec_Period_1_Tbl[[#All],[STAFF:]],$A48,Dec_Period_1_Tbl[[#All],[$ PT COMM]]))+   (SUMIF(Jan_Period_2_Tbl[[#All],[STAFF:]],$A48,Jan_Period_2_Tbl[[#All],[$ PT COMM]])+
SUMIF(Feb_Period_2_Tbl[[#All],[STAFF:]],$A48,Feb_Period_2_Tbl[[#All],[$ PT COMM]])+SUMIF(Mar_Period_2_Tbl[[#All],[STAFF:]],$A48,Mar_Period_2_Tbl[[#All],[$ PT COMM]])+SUMIF(Apr_Period_2_Tbl[[#All],[STAFF:]],$A48,Apr_Period_2_Tbl[[#All],[$ PT COMM]])+   SUMIF(May_Period_2_Tbl[[#All],[STAFF:]],$A48,May_Period_2_Tbl[[#All],[$ PT COMM]])+   SUMIF(Jun_Period_2_Tbl[[#All],[STAFF:]],$A48,Jun_Period_2_Tbl[[#All],[$ PT COMM]])+  SUMIF(Jul_Period_2_Tbl[[#All],[STAFF:]],$A48,Jul_Period_2_Tbl[[#All],[$ PT COMM]])+  SUMIF(Aug_Period_2_Tbl[[#All],[STAFF:]],$A48,Aug_Period_2_Tbl[[#All],[$ PT COMM]])+  SUMIF(Sep_Period_2_Tbl[[#All],[STAFF:]],$A48,Sep_Period_2_Tbl[[#All],[$ PT COMM]])+  SUMIF(Oct_Period_2_Tbl[[#All],[STAFF:]],$A48,Oct_Period_2_Tbl[[#All],[$ PT COMM]])+     SUMIF(Nov_Period_2_Tbl[[#All],[STAFF:]],$A48,Nov_Period_2_Tbl[[#All],[$ PT COMM]])+  SUMIF(Dec_Period_2_Tbl[[#All],[STAFF:]],$A48,Dec_Period_2_Tbl[[#All],[$ PT COMM]]))</f>
        <v>0</v>
      </c>
      <c r="M48" s="190">
        <f>(SUMIF(Jan_Period_1_Tbl[[#All],[STAFF:]],$A48,Jan_Period_1_Tbl[[#All],[$ EFT COMM]])+
SUMIF(Feb_Period_1_Tbl[[#All],[STAFF:]],$A48,Feb_Period_1_Tbl[[#All],[$ EFT COMM]])+SUMIF(Mar_Period_1_Tbl[[#All],[STAFF:]],$A48,Mar_Period_1_Tbl[[#All],[$ EFT COMM]])+SUMIF(Apr_Period_1_Tbl[[#All],[STAFF:]],$A48,Apr_Period_1_Tbl[[#All],[$ EFT COMM]])+   SUMIF(May_Period_1_Tbl[[#All],[STAFF:]],$A48,May_Period_1_Tbl[[#All],[$ EFT COMM]])+   SUMIF(Jun_Period_1_Tbl[[#All],[STAFF:]],$A48,Jun_Period_1_Tbl[[#All],[$ EFT COMM]])+  SUMIF(Jul_Period_1_Tbl[[#All],[STAFF:]],$A48,Jul_Period_1_Tbl[[#All],[$ EFT COMM]])+  SUMIF(Aug_Period_1_Tbl[[#All],[STAFF:]],$A48,Aug_Period_1_Tbl[[#All],[$ EFT COMM]])+  SUMIF(Sep_Period_1_Tbl[[#All],[STAFF:]],$A48,Sep_Period_1_Tbl[[#All],[$ EFT COMM]])+  SUMIF(Oct_Period_1_Tbl[[#All],[STAFF:]],$A48,Oct_Period_1_Tbl[[#All],[$ EFT COMM]])+     SUMIF(Nov_Period_1_Tbl[[#All],[STAFF:]],$A48,Nov_Period_1_Tbl[[#All],[$ EFT COMM]])+  SUMIF(Dec_Period_1_Tbl[[#All],[STAFF:]],$A48,Dec_Period_1_Tbl[[#All],[$ EFT COMM]]))+   (SUMIF(Jan_Period_2_Tbl[[#All],[STAFF:]],$A48,Jan_Period_2_Tbl[[#All],[$ EFT COMM]])+
SUMIF(Feb_Period_2_Tbl[[#All],[STAFF:]],$A48,Feb_Period_2_Tbl[[#All],[$ EFT COMM]])+SUMIF(Mar_Period_2_Tbl[[#All],[STAFF:]],$A48,Mar_Period_2_Tbl[[#All],[$ EFT COMM]])+SUMIF(Apr_Period_2_Tbl[[#All],[STAFF:]],$A48,Apr_Period_2_Tbl[[#All],[$ EFT COMM]])+   SUMIF(May_Period_2_Tbl[[#All],[STAFF:]],$A48,May_Period_2_Tbl[[#All],[$ EFT COMM]])+   SUMIF(Jun_Period_2_Tbl[[#All],[STAFF:]],$A48,Jun_Period_2_Tbl[[#All],[$ EFT COMM]])+  SUMIF(Jul_Period_2_Tbl[[#All],[STAFF:]],$A48,Jul_Period_2_Tbl[[#All],[$ EFT COMM]])+  SUMIF(Aug_Period_2_Tbl[[#All],[STAFF:]],$A48,Aug_Period_2_Tbl[[#All],[$ EFT COMM]])+  SUMIF(Sep_Period_2_Tbl[[#All],[STAFF:]],$A48,Sep_Period_2_Tbl[[#All],[$ EFT COMM]])+  SUMIF(Oct_Period_2_Tbl[[#All],[STAFF:]],$A48,Oct_Period_2_Tbl[[#All],[$ EFT COMM]])+     SUMIF(Nov_Period_2_Tbl[[#All],[STAFF:]],$A48,Nov_Period_2_Tbl[[#All],[$ EFT COMM]])+  SUMIF(Dec_Period_2_Tbl[[#All],[STAFF:]],$A48,Dec_Period_2_Tbl[[#All],[$ EFT COMM]]))</f>
        <v>0</v>
      </c>
      <c r="N48" s="190">
        <f>(SUMIF(Jan_Period_1_Tbl[[#All],[STAFF:]],$A48,Jan_Period_1_Tbl[[#All],[$ CLASS PAY]])+
SUMIF(Feb_Period_1_Tbl[[#All],[STAFF:]],$A48,Feb_Period_1_Tbl[[#All],[$ CLASS PAY]])+SUMIF(Mar_Period_1_Tbl[[#All],[STAFF:]],$A48,Mar_Period_1_Tbl[[#All],[$ CLASS PAY]])+SUMIF(Apr_Period_1_Tbl[[#All],[STAFF:]],$A48,Apr_Period_1_Tbl[[#All],[$ CLASS PAY]])+   SUMIF(May_Period_1_Tbl[[#All],[STAFF:]],$A48,May_Period_1_Tbl[[#All],[$ CLASS PAY]])+   SUMIF(Jun_Period_1_Tbl[[#All],[STAFF:]],$A48,Jun_Period_1_Tbl[[#All],[$ CLASS PAY]])+  SUMIF(Jul_Period_1_Tbl[[#All],[STAFF:]],$A48,Jul_Period_1_Tbl[[#All],[$ CLASS PAY]])+  SUMIF(Aug_Period_1_Tbl[[#All],[STAFF:]],$A48,Aug_Period_1_Tbl[[#All],[$ CLASS PAY]])+  SUMIF(Sep_Period_1_Tbl[[#All],[STAFF:]],$A48,Sep_Period_1_Tbl[[#All],[$ CLASS PAY]])+  SUMIF(Oct_Period_1_Tbl[[#All],[STAFF:]],$A48,Oct_Period_1_Tbl[[#All],[$ CLASS PAY]])+     SUMIF(Nov_Period_1_Tbl[[#All],[STAFF:]],$A48,Nov_Period_1_Tbl[[#All],[$ CLASS PAY]])+  SUMIF(Dec_Period_1_Tbl[[#All],[STAFF:]],$A48,Dec_Period_1_Tbl[[#All],[$ CLASS PAY]]))+   (SUMIF(Jan_Period_2_Tbl[[#All],[STAFF:]],$A48,Jan_Period_2_Tbl[[#All],[$ CLASS PAY]])+
SUMIF(Feb_Period_2_Tbl[[#All],[STAFF:]],$A48,Feb_Period_2_Tbl[[#All],[$ CLASS PAY]])+SUMIF(Mar_Period_2_Tbl[[#All],[STAFF:]],$A48,Mar_Period_2_Tbl[[#All],[$ CLASS PAY]])+SUMIF(Apr_Period_2_Tbl[[#All],[STAFF:]],$A48,Apr_Period_2_Tbl[[#All],[$ CLASS PAY]])+   SUMIF(May_Period_2_Tbl[[#All],[STAFF:]],$A48,May_Period_2_Tbl[[#All],[$ CLASS PAY]])+   SUMIF(Jun_Period_2_Tbl[[#All],[STAFF:]],$A48,Jun_Period_2_Tbl[[#All],[$ CLASS PAY]])+  SUMIF(Jul_Period_2_Tbl[[#All],[STAFF:]],$A48,Jul_Period_2_Tbl[[#All],[$ CLASS PAY]])+  SUMIF(Aug_Period_2_Tbl[[#All],[STAFF:]],$A48,Aug_Period_2_Tbl[[#All],[$ CLASS PAY]])+  SUMIF(Sep_Period_2_Tbl[[#All],[STAFF:]],$A48,Sep_Period_2_Tbl[[#All],[$ CLASS PAY]])+  SUMIF(Oct_Period_2_Tbl[[#All],[STAFF:]],$A48,Oct_Period_2_Tbl[[#All],[$ CLASS PAY]])+     SUMIF(Nov_Period_2_Tbl[[#All],[STAFF:]],$A48,Nov_Period_2_Tbl[[#All],[$ CLASS PAY]])+  SUMIF(Dec_Period_2_Tbl[[#All],[STAFF:]],$A48,Dec_Period_2_Tbl[[#All],[$ CLASS PAY]]))</f>
        <v>0</v>
      </c>
      <c r="O48" s="191">
        <f>(SUMIF(Jan_Period_1_Tbl[[#All],[STAFF:]],$A48,Jan_Period_1_Tbl[[#All],[$ BONUS PAY]])+
SUMIF(Feb_Period_1_Tbl[[#All],[STAFF:]],$A48,Feb_Period_1_Tbl[[#All],[$ BONUS PAY]])+SUMIF(Mar_Period_1_Tbl[[#All],[STAFF:]],$A48,Mar_Period_1_Tbl[[#All],[$ BONUS PAY]])+SUMIF(Apr_Period_1_Tbl[[#All],[STAFF:]],$A48,Apr_Period_1_Tbl[[#All],[$ BONUS PAY]])+   SUMIF(May_Period_1_Tbl[[#All],[STAFF:]],$A48,May_Period_1_Tbl[[#All],[$ BONUS PAY]])+   SUMIF(Jun_Period_1_Tbl[[#All],[STAFF:]],$A48,Jun_Period_1_Tbl[[#All],[$ BONUS PAY]])+  SUMIF(Jul_Period_1_Tbl[[#All],[STAFF:]],$A48,Jul_Period_1_Tbl[[#All],[$ BONUS PAY]])+  SUMIF(Aug_Period_1_Tbl[[#All],[STAFF:]],$A48,Aug_Period_1_Tbl[[#All],[$ BONUS PAY]])+  SUMIF(Sep_Period_1_Tbl[[#All],[STAFF:]],$A48,Sep_Period_1_Tbl[[#All],[$ BONUS PAY]])+  SUMIF(Oct_Period_1_Tbl[[#All],[STAFF:]],$A48,Oct_Period_1_Tbl[[#All],[$ BONUS PAY]])+     SUMIF(Nov_Period_1_Tbl[[#All],[STAFF:]],$A48,Nov_Period_1_Tbl[[#All],[$ BONUS PAY]])+  SUMIF(Dec_Period_1_Tbl[[#All],[STAFF:]],$A48,Dec_Period_1_Tbl[[#All],[$ BONUS PAY]]))+   (SUMIF(Jan_Period_2_Tbl[[#All],[STAFF:]],$A48,Jan_Period_2_Tbl[[#All],[$ BONUS PAY]])+
SUMIF(Feb_Period_2_Tbl[[#All],[STAFF:]],$A48,Feb_Period_2_Tbl[[#All],[$ BONUS PAY]])+SUMIF(Mar_Period_2_Tbl[[#All],[STAFF:]],$A48,Mar_Period_2_Tbl[[#All],[$ BONUS PAY]])+SUMIF(Apr_Period_2_Tbl[[#All],[STAFF:]],$A48,Apr_Period_2_Tbl[[#All],[$ BONUS PAY]])+   SUMIF(May_Period_2_Tbl[[#All],[STAFF:]],$A48,May_Period_2_Tbl[[#All],[$ BONUS PAY]])+   SUMIF(Jun_Period_2_Tbl[[#All],[STAFF:]],$A48,Jun_Period_2_Tbl[[#All],[$ BONUS PAY]])+  SUMIF(Jul_Period_2_Tbl[[#All],[STAFF:]],$A48,Jul_Period_2_Tbl[[#All],[$ BONUS PAY]])+  SUMIF(Aug_Period_2_Tbl[[#All],[STAFF:]],$A48,Aug_Period_2_Tbl[[#All],[$ BONUS PAY]])+  SUMIF(Sep_Period_2_Tbl[[#All],[STAFF:]],$A48,Sep_Period_2_Tbl[[#All],[$ BONUS PAY]])+  SUMIF(Oct_Period_2_Tbl[[#All],[STAFF:]],$A48,Oct_Period_2_Tbl[[#All],[$ BONUS PAY]])+     SUMIF(Nov_Period_2_Tbl[[#All],[STAFF:]],$A48,Nov_Period_2_Tbl[[#All],[$ BONUS PAY]])+  SUMIF(Dec_Period_2_Tbl[[#All],[STAFF:]],$A48,Dec_Period_2_Tbl[[#All],[$ BONUS PAY]]))</f>
        <v>0</v>
      </c>
      <c r="P48" s="179">
        <f t="shared" si="9"/>
        <v>0</v>
      </c>
      <c r="Q48" s="149"/>
      <c r="R48" s="152">
        <f>(SUMIF(Jan_Period_1_Tbl[[#All],[STAFF:]],$A48,Jan_Period_1_Tbl[[#All],['# POINTS EARNED]])+
SUMIF(Feb_Period_1_Tbl[[#All],[STAFF:]],$A48,Feb_Period_1_Tbl[[#All],['# POINTS EARNED]])+SUMIF(Mar_Period_1_Tbl[[#All],[STAFF:]],$A48,Mar_Period_1_Tbl[[#All],['# POINTS EARNED]])+SUMIF(Apr_Period_1_Tbl[[#All],[STAFF:]],$A48,Apr_Period_1_Tbl[[#All],['# POINTS EARNED]])+   SUMIF(May_Period_1_Tbl[[#All],[STAFF:]],$A48,May_Period_1_Tbl[[#All],['# POINTS EARNED]])+   SUMIF(Jun_Period_1_Tbl[[#All],[STAFF:]],$A48,Jun_Period_1_Tbl[[#All],['# POINTS EARNED]])+  SUMIF(Jul_Period_1_Tbl[[#All],[STAFF:]],$A48,Jul_Period_1_Tbl[[#All],['# POINTS EARNED]])+  SUMIF(Aug_Period_1_Tbl[[#All],[STAFF:]],$A48,Aug_Period_1_Tbl[[#All],['# POINTS EARNED]])+  SUMIF(Sep_Period_1_Tbl[[#All],[STAFF:]],$A48,Sep_Period_1_Tbl[[#All],['# POINTS EARNED]])+  SUMIF(Oct_Period_1_Tbl[[#All],[STAFF:]],$A48,Oct_Period_1_Tbl[[#All],['# POINTS EARNED]])+     SUMIF(Nov_Period_1_Tbl[[#All],[STAFF:]],$A48,Nov_Period_1_Tbl[[#All],['# POINTS EARNED]])+  SUMIF(Dec_Period_1_Tbl[[#All],[STAFF:]],$A48,Dec_Period_1_Tbl[[#All],['# POINTS EARNED]]))+   (SUMIF(Jan_Period_2_Tbl[[#All],[STAFF:]],$A48,Jan_Period_2_Tbl[[#All],['# POINTS EARNED]])+
SUMIF(Feb_Period_2_Tbl[[#All],[STAFF:]],$A48,Feb_Period_2_Tbl[[#All],['# POINTS EARNED]])+SUMIF(Mar_Period_2_Tbl[[#All],[STAFF:]],$A48,Mar_Period_2_Tbl[[#All],['# POINTS EARNED]])+SUMIF(Apr_Period_2_Tbl[[#All],[STAFF:]],$A48,Apr_Period_2_Tbl[[#All],['# POINTS EARNED]])+   SUMIF(May_Period_2_Tbl[[#All],[STAFF:]],$A48,May_Period_2_Tbl[[#All],['# POINTS EARNED]])+   SUMIF(Jun_Period_2_Tbl[[#All],[STAFF:]],$A48,Jun_Period_2_Tbl[[#All],['# POINTS EARNED]])+  SUMIF(Jul_Period_2_Tbl[[#All],[STAFF:]],$A48,Jul_Period_2_Tbl[[#All],['# POINTS EARNED]])+  SUMIF(Aug_Period_2_Tbl[[#All],[STAFF:]],$A48,Aug_Period_2_Tbl[[#All],['# POINTS EARNED]])+  SUMIF(Sep_Period_2_Tbl[[#All],[STAFF:]],$A48,Sep_Period_2_Tbl[[#All],['# POINTS EARNED]])+  SUMIF(Oct_Period_2_Tbl[[#All],[STAFF:]],$A48,Oct_Period_2_Tbl[[#All],['# POINTS EARNED]])+     SUMIF(Nov_Period_2_Tbl[[#All],[STAFF:]],$A48,Nov_Period_2_Tbl[[#All],['# POINTS EARNED]])+  SUMIF(Dec_Period_2_Tbl[[#All],[STAFF:]],$A48,Dec_Period_2_Tbl[[#All],['# POINTS EARNED]]))</f>
        <v>0</v>
      </c>
      <c r="S48" s="152">
        <f>(SUMIF(Jan_Period_1_Tbl[[#All],[STAFF:]],$A48,Jan_Period_1_Tbl[[#All],['# POINTS USED]])+
SUMIF(Feb_Period_1_Tbl[[#All],[STAFF:]],$A48,Feb_Period_1_Tbl[[#All],['# POINTS USED]])+SUMIF(Mar_Period_1_Tbl[[#All],[STAFF:]],$A48,Mar_Period_1_Tbl[[#All],['# POINTS USED]])+SUMIF(Apr_Period_1_Tbl[[#All],[STAFF:]],$A48,Apr_Period_1_Tbl[[#All],['# POINTS USED]])+   SUMIF(May_Period_1_Tbl[[#All],[STAFF:]],$A48,May_Period_1_Tbl[[#All],['# POINTS USED]])+   SUMIF(Jun_Period_1_Tbl[[#All],[STAFF:]],$A48,Jun_Period_1_Tbl[[#All],['# POINTS USED]])+  SUMIF(Jul_Period_1_Tbl[[#All],[STAFF:]],$A48,Jul_Period_1_Tbl[[#All],['# POINTS USED]])+  SUMIF(Aug_Period_1_Tbl[[#All],[STAFF:]],$A48,Aug_Period_1_Tbl[[#All],['# POINTS USED]])+  SUMIF(Sep_Period_1_Tbl[[#All],[STAFF:]],$A48,Sep_Period_1_Tbl[[#All],['# POINTS USED]])+  SUMIF(Oct_Period_1_Tbl[[#All],[STAFF:]],$A48,Oct_Period_1_Tbl[[#All],['# POINTS USED]])+     SUMIF(Nov_Period_1_Tbl[[#All],[STAFF:]],$A48,Nov_Period_1_Tbl[[#All],['# POINTS USED]])+  SUMIF(Dec_Period_1_Tbl[[#All],[STAFF:]],$A48,Dec_Period_1_Tbl[[#All],['# POINTS USED]]))+   (SUMIF(Jan_Period_2_Tbl[[#All],[STAFF:]],$A48,Jan_Period_2_Tbl[[#All],['# POINTS USED]])+
SUMIF(Feb_Period_2_Tbl[[#All],[STAFF:]],$A48,Feb_Period_2_Tbl[[#All],['# POINTS USED]])+SUMIF(Mar_Period_2_Tbl[[#All],[STAFF:]],$A48,Mar_Period_2_Tbl[[#All],['# POINTS USED]])+SUMIF(Apr_Period_2_Tbl[[#All],[STAFF:]],$A48,Apr_Period_2_Tbl[[#All],['# POINTS USED]])+   SUMIF(May_Period_2_Tbl[[#All],[STAFF:]],$A48,May_Period_2_Tbl[[#All],['# POINTS USED]])+   SUMIF(Jun_Period_2_Tbl[[#All],[STAFF:]],$A48,Jun_Period_2_Tbl[[#All],['# POINTS USED]])+  SUMIF(Jul_Period_2_Tbl[[#All],[STAFF:]],$A48,Jul_Period_2_Tbl[[#All],['# POINTS USED]])+  SUMIF(Aug_Period_2_Tbl[[#All],[STAFF:]],$A48,Aug_Period_2_Tbl[[#All],['# POINTS USED]])+  SUMIF(Sep_Period_2_Tbl[[#All],[STAFF:]],$A48,Sep_Period_2_Tbl[[#All],['# POINTS USED]])+  SUMIF(Oct_Period_2_Tbl[[#All],[STAFF:]],$A48,Oct_Period_2_Tbl[[#All],['# POINTS USED]])+     SUMIF(Nov_Period_2_Tbl[[#All],[STAFF:]],$A48,Nov_Period_2_Tbl[[#All],['# POINTS USED]])+  SUMIF(Dec_Period_2_Tbl[[#All],[STAFF:]],$A48,Dec_Period_2_Tbl[[#All],['# POINTS USED]]))</f>
        <v>0</v>
      </c>
      <c r="T48" s="152">
        <f>(SUMIF(Jan_Period_1_Tbl[[#All],[STAFF:]],$A48,Jan_Period_1_Tbl[[#All],['# CLASSES LEAD]])+
SUMIF(Feb_Period_1_Tbl[[#All],[STAFF:]],$A48,Feb_Period_1_Tbl[[#All],['# CLASSES LEAD]])+SUMIF(Mar_Period_1_Tbl[[#All],[STAFF:]],$A48,Mar_Period_1_Tbl[[#All],['# CLASSES LEAD]])+SUMIF(Apr_Period_1_Tbl[[#All],[STAFF:]],$A48,Apr_Period_1_Tbl[[#All],['# CLASSES LEAD]])+   SUMIF(May_Period_1_Tbl[[#All],[STAFF:]],$A48,May_Period_1_Tbl[[#All],['# CLASSES LEAD]])+   SUMIF(Jun_Period_1_Tbl[[#All],[STAFF:]],$A48,Jun_Period_1_Tbl[[#All],['# CLASSES LEAD]])+  SUMIF(Jul_Period_1_Tbl[[#All],[STAFF:]],$A48,Jul_Period_1_Tbl[[#All],['# CLASSES LEAD]])+  SUMIF(Aug_Period_1_Tbl[[#All],[STAFF:]],$A48,Aug_Period_1_Tbl[[#All],['# CLASSES LEAD]])+  SUMIF(Sep_Period_1_Tbl[[#All],[STAFF:]],$A48,Sep_Period_1_Tbl[[#All],['# CLASSES LEAD]])+  SUMIF(Oct_Period_1_Tbl[[#All],[STAFF:]],$A48,Oct_Period_1_Tbl[[#All],['# CLASSES LEAD]])+     SUMIF(Nov_Period_1_Tbl[[#All],[STAFF:]],$A48,Nov_Period_1_Tbl[[#All],['# CLASSES LEAD]])+  SUMIF(Dec_Period_1_Tbl[[#All],[STAFF:]],$A48,Dec_Period_1_Tbl[[#All],['# CLASSES LEAD]]))+   (SUMIF(Jan_Period_2_Tbl[[#All],[STAFF:]],$A48,Jan_Period_2_Tbl[[#All],['# CLASSES LEAD]])+
SUMIF(Feb_Period_2_Tbl[[#All],[STAFF:]],$A48,Feb_Period_2_Tbl[[#All],['# CLASSES LEAD]])+SUMIF(Mar_Period_2_Tbl[[#All],[STAFF:]],$A48,Mar_Period_2_Tbl[[#All],['# CLASSES LEAD]])+SUMIF(Apr_Period_2_Tbl[[#All],[STAFF:]],$A48,Apr_Period_2_Tbl[[#All],['# CLASSES LEAD]])+   SUMIF(May_Period_2_Tbl[[#All],[STAFF:]],$A48,May_Period_2_Tbl[[#All],['# CLASSES LEAD]])+   SUMIF(Jun_Period_2_Tbl[[#All],[STAFF:]],$A48,Jun_Period_2_Tbl[[#All],['# CLASSES LEAD]])+  SUMIF(Jul_Period_2_Tbl[[#All],[STAFF:]],$A48,Jul_Period_2_Tbl[[#All],['# CLASSES LEAD]])+  SUMIF(Aug_Period_2_Tbl[[#All],[STAFF:]],$A48,Aug_Period_2_Tbl[[#All],['# CLASSES LEAD]])+  SUMIF(Sep_Period_2_Tbl[[#All],[STAFF:]],$A48,Sep_Period_2_Tbl[[#All],['# CLASSES LEAD]])+  SUMIF(Oct_Period_2_Tbl[[#All],[STAFF:]],$A48,Oct_Period_2_Tbl[[#All],['# CLASSES LEAD]])+     SUMIF(Nov_Period_2_Tbl[[#All],[STAFF:]],$A48,Nov_Period_2_Tbl[[#All],['# CLASSES LEAD]])+  SUMIF(Dec_Period_2_Tbl[[#All],[STAFF:]],$A48,Dec_Period_2_Tbl[[#All],['# CLASSES LEAD]]))</f>
        <v>0</v>
      </c>
      <c r="U48" s="152">
        <f>(SUMIF(Jan_Period_1_Tbl[[#All],[STAFF:]],$A48,Jan_Period_1_Tbl[[#All],['# CLASSES SHOW]])+
SUMIF(Feb_Period_1_Tbl[[#All],[STAFF:]],$A48,Feb_Period_1_Tbl[[#All],['# CLASSES SHOW]])+SUMIF(Mar_Period_1_Tbl[[#All],[STAFF:]],$A48,Mar_Period_1_Tbl[[#All],['# CLASSES SHOW]])+SUMIF(Apr_Period_1_Tbl[[#All],[STAFF:]],$A48,Apr_Period_1_Tbl[[#All],['# CLASSES SHOW]])+   SUMIF(May_Period_1_Tbl[[#All],[STAFF:]],$A48,May_Period_1_Tbl[[#All],['# CLASSES SHOW]])+   SUMIF(Jun_Period_1_Tbl[[#All],[STAFF:]],$A48,Jun_Period_1_Tbl[[#All],['# CLASSES SHOW]])+  SUMIF(Jul_Period_1_Tbl[[#All],[STAFF:]],$A48,Jul_Period_1_Tbl[[#All],['# CLASSES SHOW]])+  SUMIF(Aug_Period_1_Tbl[[#All],[STAFF:]],$A48,Aug_Period_1_Tbl[[#All],['# CLASSES SHOW]])+  SUMIF(Sep_Period_1_Tbl[[#All],[STAFF:]],$A48,Sep_Period_1_Tbl[[#All],['# CLASSES SHOW]])+  SUMIF(Oct_Period_1_Tbl[[#All],[STAFF:]],$A48,Oct_Period_1_Tbl[[#All],['# CLASSES SHOW]])+     SUMIF(Nov_Period_1_Tbl[[#All],[STAFF:]],$A48,Nov_Period_1_Tbl[[#All],['# CLASSES SHOW]])+  SUMIF(Dec_Period_1_Tbl[[#All],[STAFF:]],$A48,Dec_Period_1_Tbl[[#All],['# CLASSES SHOW]]))+   (SUMIF(Jan_Period_2_Tbl[[#All],[STAFF:]],$A48,Jan_Period_2_Tbl[[#All],['# CLASSES SHOW]])+
SUMIF(Feb_Period_2_Tbl[[#All],[STAFF:]],$A48,Feb_Period_2_Tbl[[#All],['# CLASSES SHOW]])+SUMIF(Mar_Period_2_Tbl[[#All],[STAFF:]],$A48,Mar_Period_2_Tbl[[#All],['# CLASSES SHOW]])+SUMIF(Apr_Period_2_Tbl[[#All],[STAFF:]],$A48,Apr_Period_2_Tbl[[#All],['# CLASSES SHOW]])+   SUMIF(May_Period_2_Tbl[[#All],[STAFF:]],$A48,May_Period_2_Tbl[[#All],['# CLASSES SHOW]])+   SUMIF(Jun_Period_2_Tbl[[#All],[STAFF:]],$A48,Jun_Period_2_Tbl[[#All],['# CLASSES SHOW]])+  SUMIF(Jul_Period_2_Tbl[[#All],[STAFF:]],$A48,Jul_Period_2_Tbl[[#All],['# CLASSES SHOW]])+  SUMIF(Aug_Period_2_Tbl[[#All],[STAFF:]],$A48,Aug_Period_2_Tbl[[#All],['# CLASSES SHOW]])+  SUMIF(Sep_Period_2_Tbl[[#All],[STAFF:]],$A48,Sep_Period_2_Tbl[[#All],['# CLASSES SHOW]])+  SUMIF(Oct_Period_2_Tbl[[#All],[STAFF:]],$A48,Oct_Period_2_Tbl[[#All],['# CLASSES SHOW]])+     SUMIF(Nov_Period_2_Tbl[[#All],[STAFF:]],$A48,Nov_Period_2_Tbl[[#All],['# CLASSES SHOW]])+  SUMIF(Dec_Period_2_Tbl[[#All],[STAFF:]],$A48,Dec_Period_2_Tbl[[#All],['# CLASSES SHOW]]))</f>
        <v>0</v>
      </c>
      <c r="V48" s="156"/>
      <c r="W48" s="156"/>
      <c r="X48" s="154">
        <f t="shared" si="10"/>
        <v>0</v>
      </c>
      <c r="Y48" s="154">
        <f t="shared" si="11"/>
        <v>0</v>
      </c>
      <c r="Z48" s="154">
        <f t="shared" si="12"/>
        <v>0</v>
      </c>
      <c r="AA48" s="154">
        <f t="shared" si="13"/>
        <v>0</v>
      </c>
      <c r="AB48" s="154">
        <f t="shared" si="14"/>
        <v>0</v>
      </c>
      <c r="AC48" s="154">
        <f t="shared" si="15"/>
        <v>0</v>
      </c>
      <c r="AD48" s="154">
        <f t="shared" si="16"/>
        <v>0</v>
      </c>
      <c r="AE48" s="149"/>
      <c r="AF48" s="149"/>
      <c r="AG48" s="149"/>
      <c r="AH48" s="149"/>
      <c r="AJ48" s="75" t="str">
        <f t="shared" si="17"/>
        <v>zBlank</v>
      </c>
      <c r="AK48" s="210"/>
      <c r="AL48" s="168">
        <f>IFERROR(VLOOKUP(B48,List!$A:$B,2,FALSE),-1)</f>
        <v>-1</v>
      </c>
      <c r="AM48" s="168">
        <f>IFERROR(VLOOKUP(C48,List!$A:$B,2,FALSE),-1)</f>
        <v>-1</v>
      </c>
    </row>
    <row r="49" spans="1:39" ht="15" hidden="1" customHeight="1" x14ac:dyDescent="0.25">
      <c r="A49" s="20"/>
      <c r="B49" s="186"/>
      <c r="C49" s="186"/>
      <c r="D49" s="187"/>
      <c r="E49" s="188">
        <f>(SUMIF(Jan_Period_1_Tbl[[#All],[STAFF:]],$A49,Jan_Period_1_Tbl[[#All],['# PTO USED]])+
SUMIF(Feb_Period_1_Tbl[[#All],[STAFF:]],$A49,Feb_Period_1_Tbl[[#All],['# PTO USED]])+SUMIF(Mar_Period_1_Tbl[[#All],[STAFF:]],$A49,Mar_Period_1_Tbl[[#All],['# PTO USED]])+SUMIF(Apr_Period_1_Tbl[[#All],[STAFF:]],$A49,Apr_Period_1_Tbl[[#All],['# PTO USED]])+   SUMIF(May_Period_1_Tbl[[#All],[STAFF:]],$A49,May_Period_1_Tbl[[#All],['# PTO USED]])+   SUMIF(Jun_Period_1_Tbl[[#All],[STAFF:]],$A49,Jun_Period_1_Tbl[[#All],['# PTO USED]])+  SUMIF(Jul_Period_1_Tbl[[#All],[STAFF:]],$A49,Jul_Period_1_Tbl[[#All],['# PTO USED]])+  SUMIF(Aug_Period_1_Tbl[[#All],[STAFF:]],$A49,Aug_Period_1_Tbl[[#All],['# PTO USED]])+  SUMIF(Sep_Period_1_Tbl[[#All],[STAFF:]],$A49,Sep_Period_1_Tbl[[#All],['# PTO USED]])+  SUMIF(Oct_Period_1_Tbl[[#All],[STAFF:]],$A49,Oct_Period_1_Tbl[[#All],['# PTO USED]])+     SUMIF(Nov_Period_1_Tbl[[#All],[STAFF:]],$A49,Nov_Period_1_Tbl[[#All],['# PTO USED]])+  SUMIF(Dec_Period_1_Tbl[[#All],[STAFF:]],$A49,Dec_Period_1_Tbl[[#All],['# PTO USED]]))+   (SUMIF(Jan_Period_2_Tbl[[#All],[STAFF:]],$A49,Jan_Period_2_Tbl[[#All],['# PTO USED]])+
SUMIF(Feb_Period_2_Tbl[[#All],[STAFF:]],$A49,Feb_Period_2_Tbl[[#All],['# PTO USED]])+SUMIF(Mar_Period_2_Tbl[[#All],[STAFF:]],$A49,Mar_Period_2_Tbl[[#All],['# PTO USED]])+SUMIF(Apr_Period_2_Tbl[[#All],[STAFF:]],$A49,Apr_Period_2_Tbl[[#All],['# PTO USED]])+   SUMIF(May_Period_2_Tbl[[#All],[STAFF:]],$A49,May_Period_2_Tbl[[#All],['# PTO USED]])+   SUMIF(Jun_Period_2_Tbl[[#All],[STAFF:]],$A49,Jun_Period_2_Tbl[[#All],['# PTO USED]])+  SUMIF(Jul_Period_2_Tbl[[#All],[STAFF:]],$A49,Jul_Period_2_Tbl[[#All],['# PTO USED]])+  SUMIF(Aug_Period_2_Tbl[[#All],[STAFF:]],$A49,Aug_Period_2_Tbl[[#All],['# PTO USED]])+  SUMIF(Sep_Period_2_Tbl[[#All],[STAFF:]],$A49,Sep_Period_2_Tbl[[#All],['# PTO USED]])+  SUMIF(Oct_Period_2_Tbl[[#All],[STAFF:]],$A49,Oct_Period_2_Tbl[[#All],['# PTO USED]])+     SUMIF(Nov_Period_2_Tbl[[#All],[STAFF:]],$A49,Nov_Period_2_Tbl[[#All],['# PTO USED]])+  SUMIF(Dec_Period_2_Tbl[[#All],[STAFF:]],$A49,Dec_Period_2_Tbl[[#All],['# PTO USED]]))</f>
        <v>0</v>
      </c>
      <c r="F49" s="189">
        <f>(SUMIF(Jan_Period_1_Tbl[[#All],[STAFF:]],$A49,Jan_Period_1_Tbl[[#All],['# HRS WORKED]])+
SUMIF(Feb_Period_1_Tbl[[#All],[STAFF:]],$A49,Feb_Period_1_Tbl[[#All],['# HRS WORKED]])+SUMIF(Mar_Period_1_Tbl[[#All],[STAFF:]],$A49,Mar_Period_1_Tbl[[#All],['# HRS WORKED]])+SUMIF(Apr_Period_1_Tbl[[#All],[STAFF:]],$A49,Apr_Period_1_Tbl[[#All],['# HRS WORKED]])+   SUMIF(May_Period_1_Tbl[[#All],[STAFF:]],$A49,May_Period_1_Tbl[[#All],['# HRS WORKED]])+   SUMIF(Jun_Period_1_Tbl[[#All],[STAFF:]],$A49,Jun_Period_1_Tbl[[#All],['# HRS WORKED]])+  SUMIF(Jul_Period_1_Tbl[[#All],[STAFF:]],$A49,Jul_Period_1_Tbl[[#All],['# HRS WORKED]])+  SUMIF(Aug_Period_1_Tbl[[#All],[STAFF:]],$A49,Aug_Period_1_Tbl[[#All],['# HRS WORKED]])+  SUMIF(Sep_Period_1_Tbl[[#All],[STAFF:]],$A49,Sep_Period_1_Tbl[[#All],['# HRS WORKED]])+  SUMIF(Oct_Period_1_Tbl[[#All],[STAFF:]],$A49,Oct_Period_1_Tbl[[#All],['# HRS WORKED]])+     SUMIF(Nov_Period_1_Tbl[[#All],[STAFF:]],$A49,Nov_Period_1_Tbl[[#All],['# HRS WORKED]])+  SUMIF(Dec_Period_1_Tbl[[#All],[STAFF:]],$A49,Dec_Period_1_Tbl[[#All],['# HRS WORKED]]))+   (SUMIF(Jan_Period_2_Tbl[[#All],[STAFF:]],$A49,Jan_Period_2_Tbl[[#All],['# HRS WORKED]])+
SUMIF(Feb_Period_2_Tbl[[#All],[STAFF:]],$A49,Feb_Period_2_Tbl[[#All],['# HRS WORKED]])+SUMIF(Mar_Period_2_Tbl[[#All],[STAFF:]],$A49,Mar_Period_2_Tbl[[#All],['# HRS WORKED]])+SUMIF(Apr_Period_2_Tbl[[#All],[STAFF:]],$A49,Apr_Period_2_Tbl[[#All],['# HRS WORKED]])+   SUMIF(May_Period_2_Tbl[[#All],[STAFF:]],$A49,May_Period_2_Tbl[[#All],['# HRS WORKED]])+   SUMIF(Jun_Period_2_Tbl[[#All],[STAFF:]],$A49,Jun_Period_2_Tbl[[#All],['# HRS WORKED]])+  SUMIF(Jul_Period_2_Tbl[[#All],[STAFF:]],$A49,Jul_Period_2_Tbl[[#All],['# HRS WORKED]])+  SUMIF(Aug_Period_2_Tbl[[#All],[STAFF:]],$A49,Aug_Period_2_Tbl[[#All],['# HRS WORKED]])+  SUMIF(Sep_Period_2_Tbl[[#All],[STAFF:]],$A49,Sep_Period_2_Tbl[[#All],['# HRS WORKED]])+  SUMIF(Oct_Period_2_Tbl[[#All],[STAFF:]],$A49,Oct_Period_2_Tbl[[#All],['# HRS WORKED]])+     SUMIF(Nov_Period_2_Tbl[[#All],[STAFF:]],$A49,Nov_Period_2_Tbl[[#All],['# HRS WORKED]])+  SUMIF(Dec_Period_2_Tbl[[#All],[STAFF:]],$A49,Dec_Period_2_Tbl[[#All],['# HRS WORKED]]))</f>
        <v>0</v>
      </c>
      <c r="G49" s="190">
        <f>(SUMIF(Jan_Period_1_Tbl[[#All],[STAFF:]],$A49,Jan_Period_1_Tbl[[#All],[$ Hourly WAGES]])+
SUMIF(Feb_Period_1_Tbl[[#All],[STAFF:]],$A49,Feb_Period_1_Tbl[[#All],[$ Hourly WAGES]])+SUMIF(Mar_Period_1_Tbl[[#All],[STAFF:]],$A49,Mar_Period_1_Tbl[[#All],[$ Hourly WAGES]])+SUMIF(Apr_Period_1_Tbl[[#All],[STAFF:]],$A49,Apr_Period_1_Tbl[[#All],[$ Hourly WAGES]])+   SUMIF(May_Period_1_Tbl[[#All],[STAFF:]],$A49,May_Period_1_Tbl[[#All],[$ Hourly WAGES]])+   SUMIF(Jun_Period_1_Tbl[[#All],[STAFF:]],$A49,Jun_Period_1_Tbl[[#All],[$ Hourly WAGES]])+  SUMIF(Jul_Period_1_Tbl[[#All],[STAFF:]],$A49,Jul_Period_1_Tbl[[#All],[$ Hourly WAGES]])+  SUMIF(Aug_Period_1_Tbl[[#All],[STAFF:]],$A49,Aug_Period_1_Tbl[[#All],[$ Hourly WAGES]])+  SUMIF(Sep_Period_1_Tbl[[#All],[STAFF:]],$A49,Sep_Period_1_Tbl[[#All],[$ Hourly WAGES]])+  SUMIF(Oct_Period_1_Tbl[[#All],[STAFF:]],$A49,Oct_Period_1_Tbl[[#All],[$ Hourly WAGES]])+     SUMIF(Nov_Period_1_Tbl[[#All],[STAFF:]],$A49,Nov_Period_1_Tbl[[#All],[$ Hourly WAGES]])+  SUMIF(Dec_Period_1_Tbl[[#All],[STAFF:]],$A49,Dec_Period_1_Tbl[[#All],[$ Hourly WAGES]]))+   (SUMIF(Jan_Period_2_Tbl[[#All],[STAFF:]],$A49,Jan_Period_2_Tbl[[#All],[$ Hourly WAGES]])+
SUMIF(Feb_Period_2_Tbl[[#All],[STAFF:]],$A49,Feb_Period_2_Tbl[[#All],[$ Hourly WAGES]])+SUMIF(Mar_Period_2_Tbl[[#All],[STAFF:]],$A49,Mar_Period_2_Tbl[[#All],[$ Hourly WAGES]])+SUMIF(Apr_Period_2_Tbl[[#All],[STAFF:]],$A49,Apr_Period_2_Tbl[[#All],[$ Hourly WAGES]])+   SUMIF(May_Period_2_Tbl[[#All],[STAFF:]],$A49,May_Period_2_Tbl[[#All],[$ Hourly WAGES]])+   SUMIF(Jun_Period_2_Tbl[[#All],[STAFF:]],$A49,Jun_Period_2_Tbl[[#All],[$ Hourly WAGES]])+  SUMIF(Jul_Period_2_Tbl[[#All],[STAFF:]],$A49,Jul_Period_2_Tbl[[#All],[$ Hourly WAGES]])+  SUMIF(Aug_Period_2_Tbl[[#All],[STAFF:]],$A49,Aug_Period_2_Tbl[[#All],[$ Hourly WAGES]])+  SUMIF(Sep_Period_2_Tbl[[#All],[STAFF:]],$A49,Sep_Period_2_Tbl[[#All],[$ Hourly WAGES]])+  SUMIF(Oct_Period_2_Tbl[[#All],[STAFF:]],$A49,Oct_Period_2_Tbl[[#All],[$ Hourly WAGES]])+     SUMIF(Nov_Period_2_Tbl[[#All],[STAFF:]],$A49,Nov_Period_2_Tbl[[#All],[$ Hourly WAGES]])+  SUMIF(Dec_Period_2_Tbl[[#All],[STAFF:]],$A49,Dec_Period_2_Tbl[[#All],[$ Hourly WAGES]]))</f>
        <v>0</v>
      </c>
      <c r="H49" s="190">
        <f>(SUMIF(Jan_Period_1_Tbl[[#All],[STAFF:]],$A49,Jan_Period_1_Tbl[[#All],[$ SALARY]])+
SUMIF(Feb_Period_1_Tbl[[#All],[STAFF:]],$A49,Feb_Period_1_Tbl[[#All],[$ SALARY]])+SUMIF(Mar_Period_1_Tbl[[#All],[STAFF:]],$A49,Mar_Period_1_Tbl[[#All],[$ SALARY]])+SUMIF(Apr_Period_1_Tbl[[#All],[STAFF:]],$A49,Apr_Period_1_Tbl[[#All],[$ SALARY]])+   SUMIF(May_Period_1_Tbl[[#All],[STAFF:]],$A49,May_Period_1_Tbl[[#All],[$ SALARY]])+   SUMIF(Jun_Period_1_Tbl[[#All],[STAFF:]],$A49,Jun_Period_1_Tbl[[#All],[$ SALARY]])+  SUMIF(Jul_Period_1_Tbl[[#All],[STAFF:]],$A49,Jul_Period_1_Tbl[[#All],[$ SALARY]])+  SUMIF(Aug_Period_1_Tbl[[#All],[STAFF:]],$A49,Aug_Period_1_Tbl[[#All],[$ SALARY]])+  SUMIF(Sep_Period_1_Tbl[[#All],[STAFF:]],$A49,Sep_Period_1_Tbl[[#All],[$ SALARY]])+  SUMIF(Oct_Period_1_Tbl[[#All],[STAFF:]],$A49,Oct_Period_1_Tbl[[#All],[$ SALARY]])+     SUMIF(Nov_Period_1_Tbl[[#All],[STAFF:]],$A49,Nov_Period_1_Tbl[[#All],[$ SALARY]])+  SUMIF(Dec_Period_1_Tbl[[#All],[STAFF:]],$A49,Dec_Period_1_Tbl[[#All],[$ SALARY]]))+   (SUMIF(Jan_Period_2_Tbl[[#All],[STAFF:]],$A49,Jan_Period_2_Tbl[[#All],[$ SALARY]])+
SUMIF(Feb_Period_2_Tbl[[#All],[STAFF:]],$A49,Feb_Period_2_Tbl[[#All],[$ SALARY]])+SUMIF(Mar_Period_2_Tbl[[#All],[STAFF:]],$A49,Mar_Period_2_Tbl[[#All],[$ SALARY]])+SUMIF(Apr_Period_2_Tbl[[#All],[STAFF:]],$A49,Apr_Period_2_Tbl[[#All],[$ SALARY]])+   SUMIF(May_Period_2_Tbl[[#All],[STAFF:]],$A49,May_Period_2_Tbl[[#All],[$ SALARY]])+   SUMIF(Jun_Period_2_Tbl[[#All],[STAFF:]],$A49,Jun_Period_2_Tbl[[#All],[$ SALARY]])+  SUMIF(Jul_Period_2_Tbl[[#All],[STAFF:]],$A49,Jul_Period_2_Tbl[[#All],[$ SALARY]])+  SUMIF(Aug_Period_2_Tbl[[#All],[STAFF:]],$A49,Aug_Period_2_Tbl[[#All],[$ SALARY]])+  SUMIF(Sep_Period_2_Tbl[[#All],[STAFF:]],$A49,Sep_Period_2_Tbl[[#All],[$ SALARY]])+  SUMIF(Oct_Period_2_Tbl[[#All],[STAFF:]],$A49,Oct_Period_2_Tbl[[#All],[$ SALARY]])+     SUMIF(Nov_Period_2_Tbl[[#All],[STAFF:]],$A49,Nov_Period_2_Tbl[[#All],[$ SALARY]])+  SUMIF(Dec_Period_2_Tbl[[#All],[STAFF:]],$A49,Dec_Period_2_Tbl[[#All],[$ SALARY]]))</f>
        <v>0</v>
      </c>
      <c r="I49" s="190">
        <f>(SUMIF(Jan_Period_1_Tbl[[#All],[STAFF:]],$A49,Jan_Period_1_Tbl[[#All],[$ SALARY PT]])+
SUMIF(Feb_Period_1_Tbl[[#All],[STAFF:]],$A49,Feb_Period_1_Tbl[[#All],[$ SALARY PT]])+SUMIF(Mar_Period_1_Tbl[[#All],[STAFF:]],$A49,Mar_Period_1_Tbl[[#All],[$ SALARY PT]])+SUMIF(Apr_Period_1_Tbl[[#All],[STAFF:]],$A49,Apr_Period_1_Tbl[[#All],[$ SALARY PT]])+   SUMIF(May_Period_1_Tbl[[#All],[STAFF:]],$A49,May_Period_1_Tbl[[#All],[$ SALARY PT]])+   SUMIF(Jun_Period_1_Tbl[[#All],[STAFF:]],$A49,Jun_Period_1_Tbl[[#All],[$ SALARY PT]])+  SUMIF(Jul_Period_1_Tbl[[#All],[STAFF:]],$A49,Jul_Period_1_Tbl[[#All],[$ SALARY PT]])+  SUMIF(Aug_Period_1_Tbl[[#All],[STAFF:]],$A49,Aug_Period_1_Tbl[[#All],[$ SALARY PT]])+  SUMIF(Sep_Period_1_Tbl[[#All],[STAFF:]],$A49,Sep_Period_1_Tbl[[#All],[$ SALARY PT]])+  SUMIF(Oct_Period_1_Tbl[[#All],[STAFF:]],$A49,Oct_Period_1_Tbl[[#All],[$ SALARY PT]])+     SUMIF(Nov_Period_1_Tbl[[#All],[STAFF:]],$A49,Nov_Period_1_Tbl[[#All],[$ SALARY PT]])+  SUMIF(Dec_Period_1_Tbl[[#All],[STAFF:]],$A49,Dec_Period_1_Tbl[[#All],[$ SALARY PT]]))+   (SUMIF(Jan_Period_2_Tbl[[#All],[STAFF:]],$A49,Jan_Period_2_Tbl[[#All],[$ SALARY PT]])+
SUMIF(Feb_Period_2_Tbl[[#All],[STAFF:]],$A49,Feb_Period_2_Tbl[[#All],[$ SALARY PT]])+SUMIF(Mar_Period_2_Tbl[[#All],[STAFF:]],$A49,Mar_Period_2_Tbl[[#All],[$ SALARY PT]])+SUMIF(Apr_Period_2_Tbl[[#All],[STAFF:]],$A49,Apr_Period_2_Tbl[[#All],[$ SALARY PT]])+   SUMIF(May_Period_2_Tbl[[#All],[STAFF:]],$A49,May_Period_2_Tbl[[#All],[$ SALARY PT]])+   SUMIF(Jun_Period_2_Tbl[[#All],[STAFF:]],$A49,Jun_Period_2_Tbl[[#All],[$ SALARY PT]])+  SUMIF(Jul_Period_2_Tbl[[#All],[STAFF:]],$A49,Jul_Period_2_Tbl[[#All],[$ SALARY PT]])+  SUMIF(Aug_Period_2_Tbl[[#All],[STAFF:]],$A49,Aug_Period_2_Tbl[[#All],[$ SALARY PT]])+  SUMIF(Sep_Period_2_Tbl[[#All],[STAFF:]],$A49,Sep_Period_2_Tbl[[#All],[$ SALARY PT]])+  SUMIF(Oct_Period_2_Tbl[[#All],[STAFF:]],$A49,Oct_Period_2_Tbl[[#All],[$ SALARY PT]])+     SUMIF(Nov_Period_2_Tbl[[#All],[STAFF:]],$A49,Nov_Period_2_Tbl[[#All],[$ SALARY PT]])+  SUMIF(Dec_Period_2_Tbl[[#All],[STAFF:]],$A49,Dec_Period_2_Tbl[[#All],[$ SALARY PT]]))</f>
        <v>0</v>
      </c>
      <c r="J49" s="190">
        <f>(SUMIF(Jan_Period_1_Tbl[[#All],[STAFF:]],$A49,Jan_Period_1_Tbl[[#All],[$ FREE PT]])+
SUMIF(Feb_Period_1_Tbl[[#All],[STAFF:]],$A49,Feb_Period_1_Tbl[[#All],[$ FREE PT]])+SUMIF(Mar_Period_1_Tbl[[#All],[STAFF:]],$A49,Mar_Period_1_Tbl[[#All],[$ FREE PT]])+SUMIF(Apr_Period_1_Tbl[[#All],[STAFF:]],$A49,Apr_Period_1_Tbl[[#All],[$ FREE PT]])+   SUMIF(May_Period_1_Tbl[[#All],[STAFF:]],$A49,May_Period_1_Tbl[[#All],[$ FREE PT]])+   SUMIF(Jun_Period_1_Tbl[[#All],[STAFF:]],$A49,Jun_Period_1_Tbl[[#All],[$ FREE PT]])+  SUMIF(Jul_Period_1_Tbl[[#All],[STAFF:]],$A49,Jul_Period_1_Tbl[[#All],[$ FREE PT]])+  SUMIF(Aug_Period_1_Tbl[[#All],[STAFF:]],$A49,Aug_Period_1_Tbl[[#All],[$ FREE PT]])+  SUMIF(Sep_Period_1_Tbl[[#All],[STAFF:]],$A49,Sep_Period_1_Tbl[[#All],[$ FREE PT]])+  SUMIF(Oct_Period_1_Tbl[[#All],[STAFF:]],$A49,Oct_Period_1_Tbl[[#All],[$ FREE PT]])+     SUMIF(Nov_Period_1_Tbl[[#All],[STAFF:]],$A49,Nov_Period_1_Tbl[[#All],[$ FREE PT]])+  SUMIF(Dec_Period_1_Tbl[[#All],[STAFF:]],$A49,Dec_Period_1_Tbl[[#All],[$ FREE PT]]))+   (SUMIF(Jan_Period_2_Tbl[[#All],[STAFF:]],$A49,Jan_Period_2_Tbl[[#All],[$ FREE PT]])+
SUMIF(Feb_Period_2_Tbl[[#All],[STAFF:]],$A49,Feb_Period_2_Tbl[[#All],[$ FREE PT]])+SUMIF(Mar_Period_2_Tbl[[#All],[STAFF:]],$A49,Mar_Period_2_Tbl[[#All],[$ FREE PT]])+SUMIF(Apr_Period_2_Tbl[[#All],[STAFF:]],$A49,Apr_Period_2_Tbl[[#All],[$ FREE PT]])+   SUMIF(May_Period_2_Tbl[[#All],[STAFF:]],$A49,May_Period_2_Tbl[[#All],[$ FREE PT]])+   SUMIF(Jun_Period_2_Tbl[[#All],[STAFF:]],$A49,Jun_Period_2_Tbl[[#All],[$ FREE PT]])+  SUMIF(Jul_Period_2_Tbl[[#All],[STAFF:]],$A49,Jul_Period_2_Tbl[[#All],[$ FREE PT]])+  SUMIF(Aug_Period_2_Tbl[[#All],[STAFF:]],$A49,Aug_Period_2_Tbl[[#All],[$ FREE PT]])+  SUMIF(Sep_Period_2_Tbl[[#All],[STAFF:]],$A49,Sep_Period_2_Tbl[[#All],[$ FREE PT]])+  SUMIF(Oct_Period_2_Tbl[[#All],[STAFF:]],$A49,Oct_Period_2_Tbl[[#All],[$ FREE PT]])+     SUMIF(Nov_Period_2_Tbl[[#All],[STAFF:]],$A49,Nov_Period_2_Tbl[[#All],[$ FREE PT]])+  SUMIF(Dec_Period_2_Tbl[[#All],[STAFF:]],$A49,Dec_Period_2_Tbl[[#All],[$ FREE PT]]))</f>
        <v>0</v>
      </c>
      <c r="K49" s="190">
        <f>(SUMIF(Jan_Period_1_Tbl[[#All],[STAFF:]],$A49,Jan_Period_1_Tbl[[#All],[$ PAID PT]])+
SUMIF(Feb_Period_1_Tbl[[#All],[STAFF:]],$A49,Feb_Period_1_Tbl[[#All],[$ PAID PT]])+SUMIF(Mar_Period_1_Tbl[[#All],[STAFF:]],$A49,Mar_Period_1_Tbl[[#All],[$ PAID PT]])+SUMIF(Apr_Period_1_Tbl[[#All],[STAFF:]],$A49,Apr_Period_1_Tbl[[#All],[$ PAID PT]])+   SUMIF(May_Period_1_Tbl[[#All],[STAFF:]],$A49,May_Period_1_Tbl[[#All],[$ PAID PT]])+   SUMIF(Jun_Period_1_Tbl[[#All],[STAFF:]],$A49,Jun_Period_1_Tbl[[#All],[$ PAID PT]])+  SUMIF(Jul_Period_1_Tbl[[#All],[STAFF:]],$A49,Jul_Period_1_Tbl[[#All],[$ PAID PT]])+  SUMIF(Aug_Period_1_Tbl[[#All],[STAFF:]],$A49,Aug_Period_1_Tbl[[#All],[$ PAID PT]])+  SUMIF(Sep_Period_1_Tbl[[#All],[STAFF:]],$A49,Sep_Period_1_Tbl[[#All],[$ PAID PT]])+  SUMIF(Oct_Period_1_Tbl[[#All],[STAFF:]],$A49,Oct_Period_1_Tbl[[#All],[$ PAID PT]])+     SUMIF(Nov_Period_1_Tbl[[#All],[STAFF:]],$A49,Nov_Period_1_Tbl[[#All],[$ PAID PT]])+  SUMIF(Dec_Period_1_Tbl[[#All],[STAFF:]],$A49,Dec_Period_1_Tbl[[#All],[$ PAID PT]]))+   (SUMIF(Jan_Period_2_Tbl[[#All],[STAFF:]],$A49,Jan_Period_2_Tbl[[#All],[$ PAID PT]])+
SUMIF(Feb_Period_2_Tbl[[#All],[STAFF:]],$A49,Feb_Period_2_Tbl[[#All],[$ PAID PT]])+SUMIF(Mar_Period_2_Tbl[[#All],[STAFF:]],$A49,Mar_Period_2_Tbl[[#All],[$ PAID PT]])+SUMIF(Apr_Period_2_Tbl[[#All],[STAFF:]],$A49,Apr_Period_2_Tbl[[#All],[$ PAID PT]])+   SUMIF(May_Period_2_Tbl[[#All],[STAFF:]],$A49,May_Period_2_Tbl[[#All],[$ PAID PT]])+   SUMIF(Jun_Period_2_Tbl[[#All],[STAFF:]],$A49,Jun_Period_2_Tbl[[#All],[$ PAID PT]])+  SUMIF(Jul_Period_2_Tbl[[#All],[STAFF:]],$A49,Jul_Period_2_Tbl[[#All],[$ PAID PT]])+  SUMIF(Aug_Period_2_Tbl[[#All],[STAFF:]],$A49,Aug_Period_2_Tbl[[#All],[$ PAID PT]])+  SUMIF(Sep_Period_2_Tbl[[#All],[STAFF:]],$A49,Sep_Period_2_Tbl[[#All],[$ PAID PT]])+  SUMIF(Oct_Period_2_Tbl[[#All],[STAFF:]],$A49,Oct_Period_2_Tbl[[#All],[$ PAID PT]])+     SUMIF(Nov_Period_2_Tbl[[#All],[STAFF:]],$A49,Nov_Period_2_Tbl[[#All],[$ PAID PT]])+  SUMIF(Dec_Period_2_Tbl[[#All],[STAFF:]],$A49,Dec_Period_2_Tbl[[#All],[$ PAID PT]]))</f>
        <v>0</v>
      </c>
      <c r="L49" s="190">
        <f>(SUMIF(Jan_Period_1_Tbl[[#All],[STAFF:]],$A49,Jan_Period_1_Tbl[[#All],[$ PT COMM]])+
SUMIF(Feb_Period_1_Tbl[[#All],[STAFF:]],$A49,Feb_Period_1_Tbl[[#All],[$ PT COMM]])+SUMIF(Mar_Period_1_Tbl[[#All],[STAFF:]],$A49,Mar_Period_1_Tbl[[#All],[$ PT COMM]])+SUMIF(Apr_Period_1_Tbl[[#All],[STAFF:]],$A49,Apr_Period_1_Tbl[[#All],[$ PT COMM]])+   SUMIF(May_Period_1_Tbl[[#All],[STAFF:]],$A49,May_Period_1_Tbl[[#All],[$ PT COMM]])+   SUMIF(Jun_Period_1_Tbl[[#All],[STAFF:]],$A49,Jun_Period_1_Tbl[[#All],[$ PT COMM]])+  SUMIF(Jul_Period_1_Tbl[[#All],[STAFF:]],$A49,Jul_Period_1_Tbl[[#All],[$ PT COMM]])+  SUMIF(Aug_Period_1_Tbl[[#All],[STAFF:]],$A49,Aug_Period_1_Tbl[[#All],[$ PT COMM]])+  SUMIF(Sep_Period_1_Tbl[[#All],[STAFF:]],$A49,Sep_Period_1_Tbl[[#All],[$ PT COMM]])+  SUMIF(Oct_Period_1_Tbl[[#All],[STAFF:]],$A49,Oct_Period_1_Tbl[[#All],[$ PT COMM]])+     SUMIF(Nov_Period_1_Tbl[[#All],[STAFF:]],$A49,Nov_Period_1_Tbl[[#All],[$ PT COMM]])+  SUMIF(Dec_Period_1_Tbl[[#All],[STAFF:]],$A49,Dec_Period_1_Tbl[[#All],[$ PT COMM]]))+   (SUMIF(Jan_Period_2_Tbl[[#All],[STAFF:]],$A49,Jan_Period_2_Tbl[[#All],[$ PT COMM]])+
SUMIF(Feb_Period_2_Tbl[[#All],[STAFF:]],$A49,Feb_Period_2_Tbl[[#All],[$ PT COMM]])+SUMIF(Mar_Period_2_Tbl[[#All],[STAFF:]],$A49,Mar_Period_2_Tbl[[#All],[$ PT COMM]])+SUMIF(Apr_Period_2_Tbl[[#All],[STAFF:]],$A49,Apr_Period_2_Tbl[[#All],[$ PT COMM]])+   SUMIF(May_Period_2_Tbl[[#All],[STAFF:]],$A49,May_Period_2_Tbl[[#All],[$ PT COMM]])+   SUMIF(Jun_Period_2_Tbl[[#All],[STAFF:]],$A49,Jun_Period_2_Tbl[[#All],[$ PT COMM]])+  SUMIF(Jul_Period_2_Tbl[[#All],[STAFF:]],$A49,Jul_Period_2_Tbl[[#All],[$ PT COMM]])+  SUMIF(Aug_Period_2_Tbl[[#All],[STAFF:]],$A49,Aug_Period_2_Tbl[[#All],[$ PT COMM]])+  SUMIF(Sep_Period_2_Tbl[[#All],[STAFF:]],$A49,Sep_Period_2_Tbl[[#All],[$ PT COMM]])+  SUMIF(Oct_Period_2_Tbl[[#All],[STAFF:]],$A49,Oct_Period_2_Tbl[[#All],[$ PT COMM]])+     SUMIF(Nov_Period_2_Tbl[[#All],[STAFF:]],$A49,Nov_Period_2_Tbl[[#All],[$ PT COMM]])+  SUMIF(Dec_Period_2_Tbl[[#All],[STAFF:]],$A49,Dec_Period_2_Tbl[[#All],[$ PT COMM]]))</f>
        <v>0</v>
      </c>
      <c r="M49" s="190">
        <f>(SUMIF(Jan_Period_1_Tbl[[#All],[STAFF:]],$A49,Jan_Period_1_Tbl[[#All],[$ EFT COMM]])+
SUMIF(Feb_Period_1_Tbl[[#All],[STAFF:]],$A49,Feb_Period_1_Tbl[[#All],[$ EFT COMM]])+SUMIF(Mar_Period_1_Tbl[[#All],[STAFF:]],$A49,Mar_Period_1_Tbl[[#All],[$ EFT COMM]])+SUMIF(Apr_Period_1_Tbl[[#All],[STAFF:]],$A49,Apr_Period_1_Tbl[[#All],[$ EFT COMM]])+   SUMIF(May_Period_1_Tbl[[#All],[STAFF:]],$A49,May_Period_1_Tbl[[#All],[$ EFT COMM]])+   SUMIF(Jun_Period_1_Tbl[[#All],[STAFF:]],$A49,Jun_Period_1_Tbl[[#All],[$ EFT COMM]])+  SUMIF(Jul_Period_1_Tbl[[#All],[STAFF:]],$A49,Jul_Period_1_Tbl[[#All],[$ EFT COMM]])+  SUMIF(Aug_Period_1_Tbl[[#All],[STAFF:]],$A49,Aug_Period_1_Tbl[[#All],[$ EFT COMM]])+  SUMIF(Sep_Period_1_Tbl[[#All],[STAFF:]],$A49,Sep_Period_1_Tbl[[#All],[$ EFT COMM]])+  SUMIF(Oct_Period_1_Tbl[[#All],[STAFF:]],$A49,Oct_Period_1_Tbl[[#All],[$ EFT COMM]])+     SUMIF(Nov_Period_1_Tbl[[#All],[STAFF:]],$A49,Nov_Period_1_Tbl[[#All],[$ EFT COMM]])+  SUMIF(Dec_Period_1_Tbl[[#All],[STAFF:]],$A49,Dec_Period_1_Tbl[[#All],[$ EFT COMM]]))+   (SUMIF(Jan_Period_2_Tbl[[#All],[STAFF:]],$A49,Jan_Period_2_Tbl[[#All],[$ EFT COMM]])+
SUMIF(Feb_Period_2_Tbl[[#All],[STAFF:]],$A49,Feb_Period_2_Tbl[[#All],[$ EFT COMM]])+SUMIF(Mar_Period_2_Tbl[[#All],[STAFF:]],$A49,Mar_Period_2_Tbl[[#All],[$ EFT COMM]])+SUMIF(Apr_Period_2_Tbl[[#All],[STAFF:]],$A49,Apr_Period_2_Tbl[[#All],[$ EFT COMM]])+   SUMIF(May_Period_2_Tbl[[#All],[STAFF:]],$A49,May_Period_2_Tbl[[#All],[$ EFT COMM]])+   SUMIF(Jun_Period_2_Tbl[[#All],[STAFF:]],$A49,Jun_Period_2_Tbl[[#All],[$ EFT COMM]])+  SUMIF(Jul_Period_2_Tbl[[#All],[STAFF:]],$A49,Jul_Period_2_Tbl[[#All],[$ EFT COMM]])+  SUMIF(Aug_Period_2_Tbl[[#All],[STAFF:]],$A49,Aug_Period_2_Tbl[[#All],[$ EFT COMM]])+  SUMIF(Sep_Period_2_Tbl[[#All],[STAFF:]],$A49,Sep_Period_2_Tbl[[#All],[$ EFT COMM]])+  SUMIF(Oct_Period_2_Tbl[[#All],[STAFF:]],$A49,Oct_Period_2_Tbl[[#All],[$ EFT COMM]])+     SUMIF(Nov_Period_2_Tbl[[#All],[STAFF:]],$A49,Nov_Period_2_Tbl[[#All],[$ EFT COMM]])+  SUMIF(Dec_Period_2_Tbl[[#All],[STAFF:]],$A49,Dec_Period_2_Tbl[[#All],[$ EFT COMM]]))</f>
        <v>0</v>
      </c>
      <c r="N49" s="190">
        <f>(SUMIF(Jan_Period_1_Tbl[[#All],[STAFF:]],$A49,Jan_Period_1_Tbl[[#All],[$ CLASS PAY]])+
SUMIF(Feb_Period_1_Tbl[[#All],[STAFF:]],$A49,Feb_Period_1_Tbl[[#All],[$ CLASS PAY]])+SUMIF(Mar_Period_1_Tbl[[#All],[STAFF:]],$A49,Mar_Period_1_Tbl[[#All],[$ CLASS PAY]])+SUMIF(Apr_Period_1_Tbl[[#All],[STAFF:]],$A49,Apr_Period_1_Tbl[[#All],[$ CLASS PAY]])+   SUMIF(May_Period_1_Tbl[[#All],[STAFF:]],$A49,May_Period_1_Tbl[[#All],[$ CLASS PAY]])+   SUMIF(Jun_Period_1_Tbl[[#All],[STAFF:]],$A49,Jun_Period_1_Tbl[[#All],[$ CLASS PAY]])+  SUMIF(Jul_Period_1_Tbl[[#All],[STAFF:]],$A49,Jul_Period_1_Tbl[[#All],[$ CLASS PAY]])+  SUMIF(Aug_Period_1_Tbl[[#All],[STAFF:]],$A49,Aug_Period_1_Tbl[[#All],[$ CLASS PAY]])+  SUMIF(Sep_Period_1_Tbl[[#All],[STAFF:]],$A49,Sep_Period_1_Tbl[[#All],[$ CLASS PAY]])+  SUMIF(Oct_Period_1_Tbl[[#All],[STAFF:]],$A49,Oct_Period_1_Tbl[[#All],[$ CLASS PAY]])+     SUMIF(Nov_Period_1_Tbl[[#All],[STAFF:]],$A49,Nov_Period_1_Tbl[[#All],[$ CLASS PAY]])+  SUMIF(Dec_Period_1_Tbl[[#All],[STAFF:]],$A49,Dec_Period_1_Tbl[[#All],[$ CLASS PAY]]))+   (SUMIF(Jan_Period_2_Tbl[[#All],[STAFF:]],$A49,Jan_Period_2_Tbl[[#All],[$ CLASS PAY]])+
SUMIF(Feb_Period_2_Tbl[[#All],[STAFF:]],$A49,Feb_Period_2_Tbl[[#All],[$ CLASS PAY]])+SUMIF(Mar_Period_2_Tbl[[#All],[STAFF:]],$A49,Mar_Period_2_Tbl[[#All],[$ CLASS PAY]])+SUMIF(Apr_Period_2_Tbl[[#All],[STAFF:]],$A49,Apr_Period_2_Tbl[[#All],[$ CLASS PAY]])+   SUMIF(May_Period_2_Tbl[[#All],[STAFF:]],$A49,May_Period_2_Tbl[[#All],[$ CLASS PAY]])+   SUMIF(Jun_Period_2_Tbl[[#All],[STAFF:]],$A49,Jun_Period_2_Tbl[[#All],[$ CLASS PAY]])+  SUMIF(Jul_Period_2_Tbl[[#All],[STAFF:]],$A49,Jul_Period_2_Tbl[[#All],[$ CLASS PAY]])+  SUMIF(Aug_Period_2_Tbl[[#All],[STAFF:]],$A49,Aug_Period_2_Tbl[[#All],[$ CLASS PAY]])+  SUMIF(Sep_Period_2_Tbl[[#All],[STAFF:]],$A49,Sep_Period_2_Tbl[[#All],[$ CLASS PAY]])+  SUMIF(Oct_Period_2_Tbl[[#All],[STAFF:]],$A49,Oct_Period_2_Tbl[[#All],[$ CLASS PAY]])+     SUMIF(Nov_Period_2_Tbl[[#All],[STAFF:]],$A49,Nov_Period_2_Tbl[[#All],[$ CLASS PAY]])+  SUMIF(Dec_Period_2_Tbl[[#All],[STAFF:]],$A49,Dec_Period_2_Tbl[[#All],[$ CLASS PAY]]))</f>
        <v>0</v>
      </c>
      <c r="O49" s="191">
        <f>(SUMIF(Jan_Period_1_Tbl[[#All],[STAFF:]],$A49,Jan_Period_1_Tbl[[#All],[$ BONUS PAY]])+
SUMIF(Feb_Period_1_Tbl[[#All],[STAFF:]],$A49,Feb_Period_1_Tbl[[#All],[$ BONUS PAY]])+SUMIF(Mar_Period_1_Tbl[[#All],[STAFF:]],$A49,Mar_Period_1_Tbl[[#All],[$ BONUS PAY]])+SUMIF(Apr_Period_1_Tbl[[#All],[STAFF:]],$A49,Apr_Period_1_Tbl[[#All],[$ BONUS PAY]])+   SUMIF(May_Period_1_Tbl[[#All],[STAFF:]],$A49,May_Period_1_Tbl[[#All],[$ BONUS PAY]])+   SUMIF(Jun_Period_1_Tbl[[#All],[STAFF:]],$A49,Jun_Period_1_Tbl[[#All],[$ BONUS PAY]])+  SUMIF(Jul_Period_1_Tbl[[#All],[STAFF:]],$A49,Jul_Period_1_Tbl[[#All],[$ BONUS PAY]])+  SUMIF(Aug_Period_1_Tbl[[#All],[STAFF:]],$A49,Aug_Period_1_Tbl[[#All],[$ BONUS PAY]])+  SUMIF(Sep_Period_1_Tbl[[#All],[STAFF:]],$A49,Sep_Period_1_Tbl[[#All],[$ BONUS PAY]])+  SUMIF(Oct_Period_1_Tbl[[#All],[STAFF:]],$A49,Oct_Period_1_Tbl[[#All],[$ BONUS PAY]])+     SUMIF(Nov_Period_1_Tbl[[#All],[STAFF:]],$A49,Nov_Period_1_Tbl[[#All],[$ BONUS PAY]])+  SUMIF(Dec_Period_1_Tbl[[#All],[STAFF:]],$A49,Dec_Period_1_Tbl[[#All],[$ BONUS PAY]]))+   (SUMIF(Jan_Period_2_Tbl[[#All],[STAFF:]],$A49,Jan_Period_2_Tbl[[#All],[$ BONUS PAY]])+
SUMIF(Feb_Period_2_Tbl[[#All],[STAFF:]],$A49,Feb_Period_2_Tbl[[#All],[$ BONUS PAY]])+SUMIF(Mar_Period_2_Tbl[[#All],[STAFF:]],$A49,Mar_Period_2_Tbl[[#All],[$ BONUS PAY]])+SUMIF(Apr_Period_2_Tbl[[#All],[STAFF:]],$A49,Apr_Period_2_Tbl[[#All],[$ BONUS PAY]])+   SUMIF(May_Period_2_Tbl[[#All],[STAFF:]],$A49,May_Period_2_Tbl[[#All],[$ BONUS PAY]])+   SUMIF(Jun_Period_2_Tbl[[#All],[STAFF:]],$A49,Jun_Period_2_Tbl[[#All],[$ BONUS PAY]])+  SUMIF(Jul_Period_2_Tbl[[#All],[STAFF:]],$A49,Jul_Period_2_Tbl[[#All],[$ BONUS PAY]])+  SUMIF(Aug_Period_2_Tbl[[#All],[STAFF:]],$A49,Aug_Period_2_Tbl[[#All],[$ BONUS PAY]])+  SUMIF(Sep_Period_2_Tbl[[#All],[STAFF:]],$A49,Sep_Period_2_Tbl[[#All],[$ BONUS PAY]])+  SUMIF(Oct_Period_2_Tbl[[#All],[STAFF:]],$A49,Oct_Period_2_Tbl[[#All],[$ BONUS PAY]])+     SUMIF(Nov_Period_2_Tbl[[#All],[STAFF:]],$A49,Nov_Period_2_Tbl[[#All],[$ BONUS PAY]])+  SUMIF(Dec_Period_2_Tbl[[#All],[STAFF:]],$A49,Dec_Period_2_Tbl[[#All],[$ BONUS PAY]]))</f>
        <v>0</v>
      </c>
      <c r="P49" s="179">
        <f t="shared" si="9"/>
        <v>0</v>
      </c>
      <c r="Q49" s="149"/>
      <c r="R49" s="153">
        <f>(SUMIF(Jan_Period_1_Tbl[[#All],[STAFF:]],$A49,Jan_Period_1_Tbl[[#All],['# POINTS EARNED]])+
SUMIF(Feb_Period_1_Tbl[[#All],[STAFF:]],$A49,Feb_Period_1_Tbl[[#All],['# POINTS EARNED]])+SUMIF(Mar_Period_1_Tbl[[#All],[STAFF:]],$A49,Mar_Period_1_Tbl[[#All],['# POINTS EARNED]])+SUMIF(Apr_Period_1_Tbl[[#All],[STAFF:]],$A49,Apr_Period_1_Tbl[[#All],['# POINTS EARNED]])+   SUMIF(May_Period_1_Tbl[[#All],[STAFF:]],$A49,May_Period_1_Tbl[[#All],['# POINTS EARNED]])+   SUMIF(Jun_Period_1_Tbl[[#All],[STAFF:]],$A49,Jun_Period_1_Tbl[[#All],['# POINTS EARNED]])+  SUMIF(Jul_Period_1_Tbl[[#All],[STAFF:]],$A49,Jul_Period_1_Tbl[[#All],['# POINTS EARNED]])+  SUMIF(Aug_Period_1_Tbl[[#All],[STAFF:]],$A49,Aug_Period_1_Tbl[[#All],['# POINTS EARNED]])+  SUMIF(Sep_Period_1_Tbl[[#All],[STAFF:]],$A49,Sep_Period_1_Tbl[[#All],['# POINTS EARNED]])+  SUMIF(Oct_Period_1_Tbl[[#All],[STAFF:]],$A49,Oct_Period_1_Tbl[[#All],['# POINTS EARNED]])+     SUMIF(Nov_Period_1_Tbl[[#All],[STAFF:]],$A49,Nov_Period_1_Tbl[[#All],['# POINTS EARNED]])+  SUMIF(Dec_Period_1_Tbl[[#All],[STAFF:]],$A49,Dec_Period_1_Tbl[[#All],['# POINTS EARNED]]))+   (SUMIF(Jan_Period_2_Tbl[[#All],[STAFF:]],$A49,Jan_Period_2_Tbl[[#All],['# POINTS EARNED]])+
SUMIF(Feb_Period_2_Tbl[[#All],[STAFF:]],$A49,Feb_Period_2_Tbl[[#All],['# POINTS EARNED]])+SUMIF(Mar_Period_2_Tbl[[#All],[STAFF:]],$A49,Mar_Period_2_Tbl[[#All],['# POINTS EARNED]])+SUMIF(Apr_Period_2_Tbl[[#All],[STAFF:]],$A49,Apr_Period_2_Tbl[[#All],['# POINTS EARNED]])+   SUMIF(May_Period_2_Tbl[[#All],[STAFF:]],$A49,May_Period_2_Tbl[[#All],['# POINTS EARNED]])+   SUMIF(Jun_Period_2_Tbl[[#All],[STAFF:]],$A49,Jun_Period_2_Tbl[[#All],['# POINTS EARNED]])+  SUMIF(Jul_Period_2_Tbl[[#All],[STAFF:]],$A49,Jul_Period_2_Tbl[[#All],['# POINTS EARNED]])+  SUMIF(Aug_Period_2_Tbl[[#All],[STAFF:]],$A49,Aug_Period_2_Tbl[[#All],['# POINTS EARNED]])+  SUMIF(Sep_Period_2_Tbl[[#All],[STAFF:]],$A49,Sep_Period_2_Tbl[[#All],['# POINTS EARNED]])+  SUMIF(Oct_Period_2_Tbl[[#All],[STAFF:]],$A49,Oct_Period_2_Tbl[[#All],['# POINTS EARNED]])+     SUMIF(Nov_Period_2_Tbl[[#All],[STAFF:]],$A49,Nov_Period_2_Tbl[[#All],['# POINTS EARNED]])+  SUMIF(Dec_Period_2_Tbl[[#All],[STAFF:]],$A49,Dec_Period_2_Tbl[[#All],['# POINTS EARNED]]))</f>
        <v>0</v>
      </c>
      <c r="S49" s="153">
        <f>(SUMIF(Jan_Period_1_Tbl[[#All],[STAFF:]],$A49,Jan_Period_1_Tbl[[#All],['# POINTS USED]])+
SUMIF(Feb_Period_1_Tbl[[#All],[STAFF:]],$A49,Feb_Period_1_Tbl[[#All],['# POINTS USED]])+SUMIF(Mar_Period_1_Tbl[[#All],[STAFF:]],$A49,Mar_Period_1_Tbl[[#All],['# POINTS USED]])+SUMIF(Apr_Period_1_Tbl[[#All],[STAFF:]],$A49,Apr_Period_1_Tbl[[#All],['# POINTS USED]])+   SUMIF(May_Period_1_Tbl[[#All],[STAFF:]],$A49,May_Period_1_Tbl[[#All],['# POINTS USED]])+   SUMIF(Jun_Period_1_Tbl[[#All],[STAFF:]],$A49,Jun_Period_1_Tbl[[#All],['# POINTS USED]])+  SUMIF(Jul_Period_1_Tbl[[#All],[STAFF:]],$A49,Jul_Period_1_Tbl[[#All],['# POINTS USED]])+  SUMIF(Aug_Period_1_Tbl[[#All],[STAFF:]],$A49,Aug_Period_1_Tbl[[#All],['# POINTS USED]])+  SUMIF(Sep_Period_1_Tbl[[#All],[STAFF:]],$A49,Sep_Period_1_Tbl[[#All],['# POINTS USED]])+  SUMIF(Oct_Period_1_Tbl[[#All],[STAFF:]],$A49,Oct_Period_1_Tbl[[#All],['# POINTS USED]])+     SUMIF(Nov_Period_1_Tbl[[#All],[STAFF:]],$A49,Nov_Period_1_Tbl[[#All],['# POINTS USED]])+  SUMIF(Dec_Period_1_Tbl[[#All],[STAFF:]],$A49,Dec_Period_1_Tbl[[#All],['# POINTS USED]]))+   (SUMIF(Jan_Period_2_Tbl[[#All],[STAFF:]],$A49,Jan_Period_2_Tbl[[#All],['# POINTS USED]])+
SUMIF(Feb_Period_2_Tbl[[#All],[STAFF:]],$A49,Feb_Period_2_Tbl[[#All],['# POINTS USED]])+SUMIF(Mar_Period_2_Tbl[[#All],[STAFF:]],$A49,Mar_Period_2_Tbl[[#All],['# POINTS USED]])+SUMIF(Apr_Period_2_Tbl[[#All],[STAFF:]],$A49,Apr_Period_2_Tbl[[#All],['# POINTS USED]])+   SUMIF(May_Period_2_Tbl[[#All],[STAFF:]],$A49,May_Period_2_Tbl[[#All],['# POINTS USED]])+   SUMIF(Jun_Period_2_Tbl[[#All],[STAFF:]],$A49,Jun_Period_2_Tbl[[#All],['# POINTS USED]])+  SUMIF(Jul_Period_2_Tbl[[#All],[STAFF:]],$A49,Jul_Period_2_Tbl[[#All],['# POINTS USED]])+  SUMIF(Aug_Period_2_Tbl[[#All],[STAFF:]],$A49,Aug_Period_2_Tbl[[#All],['# POINTS USED]])+  SUMIF(Sep_Period_2_Tbl[[#All],[STAFF:]],$A49,Sep_Period_2_Tbl[[#All],['# POINTS USED]])+  SUMIF(Oct_Period_2_Tbl[[#All],[STAFF:]],$A49,Oct_Period_2_Tbl[[#All],['# POINTS USED]])+     SUMIF(Nov_Period_2_Tbl[[#All],[STAFF:]],$A49,Nov_Period_2_Tbl[[#All],['# POINTS USED]])+  SUMIF(Dec_Period_2_Tbl[[#All],[STAFF:]],$A49,Dec_Period_2_Tbl[[#All],['# POINTS USED]]))</f>
        <v>0</v>
      </c>
      <c r="T49" s="153">
        <f>(SUMIF(Jan_Period_1_Tbl[[#All],[STAFF:]],$A49,Jan_Period_1_Tbl[[#All],['# CLASSES LEAD]])+
SUMIF(Feb_Period_1_Tbl[[#All],[STAFF:]],$A49,Feb_Period_1_Tbl[[#All],['# CLASSES LEAD]])+SUMIF(Mar_Period_1_Tbl[[#All],[STAFF:]],$A49,Mar_Period_1_Tbl[[#All],['# CLASSES LEAD]])+SUMIF(Apr_Period_1_Tbl[[#All],[STAFF:]],$A49,Apr_Period_1_Tbl[[#All],['# CLASSES LEAD]])+   SUMIF(May_Period_1_Tbl[[#All],[STAFF:]],$A49,May_Period_1_Tbl[[#All],['# CLASSES LEAD]])+   SUMIF(Jun_Period_1_Tbl[[#All],[STAFF:]],$A49,Jun_Period_1_Tbl[[#All],['# CLASSES LEAD]])+  SUMIF(Jul_Period_1_Tbl[[#All],[STAFF:]],$A49,Jul_Period_1_Tbl[[#All],['# CLASSES LEAD]])+  SUMIF(Aug_Period_1_Tbl[[#All],[STAFF:]],$A49,Aug_Period_1_Tbl[[#All],['# CLASSES LEAD]])+  SUMIF(Sep_Period_1_Tbl[[#All],[STAFF:]],$A49,Sep_Period_1_Tbl[[#All],['# CLASSES LEAD]])+  SUMIF(Oct_Period_1_Tbl[[#All],[STAFF:]],$A49,Oct_Period_1_Tbl[[#All],['# CLASSES LEAD]])+     SUMIF(Nov_Period_1_Tbl[[#All],[STAFF:]],$A49,Nov_Period_1_Tbl[[#All],['# CLASSES LEAD]])+  SUMIF(Dec_Period_1_Tbl[[#All],[STAFF:]],$A49,Dec_Period_1_Tbl[[#All],['# CLASSES LEAD]]))+   (SUMIF(Jan_Period_2_Tbl[[#All],[STAFF:]],$A49,Jan_Period_2_Tbl[[#All],['# CLASSES LEAD]])+
SUMIF(Feb_Period_2_Tbl[[#All],[STAFF:]],$A49,Feb_Period_2_Tbl[[#All],['# CLASSES LEAD]])+SUMIF(Mar_Period_2_Tbl[[#All],[STAFF:]],$A49,Mar_Period_2_Tbl[[#All],['# CLASSES LEAD]])+SUMIF(Apr_Period_2_Tbl[[#All],[STAFF:]],$A49,Apr_Period_2_Tbl[[#All],['# CLASSES LEAD]])+   SUMIF(May_Period_2_Tbl[[#All],[STAFF:]],$A49,May_Period_2_Tbl[[#All],['# CLASSES LEAD]])+   SUMIF(Jun_Period_2_Tbl[[#All],[STAFF:]],$A49,Jun_Period_2_Tbl[[#All],['# CLASSES LEAD]])+  SUMIF(Jul_Period_2_Tbl[[#All],[STAFF:]],$A49,Jul_Period_2_Tbl[[#All],['# CLASSES LEAD]])+  SUMIF(Aug_Period_2_Tbl[[#All],[STAFF:]],$A49,Aug_Period_2_Tbl[[#All],['# CLASSES LEAD]])+  SUMIF(Sep_Period_2_Tbl[[#All],[STAFF:]],$A49,Sep_Period_2_Tbl[[#All],['# CLASSES LEAD]])+  SUMIF(Oct_Period_2_Tbl[[#All],[STAFF:]],$A49,Oct_Period_2_Tbl[[#All],['# CLASSES LEAD]])+     SUMIF(Nov_Period_2_Tbl[[#All],[STAFF:]],$A49,Nov_Period_2_Tbl[[#All],['# CLASSES LEAD]])+  SUMIF(Dec_Period_2_Tbl[[#All],[STAFF:]],$A49,Dec_Period_2_Tbl[[#All],['# CLASSES LEAD]]))</f>
        <v>0</v>
      </c>
      <c r="U49" s="153">
        <f>(SUMIF(Jan_Period_1_Tbl[[#All],[STAFF:]],$A49,Jan_Period_1_Tbl[[#All],['# CLASSES SHOW]])+
SUMIF(Feb_Period_1_Tbl[[#All],[STAFF:]],$A49,Feb_Period_1_Tbl[[#All],['# CLASSES SHOW]])+SUMIF(Mar_Period_1_Tbl[[#All],[STAFF:]],$A49,Mar_Period_1_Tbl[[#All],['# CLASSES SHOW]])+SUMIF(Apr_Period_1_Tbl[[#All],[STAFF:]],$A49,Apr_Period_1_Tbl[[#All],['# CLASSES SHOW]])+   SUMIF(May_Period_1_Tbl[[#All],[STAFF:]],$A49,May_Period_1_Tbl[[#All],['# CLASSES SHOW]])+   SUMIF(Jun_Period_1_Tbl[[#All],[STAFF:]],$A49,Jun_Period_1_Tbl[[#All],['# CLASSES SHOW]])+  SUMIF(Jul_Period_1_Tbl[[#All],[STAFF:]],$A49,Jul_Period_1_Tbl[[#All],['# CLASSES SHOW]])+  SUMIF(Aug_Period_1_Tbl[[#All],[STAFF:]],$A49,Aug_Period_1_Tbl[[#All],['# CLASSES SHOW]])+  SUMIF(Sep_Period_1_Tbl[[#All],[STAFF:]],$A49,Sep_Period_1_Tbl[[#All],['# CLASSES SHOW]])+  SUMIF(Oct_Period_1_Tbl[[#All],[STAFF:]],$A49,Oct_Period_1_Tbl[[#All],['# CLASSES SHOW]])+     SUMIF(Nov_Period_1_Tbl[[#All],[STAFF:]],$A49,Nov_Period_1_Tbl[[#All],['# CLASSES SHOW]])+  SUMIF(Dec_Period_1_Tbl[[#All],[STAFF:]],$A49,Dec_Period_1_Tbl[[#All],['# CLASSES SHOW]]))+   (SUMIF(Jan_Period_2_Tbl[[#All],[STAFF:]],$A49,Jan_Period_2_Tbl[[#All],['# CLASSES SHOW]])+
SUMIF(Feb_Period_2_Tbl[[#All],[STAFF:]],$A49,Feb_Period_2_Tbl[[#All],['# CLASSES SHOW]])+SUMIF(Mar_Period_2_Tbl[[#All],[STAFF:]],$A49,Mar_Period_2_Tbl[[#All],['# CLASSES SHOW]])+SUMIF(Apr_Period_2_Tbl[[#All],[STAFF:]],$A49,Apr_Period_2_Tbl[[#All],['# CLASSES SHOW]])+   SUMIF(May_Period_2_Tbl[[#All],[STAFF:]],$A49,May_Period_2_Tbl[[#All],['# CLASSES SHOW]])+   SUMIF(Jun_Period_2_Tbl[[#All],[STAFF:]],$A49,Jun_Period_2_Tbl[[#All],['# CLASSES SHOW]])+  SUMIF(Jul_Period_2_Tbl[[#All],[STAFF:]],$A49,Jul_Period_2_Tbl[[#All],['# CLASSES SHOW]])+  SUMIF(Aug_Period_2_Tbl[[#All],[STAFF:]],$A49,Aug_Period_2_Tbl[[#All],['# CLASSES SHOW]])+  SUMIF(Sep_Period_2_Tbl[[#All],[STAFF:]],$A49,Sep_Period_2_Tbl[[#All],['# CLASSES SHOW]])+  SUMIF(Oct_Period_2_Tbl[[#All],[STAFF:]],$A49,Oct_Period_2_Tbl[[#All],['# CLASSES SHOW]])+     SUMIF(Nov_Period_2_Tbl[[#All],[STAFF:]],$A49,Nov_Period_2_Tbl[[#All],['# CLASSES SHOW]])+  SUMIF(Dec_Period_2_Tbl[[#All],[STAFF:]],$A49,Dec_Period_2_Tbl[[#All],['# CLASSES SHOW]]))</f>
        <v>0</v>
      </c>
      <c r="V49" s="156"/>
      <c r="W49" s="156"/>
      <c r="X49" s="155">
        <f t="shared" si="10"/>
        <v>0</v>
      </c>
      <c r="Y49" s="155">
        <f t="shared" si="11"/>
        <v>0</v>
      </c>
      <c r="Z49" s="155">
        <f t="shared" si="12"/>
        <v>0</v>
      </c>
      <c r="AA49" s="155">
        <f t="shared" si="13"/>
        <v>0</v>
      </c>
      <c r="AB49" s="155">
        <f t="shared" si="14"/>
        <v>0</v>
      </c>
      <c r="AC49" s="155">
        <f t="shared" si="15"/>
        <v>0</v>
      </c>
      <c r="AD49" s="155">
        <f t="shared" si="16"/>
        <v>0</v>
      </c>
      <c r="AE49" s="149"/>
      <c r="AF49" s="149"/>
      <c r="AG49" s="149"/>
      <c r="AH49" s="149"/>
      <c r="AJ49" s="75" t="str">
        <f t="shared" si="17"/>
        <v>zBlank</v>
      </c>
      <c r="AK49" s="210"/>
      <c r="AL49" s="168">
        <f>IFERROR(VLOOKUP(B49,List!$A:$B,2,FALSE),-1)</f>
        <v>-1</v>
      </c>
      <c r="AM49" s="168">
        <f>IFERROR(VLOOKUP(C49,List!$A:$B,2,FALSE),-1)</f>
        <v>-1</v>
      </c>
    </row>
    <row r="50" spans="1:39" ht="15" hidden="1" customHeight="1" x14ac:dyDescent="0.25">
      <c r="A50" s="20"/>
      <c r="B50" s="186"/>
      <c r="C50" s="186"/>
      <c r="D50" s="187"/>
      <c r="E50" s="188">
        <f>(SUMIF(Jan_Period_1_Tbl[[#All],[STAFF:]],$A50,Jan_Period_1_Tbl[[#All],['# PTO USED]])+
SUMIF(Feb_Period_1_Tbl[[#All],[STAFF:]],$A50,Feb_Period_1_Tbl[[#All],['# PTO USED]])+SUMIF(Mar_Period_1_Tbl[[#All],[STAFF:]],$A50,Mar_Period_1_Tbl[[#All],['# PTO USED]])+SUMIF(Apr_Period_1_Tbl[[#All],[STAFF:]],$A50,Apr_Period_1_Tbl[[#All],['# PTO USED]])+   SUMIF(May_Period_1_Tbl[[#All],[STAFF:]],$A50,May_Period_1_Tbl[[#All],['# PTO USED]])+   SUMIF(Jun_Period_1_Tbl[[#All],[STAFF:]],$A50,Jun_Period_1_Tbl[[#All],['# PTO USED]])+  SUMIF(Jul_Period_1_Tbl[[#All],[STAFF:]],$A50,Jul_Period_1_Tbl[[#All],['# PTO USED]])+  SUMIF(Aug_Period_1_Tbl[[#All],[STAFF:]],$A50,Aug_Period_1_Tbl[[#All],['# PTO USED]])+  SUMIF(Sep_Period_1_Tbl[[#All],[STAFF:]],$A50,Sep_Period_1_Tbl[[#All],['# PTO USED]])+  SUMIF(Oct_Period_1_Tbl[[#All],[STAFF:]],$A50,Oct_Period_1_Tbl[[#All],['# PTO USED]])+     SUMIF(Nov_Period_1_Tbl[[#All],[STAFF:]],$A50,Nov_Period_1_Tbl[[#All],['# PTO USED]])+  SUMIF(Dec_Period_1_Tbl[[#All],[STAFF:]],$A50,Dec_Period_1_Tbl[[#All],['# PTO USED]]))+   (SUMIF(Jan_Period_2_Tbl[[#All],[STAFF:]],$A50,Jan_Period_2_Tbl[[#All],['# PTO USED]])+
SUMIF(Feb_Period_2_Tbl[[#All],[STAFF:]],$A50,Feb_Period_2_Tbl[[#All],['# PTO USED]])+SUMIF(Mar_Period_2_Tbl[[#All],[STAFF:]],$A50,Mar_Period_2_Tbl[[#All],['# PTO USED]])+SUMIF(Apr_Period_2_Tbl[[#All],[STAFF:]],$A50,Apr_Period_2_Tbl[[#All],['# PTO USED]])+   SUMIF(May_Period_2_Tbl[[#All],[STAFF:]],$A50,May_Period_2_Tbl[[#All],['# PTO USED]])+   SUMIF(Jun_Period_2_Tbl[[#All],[STAFF:]],$A50,Jun_Period_2_Tbl[[#All],['# PTO USED]])+  SUMIF(Jul_Period_2_Tbl[[#All],[STAFF:]],$A50,Jul_Period_2_Tbl[[#All],['# PTO USED]])+  SUMIF(Aug_Period_2_Tbl[[#All],[STAFF:]],$A50,Aug_Period_2_Tbl[[#All],['# PTO USED]])+  SUMIF(Sep_Period_2_Tbl[[#All],[STAFF:]],$A50,Sep_Period_2_Tbl[[#All],['# PTO USED]])+  SUMIF(Oct_Period_2_Tbl[[#All],[STAFF:]],$A50,Oct_Period_2_Tbl[[#All],['# PTO USED]])+     SUMIF(Nov_Period_2_Tbl[[#All],[STAFF:]],$A50,Nov_Period_2_Tbl[[#All],['# PTO USED]])+  SUMIF(Dec_Period_2_Tbl[[#All],[STAFF:]],$A50,Dec_Period_2_Tbl[[#All],['# PTO USED]]))</f>
        <v>0</v>
      </c>
      <c r="F50" s="189">
        <f>(SUMIF(Jan_Period_1_Tbl[[#All],[STAFF:]],$A50,Jan_Period_1_Tbl[[#All],['# HRS WORKED]])+
SUMIF(Feb_Period_1_Tbl[[#All],[STAFF:]],$A50,Feb_Period_1_Tbl[[#All],['# HRS WORKED]])+SUMIF(Mar_Period_1_Tbl[[#All],[STAFF:]],$A50,Mar_Period_1_Tbl[[#All],['# HRS WORKED]])+SUMIF(Apr_Period_1_Tbl[[#All],[STAFF:]],$A50,Apr_Period_1_Tbl[[#All],['# HRS WORKED]])+   SUMIF(May_Period_1_Tbl[[#All],[STAFF:]],$A50,May_Period_1_Tbl[[#All],['# HRS WORKED]])+   SUMIF(Jun_Period_1_Tbl[[#All],[STAFF:]],$A50,Jun_Period_1_Tbl[[#All],['# HRS WORKED]])+  SUMIF(Jul_Period_1_Tbl[[#All],[STAFF:]],$A50,Jul_Period_1_Tbl[[#All],['# HRS WORKED]])+  SUMIF(Aug_Period_1_Tbl[[#All],[STAFF:]],$A50,Aug_Period_1_Tbl[[#All],['# HRS WORKED]])+  SUMIF(Sep_Period_1_Tbl[[#All],[STAFF:]],$A50,Sep_Period_1_Tbl[[#All],['# HRS WORKED]])+  SUMIF(Oct_Period_1_Tbl[[#All],[STAFF:]],$A50,Oct_Period_1_Tbl[[#All],['# HRS WORKED]])+     SUMIF(Nov_Period_1_Tbl[[#All],[STAFF:]],$A50,Nov_Period_1_Tbl[[#All],['# HRS WORKED]])+  SUMIF(Dec_Period_1_Tbl[[#All],[STAFF:]],$A50,Dec_Period_1_Tbl[[#All],['# HRS WORKED]]))+   (SUMIF(Jan_Period_2_Tbl[[#All],[STAFF:]],$A50,Jan_Period_2_Tbl[[#All],['# HRS WORKED]])+
SUMIF(Feb_Period_2_Tbl[[#All],[STAFF:]],$A50,Feb_Period_2_Tbl[[#All],['# HRS WORKED]])+SUMIF(Mar_Period_2_Tbl[[#All],[STAFF:]],$A50,Mar_Period_2_Tbl[[#All],['# HRS WORKED]])+SUMIF(Apr_Period_2_Tbl[[#All],[STAFF:]],$A50,Apr_Period_2_Tbl[[#All],['# HRS WORKED]])+   SUMIF(May_Period_2_Tbl[[#All],[STAFF:]],$A50,May_Period_2_Tbl[[#All],['# HRS WORKED]])+   SUMIF(Jun_Period_2_Tbl[[#All],[STAFF:]],$A50,Jun_Period_2_Tbl[[#All],['# HRS WORKED]])+  SUMIF(Jul_Period_2_Tbl[[#All],[STAFF:]],$A50,Jul_Period_2_Tbl[[#All],['# HRS WORKED]])+  SUMIF(Aug_Period_2_Tbl[[#All],[STAFF:]],$A50,Aug_Period_2_Tbl[[#All],['# HRS WORKED]])+  SUMIF(Sep_Period_2_Tbl[[#All],[STAFF:]],$A50,Sep_Period_2_Tbl[[#All],['# HRS WORKED]])+  SUMIF(Oct_Period_2_Tbl[[#All],[STAFF:]],$A50,Oct_Period_2_Tbl[[#All],['# HRS WORKED]])+     SUMIF(Nov_Period_2_Tbl[[#All],[STAFF:]],$A50,Nov_Period_2_Tbl[[#All],['# HRS WORKED]])+  SUMIF(Dec_Period_2_Tbl[[#All],[STAFF:]],$A50,Dec_Period_2_Tbl[[#All],['# HRS WORKED]]))</f>
        <v>0</v>
      </c>
      <c r="G50" s="190">
        <f>(SUMIF(Jan_Period_1_Tbl[[#All],[STAFF:]],$A50,Jan_Period_1_Tbl[[#All],[$ Hourly WAGES]])+
SUMIF(Feb_Period_1_Tbl[[#All],[STAFF:]],$A50,Feb_Period_1_Tbl[[#All],[$ Hourly WAGES]])+SUMIF(Mar_Period_1_Tbl[[#All],[STAFF:]],$A50,Mar_Period_1_Tbl[[#All],[$ Hourly WAGES]])+SUMIF(Apr_Period_1_Tbl[[#All],[STAFF:]],$A50,Apr_Period_1_Tbl[[#All],[$ Hourly WAGES]])+   SUMIF(May_Period_1_Tbl[[#All],[STAFF:]],$A50,May_Period_1_Tbl[[#All],[$ Hourly WAGES]])+   SUMIF(Jun_Period_1_Tbl[[#All],[STAFF:]],$A50,Jun_Period_1_Tbl[[#All],[$ Hourly WAGES]])+  SUMIF(Jul_Period_1_Tbl[[#All],[STAFF:]],$A50,Jul_Period_1_Tbl[[#All],[$ Hourly WAGES]])+  SUMIF(Aug_Period_1_Tbl[[#All],[STAFF:]],$A50,Aug_Period_1_Tbl[[#All],[$ Hourly WAGES]])+  SUMIF(Sep_Period_1_Tbl[[#All],[STAFF:]],$A50,Sep_Period_1_Tbl[[#All],[$ Hourly WAGES]])+  SUMIF(Oct_Period_1_Tbl[[#All],[STAFF:]],$A50,Oct_Period_1_Tbl[[#All],[$ Hourly WAGES]])+     SUMIF(Nov_Period_1_Tbl[[#All],[STAFF:]],$A50,Nov_Period_1_Tbl[[#All],[$ Hourly WAGES]])+  SUMIF(Dec_Period_1_Tbl[[#All],[STAFF:]],$A50,Dec_Period_1_Tbl[[#All],[$ Hourly WAGES]]))+   (SUMIF(Jan_Period_2_Tbl[[#All],[STAFF:]],$A50,Jan_Period_2_Tbl[[#All],[$ Hourly WAGES]])+
SUMIF(Feb_Period_2_Tbl[[#All],[STAFF:]],$A50,Feb_Period_2_Tbl[[#All],[$ Hourly WAGES]])+SUMIF(Mar_Period_2_Tbl[[#All],[STAFF:]],$A50,Mar_Period_2_Tbl[[#All],[$ Hourly WAGES]])+SUMIF(Apr_Period_2_Tbl[[#All],[STAFF:]],$A50,Apr_Period_2_Tbl[[#All],[$ Hourly WAGES]])+   SUMIF(May_Period_2_Tbl[[#All],[STAFF:]],$A50,May_Period_2_Tbl[[#All],[$ Hourly WAGES]])+   SUMIF(Jun_Period_2_Tbl[[#All],[STAFF:]],$A50,Jun_Period_2_Tbl[[#All],[$ Hourly WAGES]])+  SUMIF(Jul_Period_2_Tbl[[#All],[STAFF:]],$A50,Jul_Period_2_Tbl[[#All],[$ Hourly WAGES]])+  SUMIF(Aug_Period_2_Tbl[[#All],[STAFF:]],$A50,Aug_Period_2_Tbl[[#All],[$ Hourly WAGES]])+  SUMIF(Sep_Period_2_Tbl[[#All],[STAFF:]],$A50,Sep_Period_2_Tbl[[#All],[$ Hourly WAGES]])+  SUMIF(Oct_Period_2_Tbl[[#All],[STAFF:]],$A50,Oct_Period_2_Tbl[[#All],[$ Hourly WAGES]])+     SUMIF(Nov_Period_2_Tbl[[#All],[STAFF:]],$A50,Nov_Period_2_Tbl[[#All],[$ Hourly WAGES]])+  SUMIF(Dec_Period_2_Tbl[[#All],[STAFF:]],$A50,Dec_Period_2_Tbl[[#All],[$ Hourly WAGES]]))</f>
        <v>0</v>
      </c>
      <c r="H50" s="190">
        <f>(SUMIF(Jan_Period_1_Tbl[[#All],[STAFF:]],$A50,Jan_Period_1_Tbl[[#All],[$ SALARY]])+
SUMIF(Feb_Period_1_Tbl[[#All],[STAFF:]],$A50,Feb_Period_1_Tbl[[#All],[$ SALARY]])+SUMIF(Mar_Period_1_Tbl[[#All],[STAFF:]],$A50,Mar_Period_1_Tbl[[#All],[$ SALARY]])+SUMIF(Apr_Period_1_Tbl[[#All],[STAFF:]],$A50,Apr_Period_1_Tbl[[#All],[$ SALARY]])+   SUMIF(May_Period_1_Tbl[[#All],[STAFF:]],$A50,May_Period_1_Tbl[[#All],[$ SALARY]])+   SUMIF(Jun_Period_1_Tbl[[#All],[STAFF:]],$A50,Jun_Period_1_Tbl[[#All],[$ SALARY]])+  SUMIF(Jul_Period_1_Tbl[[#All],[STAFF:]],$A50,Jul_Period_1_Tbl[[#All],[$ SALARY]])+  SUMIF(Aug_Period_1_Tbl[[#All],[STAFF:]],$A50,Aug_Period_1_Tbl[[#All],[$ SALARY]])+  SUMIF(Sep_Period_1_Tbl[[#All],[STAFF:]],$A50,Sep_Period_1_Tbl[[#All],[$ SALARY]])+  SUMIF(Oct_Period_1_Tbl[[#All],[STAFF:]],$A50,Oct_Period_1_Tbl[[#All],[$ SALARY]])+     SUMIF(Nov_Period_1_Tbl[[#All],[STAFF:]],$A50,Nov_Period_1_Tbl[[#All],[$ SALARY]])+  SUMIF(Dec_Period_1_Tbl[[#All],[STAFF:]],$A50,Dec_Period_1_Tbl[[#All],[$ SALARY]]))+   (SUMIF(Jan_Period_2_Tbl[[#All],[STAFF:]],$A50,Jan_Period_2_Tbl[[#All],[$ SALARY]])+
SUMIF(Feb_Period_2_Tbl[[#All],[STAFF:]],$A50,Feb_Period_2_Tbl[[#All],[$ SALARY]])+SUMIF(Mar_Period_2_Tbl[[#All],[STAFF:]],$A50,Mar_Period_2_Tbl[[#All],[$ SALARY]])+SUMIF(Apr_Period_2_Tbl[[#All],[STAFF:]],$A50,Apr_Period_2_Tbl[[#All],[$ SALARY]])+   SUMIF(May_Period_2_Tbl[[#All],[STAFF:]],$A50,May_Period_2_Tbl[[#All],[$ SALARY]])+   SUMIF(Jun_Period_2_Tbl[[#All],[STAFF:]],$A50,Jun_Period_2_Tbl[[#All],[$ SALARY]])+  SUMIF(Jul_Period_2_Tbl[[#All],[STAFF:]],$A50,Jul_Period_2_Tbl[[#All],[$ SALARY]])+  SUMIF(Aug_Period_2_Tbl[[#All],[STAFF:]],$A50,Aug_Period_2_Tbl[[#All],[$ SALARY]])+  SUMIF(Sep_Period_2_Tbl[[#All],[STAFF:]],$A50,Sep_Period_2_Tbl[[#All],[$ SALARY]])+  SUMIF(Oct_Period_2_Tbl[[#All],[STAFF:]],$A50,Oct_Period_2_Tbl[[#All],[$ SALARY]])+     SUMIF(Nov_Period_2_Tbl[[#All],[STAFF:]],$A50,Nov_Period_2_Tbl[[#All],[$ SALARY]])+  SUMIF(Dec_Period_2_Tbl[[#All],[STAFF:]],$A50,Dec_Period_2_Tbl[[#All],[$ SALARY]]))</f>
        <v>0</v>
      </c>
      <c r="I50" s="190">
        <f>(SUMIF(Jan_Period_1_Tbl[[#All],[STAFF:]],$A50,Jan_Period_1_Tbl[[#All],[$ SALARY PT]])+
SUMIF(Feb_Period_1_Tbl[[#All],[STAFF:]],$A50,Feb_Period_1_Tbl[[#All],[$ SALARY PT]])+SUMIF(Mar_Period_1_Tbl[[#All],[STAFF:]],$A50,Mar_Period_1_Tbl[[#All],[$ SALARY PT]])+SUMIF(Apr_Period_1_Tbl[[#All],[STAFF:]],$A50,Apr_Period_1_Tbl[[#All],[$ SALARY PT]])+   SUMIF(May_Period_1_Tbl[[#All],[STAFF:]],$A50,May_Period_1_Tbl[[#All],[$ SALARY PT]])+   SUMIF(Jun_Period_1_Tbl[[#All],[STAFF:]],$A50,Jun_Period_1_Tbl[[#All],[$ SALARY PT]])+  SUMIF(Jul_Period_1_Tbl[[#All],[STAFF:]],$A50,Jul_Period_1_Tbl[[#All],[$ SALARY PT]])+  SUMIF(Aug_Period_1_Tbl[[#All],[STAFF:]],$A50,Aug_Period_1_Tbl[[#All],[$ SALARY PT]])+  SUMIF(Sep_Period_1_Tbl[[#All],[STAFF:]],$A50,Sep_Period_1_Tbl[[#All],[$ SALARY PT]])+  SUMIF(Oct_Period_1_Tbl[[#All],[STAFF:]],$A50,Oct_Period_1_Tbl[[#All],[$ SALARY PT]])+     SUMIF(Nov_Period_1_Tbl[[#All],[STAFF:]],$A50,Nov_Period_1_Tbl[[#All],[$ SALARY PT]])+  SUMIF(Dec_Period_1_Tbl[[#All],[STAFF:]],$A50,Dec_Period_1_Tbl[[#All],[$ SALARY PT]]))+   (SUMIF(Jan_Period_2_Tbl[[#All],[STAFF:]],$A50,Jan_Period_2_Tbl[[#All],[$ SALARY PT]])+
SUMIF(Feb_Period_2_Tbl[[#All],[STAFF:]],$A50,Feb_Period_2_Tbl[[#All],[$ SALARY PT]])+SUMIF(Mar_Period_2_Tbl[[#All],[STAFF:]],$A50,Mar_Period_2_Tbl[[#All],[$ SALARY PT]])+SUMIF(Apr_Period_2_Tbl[[#All],[STAFF:]],$A50,Apr_Period_2_Tbl[[#All],[$ SALARY PT]])+   SUMIF(May_Period_2_Tbl[[#All],[STAFF:]],$A50,May_Period_2_Tbl[[#All],[$ SALARY PT]])+   SUMIF(Jun_Period_2_Tbl[[#All],[STAFF:]],$A50,Jun_Period_2_Tbl[[#All],[$ SALARY PT]])+  SUMIF(Jul_Period_2_Tbl[[#All],[STAFF:]],$A50,Jul_Period_2_Tbl[[#All],[$ SALARY PT]])+  SUMIF(Aug_Period_2_Tbl[[#All],[STAFF:]],$A50,Aug_Period_2_Tbl[[#All],[$ SALARY PT]])+  SUMIF(Sep_Period_2_Tbl[[#All],[STAFF:]],$A50,Sep_Period_2_Tbl[[#All],[$ SALARY PT]])+  SUMIF(Oct_Period_2_Tbl[[#All],[STAFF:]],$A50,Oct_Period_2_Tbl[[#All],[$ SALARY PT]])+     SUMIF(Nov_Period_2_Tbl[[#All],[STAFF:]],$A50,Nov_Period_2_Tbl[[#All],[$ SALARY PT]])+  SUMIF(Dec_Period_2_Tbl[[#All],[STAFF:]],$A50,Dec_Period_2_Tbl[[#All],[$ SALARY PT]]))</f>
        <v>0</v>
      </c>
      <c r="J50" s="190">
        <f>(SUMIF(Jan_Period_1_Tbl[[#All],[STAFF:]],$A50,Jan_Period_1_Tbl[[#All],[$ FREE PT]])+
SUMIF(Feb_Period_1_Tbl[[#All],[STAFF:]],$A50,Feb_Period_1_Tbl[[#All],[$ FREE PT]])+SUMIF(Mar_Period_1_Tbl[[#All],[STAFF:]],$A50,Mar_Period_1_Tbl[[#All],[$ FREE PT]])+SUMIF(Apr_Period_1_Tbl[[#All],[STAFF:]],$A50,Apr_Period_1_Tbl[[#All],[$ FREE PT]])+   SUMIF(May_Period_1_Tbl[[#All],[STAFF:]],$A50,May_Period_1_Tbl[[#All],[$ FREE PT]])+   SUMIF(Jun_Period_1_Tbl[[#All],[STAFF:]],$A50,Jun_Period_1_Tbl[[#All],[$ FREE PT]])+  SUMIF(Jul_Period_1_Tbl[[#All],[STAFF:]],$A50,Jul_Period_1_Tbl[[#All],[$ FREE PT]])+  SUMIF(Aug_Period_1_Tbl[[#All],[STAFF:]],$A50,Aug_Period_1_Tbl[[#All],[$ FREE PT]])+  SUMIF(Sep_Period_1_Tbl[[#All],[STAFF:]],$A50,Sep_Period_1_Tbl[[#All],[$ FREE PT]])+  SUMIF(Oct_Period_1_Tbl[[#All],[STAFF:]],$A50,Oct_Period_1_Tbl[[#All],[$ FREE PT]])+     SUMIF(Nov_Period_1_Tbl[[#All],[STAFF:]],$A50,Nov_Period_1_Tbl[[#All],[$ FREE PT]])+  SUMIF(Dec_Period_1_Tbl[[#All],[STAFF:]],$A50,Dec_Period_1_Tbl[[#All],[$ FREE PT]]))+   (SUMIF(Jan_Period_2_Tbl[[#All],[STAFF:]],$A50,Jan_Period_2_Tbl[[#All],[$ FREE PT]])+
SUMIF(Feb_Period_2_Tbl[[#All],[STAFF:]],$A50,Feb_Period_2_Tbl[[#All],[$ FREE PT]])+SUMIF(Mar_Period_2_Tbl[[#All],[STAFF:]],$A50,Mar_Period_2_Tbl[[#All],[$ FREE PT]])+SUMIF(Apr_Period_2_Tbl[[#All],[STAFF:]],$A50,Apr_Period_2_Tbl[[#All],[$ FREE PT]])+   SUMIF(May_Period_2_Tbl[[#All],[STAFF:]],$A50,May_Period_2_Tbl[[#All],[$ FREE PT]])+   SUMIF(Jun_Period_2_Tbl[[#All],[STAFF:]],$A50,Jun_Period_2_Tbl[[#All],[$ FREE PT]])+  SUMIF(Jul_Period_2_Tbl[[#All],[STAFF:]],$A50,Jul_Period_2_Tbl[[#All],[$ FREE PT]])+  SUMIF(Aug_Period_2_Tbl[[#All],[STAFF:]],$A50,Aug_Period_2_Tbl[[#All],[$ FREE PT]])+  SUMIF(Sep_Period_2_Tbl[[#All],[STAFF:]],$A50,Sep_Period_2_Tbl[[#All],[$ FREE PT]])+  SUMIF(Oct_Period_2_Tbl[[#All],[STAFF:]],$A50,Oct_Period_2_Tbl[[#All],[$ FREE PT]])+     SUMIF(Nov_Period_2_Tbl[[#All],[STAFF:]],$A50,Nov_Period_2_Tbl[[#All],[$ FREE PT]])+  SUMIF(Dec_Period_2_Tbl[[#All],[STAFF:]],$A50,Dec_Period_2_Tbl[[#All],[$ FREE PT]]))</f>
        <v>0</v>
      </c>
      <c r="K50" s="190">
        <f>(SUMIF(Jan_Period_1_Tbl[[#All],[STAFF:]],$A50,Jan_Period_1_Tbl[[#All],[$ PAID PT]])+
SUMIF(Feb_Period_1_Tbl[[#All],[STAFF:]],$A50,Feb_Period_1_Tbl[[#All],[$ PAID PT]])+SUMIF(Mar_Period_1_Tbl[[#All],[STAFF:]],$A50,Mar_Period_1_Tbl[[#All],[$ PAID PT]])+SUMIF(Apr_Period_1_Tbl[[#All],[STAFF:]],$A50,Apr_Period_1_Tbl[[#All],[$ PAID PT]])+   SUMIF(May_Period_1_Tbl[[#All],[STAFF:]],$A50,May_Period_1_Tbl[[#All],[$ PAID PT]])+   SUMIF(Jun_Period_1_Tbl[[#All],[STAFF:]],$A50,Jun_Period_1_Tbl[[#All],[$ PAID PT]])+  SUMIF(Jul_Period_1_Tbl[[#All],[STAFF:]],$A50,Jul_Period_1_Tbl[[#All],[$ PAID PT]])+  SUMIF(Aug_Period_1_Tbl[[#All],[STAFF:]],$A50,Aug_Period_1_Tbl[[#All],[$ PAID PT]])+  SUMIF(Sep_Period_1_Tbl[[#All],[STAFF:]],$A50,Sep_Period_1_Tbl[[#All],[$ PAID PT]])+  SUMIF(Oct_Period_1_Tbl[[#All],[STAFF:]],$A50,Oct_Period_1_Tbl[[#All],[$ PAID PT]])+     SUMIF(Nov_Period_1_Tbl[[#All],[STAFF:]],$A50,Nov_Period_1_Tbl[[#All],[$ PAID PT]])+  SUMIF(Dec_Period_1_Tbl[[#All],[STAFF:]],$A50,Dec_Period_1_Tbl[[#All],[$ PAID PT]]))+   (SUMIF(Jan_Period_2_Tbl[[#All],[STAFF:]],$A50,Jan_Period_2_Tbl[[#All],[$ PAID PT]])+
SUMIF(Feb_Period_2_Tbl[[#All],[STAFF:]],$A50,Feb_Period_2_Tbl[[#All],[$ PAID PT]])+SUMIF(Mar_Period_2_Tbl[[#All],[STAFF:]],$A50,Mar_Period_2_Tbl[[#All],[$ PAID PT]])+SUMIF(Apr_Period_2_Tbl[[#All],[STAFF:]],$A50,Apr_Period_2_Tbl[[#All],[$ PAID PT]])+   SUMIF(May_Period_2_Tbl[[#All],[STAFF:]],$A50,May_Period_2_Tbl[[#All],[$ PAID PT]])+   SUMIF(Jun_Period_2_Tbl[[#All],[STAFF:]],$A50,Jun_Period_2_Tbl[[#All],[$ PAID PT]])+  SUMIF(Jul_Period_2_Tbl[[#All],[STAFF:]],$A50,Jul_Period_2_Tbl[[#All],[$ PAID PT]])+  SUMIF(Aug_Period_2_Tbl[[#All],[STAFF:]],$A50,Aug_Period_2_Tbl[[#All],[$ PAID PT]])+  SUMIF(Sep_Period_2_Tbl[[#All],[STAFF:]],$A50,Sep_Period_2_Tbl[[#All],[$ PAID PT]])+  SUMIF(Oct_Period_2_Tbl[[#All],[STAFF:]],$A50,Oct_Period_2_Tbl[[#All],[$ PAID PT]])+     SUMIF(Nov_Period_2_Tbl[[#All],[STAFF:]],$A50,Nov_Period_2_Tbl[[#All],[$ PAID PT]])+  SUMIF(Dec_Period_2_Tbl[[#All],[STAFF:]],$A50,Dec_Period_2_Tbl[[#All],[$ PAID PT]]))</f>
        <v>0</v>
      </c>
      <c r="L50" s="190">
        <f>(SUMIF(Jan_Period_1_Tbl[[#All],[STAFF:]],$A50,Jan_Period_1_Tbl[[#All],[$ PT COMM]])+
SUMIF(Feb_Period_1_Tbl[[#All],[STAFF:]],$A50,Feb_Period_1_Tbl[[#All],[$ PT COMM]])+SUMIF(Mar_Period_1_Tbl[[#All],[STAFF:]],$A50,Mar_Period_1_Tbl[[#All],[$ PT COMM]])+SUMIF(Apr_Period_1_Tbl[[#All],[STAFF:]],$A50,Apr_Period_1_Tbl[[#All],[$ PT COMM]])+   SUMIF(May_Period_1_Tbl[[#All],[STAFF:]],$A50,May_Period_1_Tbl[[#All],[$ PT COMM]])+   SUMIF(Jun_Period_1_Tbl[[#All],[STAFF:]],$A50,Jun_Period_1_Tbl[[#All],[$ PT COMM]])+  SUMIF(Jul_Period_1_Tbl[[#All],[STAFF:]],$A50,Jul_Period_1_Tbl[[#All],[$ PT COMM]])+  SUMIF(Aug_Period_1_Tbl[[#All],[STAFF:]],$A50,Aug_Period_1_Tbl[[#All],[$ PT COMM]])+  SUMIF(Sep_Period_1_Tbl[[#All],[STAFF:]],$A50,Sep_Period_1_Tbl[[#All],[$ PT COMM]])+  SUMIF(Oct_Period_1_Tbl[[#All],[STAFF:]],$A50,Oct_Period_1_Tbl[[#All],[$ PT COMM]])+     SUMIF(Nov_Period_1_Tbl[[#All],[STAFF:]],$A50,Nov_Period_1_Tbl[[#All],[$ PT COMM]])+  SUMIF(Dec_Period_1_Tbl[[#All],[STAFF:]],$A50,Dec_Period_1_Tbl[[#All],[$ PT COMM]]))+   (SUMIF(Jan_Period_2_Tbl[[#All],[STAFF:]],$A50,Jan_Period_2_Tbl[[#All],[$ PT COMM]])+
SUMIF(Feb_Period_2_Tbl[[#All],[STAFF:]],$A50,Feb_Period_2_Tbl[[#All],[$ PT COMM]])+SUMIF(Mar_Period_2_Tbl[[#All],[STAFF:]],$A50,Mar_Period_2_Tbl[[#All],[$ PT COMM]])+SUMIF(Apr_Period_2_Tbl[[#All],[STAFF:]],$A50,Apr_Period_2_Tbl[[#All],[$ PT COMM]])+   SUMIF(May_Period_2_Tbl[[#All],[STAFF:]],$A50,May_Period_2_Tbl[[#All],[$ PT COMM]])+   SUMIF(Jun_Period_2_Tbl[[#All],[STAFF:]],$A50,Jun_Period_2_Tbl[[#All],[$ PT COMM]])+  SUMIF(Jul_Period_2_Tbl[[#All],[STAFF:]],$A50,Jul_Period_2_Tbl[[#All],[$ PT COMM]])+  SUMIF(Aug_Period_2_Tbl[[#All],[STAFF:]],$A50,Aug_Period_2_Tbl[[#All],[$ PT COMM]])+  SUMIF(Sep_Period_2_Tbl[[#All],[STAFF:]],$A50,Sep_Period_2_Tbl[[#All],[$ PT COMM]])+  SUMIF(Oct_Period_2_Tbl[[#All],[STAFF:]],$A50,Oct_Period_2_Tbl[[#All],[$ PT COMM]])+     SUMIF(Nov_Period_2_Tbl[[#All],[STAFF:]],$A50,Nov_Period_2_Tbl[[#All],[$ PT COMM]])+  SUMIF(Dec_Period_2_Tbl[[#All],[STAFF:]],$A50,Dec_Period_2_Tbl[[#All],[$ PT COMM]]))</f>
        <v>0</v>
      </c>
      <c r="M50" s="190">
        <f>(SUMIF(Jan_Period_1_Tbl[[#All],[STAFF:]],$A50,Jan_Period_1_Tbl[[#All],[$ EFT COMM]])+
SUMIF(Feb_Period_1_Tbl[[#All],[STAFF:]],$A50,Feb_Period_1_Tbl[[#All],[$ EFT COMM]])+SUMIF(Mar_Period_1_Tbl[[#All],[STAFF:]],$A50,Mar_Period_1_Tbl[[#All],[$ EFT COMM]])+SUMIF(Apr_Period_1_Tbl[[#All],[STAFF:]],$A50,Apr_Period_1_Tbl[[#All],[$ EFT COMM]])+   SUMIF(May_Period_1_Tbl[[#All],[STAFF:]],$A50,May_Period_1_Tbl[[#All],[$ EFT COMM]])+   SUMIF(Jun_Period_1_Tbl[[#All],[STAFF:]],$A50,Jun_Period_1_Tbl[[#All],[$ EFT COMM]])+  SUMIF(Jul_Period_1_Tbl[[#All],[STAFF:]],$A50,Jul_Period_1_Tbl[[#All],[$ EFT COMM]])+  SUMIF(Aug_Period_1_Tbl[[#All],[STAFF:]],$A50,Aug_Period_1_Tbl[[#All],[$ EFT COMM]])+  SUMIF(Sep_Period_1_Tbl[[#All],[STAFF:]],$A50,Sep_Period_1_Tbl[[#All],[$ EFT COMM]])+  SUMIF(Oct_Period_1_Tbl[[#All],[STAFF:]],$A50,Oct_Period_1_Tbl[[#All],[$ EFT COMM]])+     SUMIF(Nov_Period_1_Tbl[[#All],[STAFF:]],$A50,Nov_Period_1_Tbl[[#All],[$ EFT COMM]])+  SUMIF(Dec_Period_1_Tbl[[#All],[STAFF:]],$A50,Dec_Period_1_Tbl[[#All],[$ EFT COMM]]))+   (SUMIF(Jan_Period_2_Tbl[[#All],[STAFF:]],$A50,Jan_Period_2_Tbl[[#All],[$ EFT COMM]])+
SUMIF(Feb_Period_2_Tbl[[#All],[STAFF:]],$A50,Feb_Period_2_Tbl[[#All],[$ EFT COMM]])+SUMIF(Mar_Period_2_Tbl[[#All],[STAFF:]],$A50,Mar_Period_2_Tbl[[#All],[$ EFT COMM]])+SUMIF(Apr_Period_2_Tbl[[#All],[STAFF:]],$A50,Apr_Period_2_Tbl[[#All],[$ EFT COMM]])+   SUMIF(May_Period_2_Tbl[[#All],[STAFF:]],$A50,May_Period_2_Tbl[[#All],[$ EFT COMM]])+   SUMIF(Jun_Period_2_Tbl[[#All],[STAFF:]],$A50,Jun_Period_2_Tbl[[#All],[$ EFT COMM]])+  SUMIF(Jul_Period_2_Tbl[[#All],[STAFF:]],$A50,Jul_Period_2_Tbl[[#All],[$ EFT COMM]])+  SUMIF(Aug_Period_2_Tbl[[#All],[STAFF:]],$A50,Aug_Period_2_Tbl[[#All],[$ EFT COMM]])+  SUMIF(Sep_Period_2_Tbl[[#All],[STAFF:]],$A50,Sep_Period_2_Tbl[[#All],[$ EFT COMM]])+  SUMIF(Oct_Period_2_Tbl[[#All],[STAFF:]],$A50,Oct_Period_2_Tbl[[#All],[$ EFT COMM]])+     SUMIF(Nov_Period_2_Tbl[[#All],[STAFF:]],$A50,Nov_Period_2_Tbl[[#All],[$ EFT COMM]])+  SUMIF(Dec_Period_2_Tbl[[#All],[STAFF:]],$A50,Dec_Period_2_Tbl[[#All],[$ EFT COMM]]))</f>
        <v>0</v>
      </c>
      <c r="N50" s="190">
        <f>(SUMIF(Jan_Period_1_Tbl[[#All],[STAFF:]],$A50,Jan_Period_1_Tbl[[#All],[$ CLASS PAY]])+
SUMIF(Feb_Period_1_Tbl[[#All],[STAFF:]],$A50,Feb_Period_1_Tbl[[#All],[$ CLASS PAY]])+SUMIF(Mar_Period_1_Tbl[[#All],[STAFF:]],$A50,Mar_Period_1_Tbl[[#All],[$ CLASS PAY]])+SUMIF(Apr_Period_1_Tbl[[#All],[STAFF:]],$A50,Apr_Period_1_Tbl[[#All],[$ CLASS PAY]])+   SUMIF(May_Period_1_Tbl[[#All],[STAFF:]],$A50,May_Period_1_Tbl[[#All],[$ CLASS PAY]])+   SUMIF(Jun_Period_1_Tbl[[#All],[STAFF:]],$A50,Jun_Period_1_Tbl[[#All],[$ CLASS PAY]])+  SUMIF(Jul_Period_1_Tbl[[#All],[STAFF:]],$A50,Jul_Period_1_Tbl[[#All],[$ CLASS PAY]])+  SUMIF(Aug_Period_1_Tbl[[#All],[STAFF:]],$A50,Aug_Period_1_Tbl[[#All],[$ CLASS PAY]])+  SUMIF(Sep_Period_1_Tbl[[#All],[STAFF:]],$A50,Sep_Period_1_Tbl[[#All],[$ CLASS PAY]])+  SUMIF(Oct_Period_1_Tbl[[#All],[STAFF:]],$A50,Oct_Period_1_Tbl[[#All],[$ CLASS PAY]])+     SUMIF(Nov_Period_1_Tbl[[#All],[STAFF:]],$A50,Nov_Period_1_Tbl[[#All],[$ CLASS PAY]])+  SUMIF(Dec_Period_1_Tbl[[#All],[STAFF:]],$A50,Dec_Period_1_Tbl[[#All],[$ CLASS PAY]]))+   (SUMIF(Jan_Period_2_Tbl[[#All],[STAFF:]],$A50,Jan_Period_2_Tbl[[#All],[$ CLASS PAY]])+
SUMIF(Feb_Period_2_Tbl[[#All],[STAFF:]],$A50,Feb_Period_2_Tbl[[#All],[$ CLASS PAY]])+SUMIF(Mar_Period_2_Tbl[[#All],[STAFF:]],$A50,Mar_Period_2_Tbl[[#All],[$ CLASS PAY]])+SUMIF(Apr_Period_2_Tbl[[#All],[STAFF:]],$A50,Apr_Period_2_Tbl[[#All],[$ CLASS PAY]])+   SUMIF(May_Period_2_Tbl[[#All],[STAFF:]],$A50,May_Period_2_Tbl[[#All],[$ CLASS PAY]])+   SUMIF(Jun_Period_2_Tbl[[#All],[STAFF:]],$A50,Jun_Period_2_Tbl[[#All],[$ CLASS PAY]])+  SUMIF(Jul_Period_2_Tbl[[#All],[STAFF:]],$A50,Jul_Period_2_Tbl[[#All],[$ CLASS PAY]])+  SUMIF(Aug_Period_2_Tbl[[#All],[STAFF:]],$A50,Aug_Period_2_Tbl[[#All],[$ CLASS PAY]])+  SUMIF(Sep_Period_2_Tbl[[#All],[STAFF:]],$A50,Sep_Period_2_Tbl[[#All],[$ CLASS PAY]])+  SUMIF(Oct_Period_2_Tbl[[#All],[STAFF:]],$A50,Oct_Period_2_Tbl[[#All],[$ CLASS PAY]])+     SUMIF(Nov_Period_2_Tbl[[#All],[STAFF:]],$A50,Nov_Period_2_Tbl[[#All],[$ CLASS PAY]])+  SUMIF(Dec_Period_2_Tbl[[#All],[STAFF:]],$A50,Dec_Period_2_Tbl[[#All],[$ CLASS PAY]]))</f>
        <v>0</v>
      </c>
      <c r="O50" s="191">
        <f>(SUMIF(Jan_Period_1_Tbl[[#All],[STAFF:]],$A50,Jan_Period_1_Tbl[[#All],[$ BONUS PAY]])+
SUMIF(Feb_Period_1_Tbl[[#All],[STAFF:]],$A50,Feb_Period_1_Tbl[[#All],[$ BONUS PAY]])+SUMIF(Mar_Period_1_Tbl[[#All],[STAFF:]],$A50,Mar_Period_1_Tbl[[#All],[$ BONUS PAY]])+SUMIF(Apr_Period_1_Tbl[[#All],[STAFF:]],$A50,Apr_Period_1_Tbl[[#All],[$ BONUS PAY]])+   SUMIF(May_Period_1_Tbl[[#All],[STAFF:]],$A50,May_Period_1_Tbl[[#All],[$ BONUS PAY]])+   SUMIF(Jun_Period_1_Tbl[[#All],[STAFF:]],$A50,Jun_Period_1_Tbl[[#All],[$ BONUS PAY]])+  SUMIF(Jul_Period_1_Tbl[[#All],[STAFF:]],$A50,Jul_Period_1_Tbl[[#All],[$ BONUS PAY]])+  SUMIF(Aug_Period_1_Tbl[[#All],[STAFF:]],$A50,Aug_Period_1_Tbl[[#All],[$ BONUS PAY]])+  SUMIF(Sep_Period_1_Tbl[[#All],[STAFF:]],$A50,Sep_Period_1_Tbl[[#All],[$ BONUS PAY]])+  SUMIF(Oct_Period_1_Tbl[[#All],[STAFF:]],$A50,Oct_Period_1_Tbl[[#All],[$ BONUS PAY]])+     SUMIF(Nov_Period_1_Tbl[[#All],[STAFF:]],$A50,Nov_Period_1_Tbl[[#All],[$ BONUS PAY]])+  SUMIF(Dec_Period_1_Tbl[[#All],[STAFF:]],$A50,Dec_Period_1_Tbl[[#All],[$ BONUS PAY]]))+   (SUMIF(Jan_Period_2_Tbl[[#All],[STAFF:]],$A50,Jan_Period_2_Tbl[[#All],[$ BONUS PAY]])+
SUMIF(Feb_Period_2_Tbl[[#All],[STAFF:]],$A50,Feb_Period_2_Tbl[[#All],[$ BONUS PAY]])+SUMIF(Mar_Period_2_Tbl[[#All],[STAFF:]],$A50,Mar_Period_2_Tbl[[#All],[$ BONUS PAY]])+SUMIF(Apr_Period_2_Tbl[[#All],[STAFF:]],$A50,Apr_Period_2_Tbl[[#All],[$ BONUS PAY]])+   SUMIF(May_Period_2_Tbl[[#All],[STAFF:]],$A50,May_Period_2_Tbl[[#All],[$ BONUS PAY]])+   SUMIF(Jun_Period_2_Tbl[[#All],[STAFF:]],$A50,Jun_Period_2_Tbl[[#All],[$ BONUS PAY]])+  SUMIF(Jul_Period_2_Tbl[[#All],[STAFF:]],$A50,Jul_Period_2_Tbl[[#All],[$ BONUS PAY]])+  SUMIF(Aug_Period_2_Tbl[[#All],[STAFF:]],$A50,Aug_Period_2_Tbl[[#All],[$ BONUS PAY]])+  SUMIF(Sep_Period_2_Tbl[[#All],[STAFF:]],$A50,Sep_Period_2_Tbl[[#All],[$ BONUS PAY]])+  SUMIF(Oct_Period_2_Tbl[[#All],[STAFF:]],$A50,Oct_Period_2_Tbl[[#All],[$ BONUS PAY]])+     SUMIF(Nov_Period_2_Tbl[[#All],[STAFF:]],$A50,Nov_Period_2_Tbl[[#All],[$ BONUS PAY]])+  SUMIF(Dec_Period_2_Tbl[[#All],[STAFF:]],$A50,Dec_Period_2_Tbl[[#All],[$ BONUS PAY]]))</f>
        <v>0</v>
      </c>
      <c r="P50" s="179">
        <f t="shared" si="9"/>
        <v>0</v>
      </c>
      <c r="Q50" s="149"/>
      <c r="R50" s="152">
        <f>(SUMIF(Jan_Period_1_Tbl[[#All],[STAFF:]],$A50,Jan_Period_1_Tbl[[#All],['# POINTS EARNED]])+
SUMIF(Feb_Period_1_Tbl[[#All],[STAFF:]],$A50,Feb_Period_1_Tbl[[#All],['# POINTS EARNED]])+SUMIF(Mar_Period_1_Tbl[[#All],[STAFF:]],$A50,Mar_Period_1_Tbl[[#All],['# POINTS EARNED]])+SUMIF(Apr_Period_1_Tbl[[#All],[STAFF:]],$A50,Apr_Period_1_Tbl[[#All],['# POINTS EARNED]])+   SUMIF(May_Period_1_Tbl[[#All],[STAFF:]],$A50,May_Period_1_Tbl[[#All],['# POINTS EARNED]])+   SUMIF(Jun_Period_1_Tbl[[#All],[STAFF:]],$A50,Jun_Period_1_Tbl[[#All],['# POINTS EARNED]])+  SUMIF(Jul_Period_1_Tbl[[#All],[STAFF:]],$A50,Jul_Period_1_Tbl[[#All],['# POINTS EARNED]])+  SUMIF(Aug_Period_1_Tbl[[#All],[STAFF:]],$A50,Aug_Period_1_Tbl[[#All],['# POINTS EARNED]])+  SUMIF(Sep_Period_1_Tbl[[#All],[STAFF:]],$A50,Sep_Period_1_Tbl[[#All],['# POINTS EARNED]])+  SUMIF(Oct_Period_1_Tbl[[#All],[STAFF:]],$A50,Oct_Period_1_Tbl[[#All],['# POINTS EARNED]])+     SUMIF(Nov_Period_1_Tbl[[#All],[STAFF:]],$A50,Nov_Period_1_Tbl[[#All],['# POINTS EARNED]])+  SUMIF(Dec_Period_1_Tbl[[#All],[STAFF:]],$A50,Dec_Period_1_Tbl[[#All],['# POINTS EARNED]]))+   (SUMIF(Jan_Period_2_Tbl[[#All],[STAFF:]],$A50,Jan_Period_2_Tbl[[#All],['# POINTS EARNED]])+
SUMIF(Feb_Period_2_Tbl[[#All],[STAFF:]],$A50,Feb_Period_2_Tbl[[#All],['# POINTS EARNED]])+SUMIF(Mar_Period_2_Tbl[[#All],[STAFF:]],$A50,Mar_Period_2_Tbl[[#All],['# POINTS EARNED]])+SUMIF(Apr_Period_2_Tbl[[#All],[STAFF:]],$A50,Apr_Period_2_Tbl[[#All],['# POINTS EARNED]])+   SUMIF(May_Period_2_Tbl[[#All],[STAFF:]],$A50,May_Period_2_Tbl[[#All],['# POINTS EARNED]])+   SUMIF(Jun_Period_2_Tbl[[#All],[STAFF:]],$A50,Jun_Period_2_Tbl[[#All],['# POINTS EARNED]])+  SUMIF(Jul_Period_2_Tbl[[#All],[STAFF:]],$A50,Jul_Period_2_Tbl[[#All],['# POINTS EARNED]])+  SUMIF(Aug_Period_2_Tbl[[#All],[STAFF:]],$A50,Aug_Period_2_Tbl[[#All],['# POINTS EARNED]])+  SUMIF(Sep_Period_2_Tbl[[#All],[STAFF:]],$A50,Sep_Period_2_Tbl[[#All],['# POINTS EARNED]])+  SUMIF(Oct_Period_2_Tbl[[#All],[STAFF:]],$A50,Oct_Period_2_Tbl[[#All],['# POINTS EARNED]])+     SUMIF(Nov_Period_2_Tbl[[#All],[STAFF:]],$A50,Nov_Period_2_Tbl[[#All],['# POINTS EARNED]])+  SUMIF(Dec_Period_2_Tbl[[#All],[STAFF:]],$A50,Dec_Period_2_Tbl[[#All],['# POINTS EARNED]]))</f>
        <v>0</v>
      </c>
      <c r="S50" s="152">
        <f>(SUMIF(Jan_Period_1_Tbl[[#All],[STAFF:]],$A50,Jan_Period_1_Tbl[[#All],['# POINTS USED]])+
SUMIF(Feb_Period_1_Tbl[[#All],[STAFF:]],$A50,Feb_Period_1_Tbl[[#All],['# POINTS USED]])+SUMIF(Mar_Period_1_Tbl[[#All],[STAFF:]],$A50,Mar_Period_1_Tbl[[#All],['# POINTS USED]])+SUMIF(Apr_Period_1_Tbl[[#All],[STAFF:]],$A50,Apr_Period_1_Tbl[[#All],['# POINTS USED]])+   SUMIF(May_Period_1_Tbl[[#All],[STAFF:]],$A50,May_Period_1_Tbl[[#All],['# POINTS USED]])+   SUMIF(Jun_Period_1_Tbl[[#All],[STAFF:]],$A50,Jun_Period_1_Tbl[[#All],['# POINTS USED]])+  SUMIF(Jul_Period_1_Tbl[[#All],[STAFF:]],$A50,Jul_Period_1_Tbl[[#All],['# POINTS USED]])+  SUMIF(Aug_Period_1_Tbl[[#All],[STAFF:]],$A50,Aug_Period_1_Tbl[[#All],['# POINTS USED]])+  SUMIF(Sep_Period_1_Tbl[[#All],[STAFF:]],$A50,Sep_Period_1_Tbl[[#All],['# POINTS USED]])+  SUMIF(Oct_Period_1_Tbl[[#All],[STAFF:]],$A50,Oct_Period_1_Tbl[[#All],['# POINTS USED]])+     SUMIF(Nov_Period_1_Tbl[[#All],[STAFF:]],$A50,Nov_Period_1_Tbl[[#All],['# POINTS USED]])+  SUMIF(Dec_Period_1_Tbl[[#All],[STAFF:]],$A50,Dec_Period_1_Tbl[[#All],['# POINTS USED]]))+   (SUMIF(Jan_Period_2_Tbl[[#All],[STAFF:]],$A50,Jan_Period_2_Tbl[[#All],['# POINTS USED]])+
SUMIF(Feb_Period_2_Tbl[[#All],[STAFF:]],$A50,Feb_Period_2_Tbl[[#All],['# POINTS USED]])+SUMIF(Mar_Period_2_Tbl[[#All],[STAFF:]],$A50,Mar_Period_2_Tbl[[#All],['# POINTS USED]])+SUMIF(Apr_Period_2_Tbl[[#All],[STAFF:]],$A50,Apr_Period_2_Tbl[[#All],['# POINTS USED]])+   SUMIF(May_Period_2_Tbl[[#All],[STAFF:]],$A50,May_Period_2_Tbl[[#All],['# POINTS USED]])+   SUMIF(Jun_Period_2_Tbl[[#All],[STAFF:]],$A50,Jun_Period_2_Tbl[[#All],['# POINTS USED]])+  SUMIF(Jul_Period_2_Tbl[[#All],[STAFF:]],$A50,Jul_Period_2_Tbl[[#All],['# POINTS USED]])+  SUMIF(Aug_Period_2_Tbl[[#All],[STAFF:]],$A50,Aug_Period_2_Tbl[[#All],['# POINTS USED]])+  SUMIF(Sep_Period_2_Tbl[[#All],[STAFF:]],$A50,Sep_Period_2_Tbl[[#All],['# POINTS USED]])+  SUMIF(Oct_Period_2_Tbl[[#All],[STAFF:]],$A50,Oct_Period_2_Tbl[[#All],['# POINTS USED]])+     SUMIF(Nov_Period_2_Tbl[[#All],[STAFF:]],$A50,Nov_Period_2_Tbl[[#All],['# POINTS USED]])+  SUMIF(Dec_Period_2_Tbl[[#All],[STAFF:]],$A50,Dec_Period_2_Tbl[[#All],['# POINTS USED]]))</f>
        <v>0</v>
      </c>
      <c r="T50" s="152">
        <f>(SUMIF(Jan_Period_1_Tbl[[#All],[STAFF:]],$A50,Jan_Period_1_Tbl[[#All],['# CLASSES LEAD]])+
SUMIF(Feb_Period_1_Tbl[[#All],[STAFF:]],$A50,Feb_Period_1_Tbl[[#All],['# CLASSES LEAD]])+SUMIF(Mar_Period_1_Tbl[[#All],[STAFF:]],$A50,Mar_Period_1_Tbl[[#All],['# CLASSES LEAD]])+SUMIF(Apr_Period_1_Tbl[[#All],[STAFF:]],$A50,Apr_Period_1_Tbl[[#All],['# CLASSES LEAD]])+   SUMIF(May_Period_1_Tbl[[#All],[STAFF:]],$A50,May_Period_1_Tbl[[#All],['# CLASSES LEAD]])+   SUMIF(Jun_Period_1_Tbl[[#All],[STAFF:]],$A50,Jun_Period_1_Tbl[[#All],['# CLASSES LEAD]])+  SUMIF(Jul_Period_1_Tbl[[#All],[STAFF:]],$A50,Jul_Period_1_Tbl[[#All],['# CLASSES LEAD]])+  SUMIF(Aug_Period_1_Tbl[[#All],[STAFF:]],$A50,Aug_Period_1_Tbl[[#All],['# CLASSES LEAD]])+  SUMIF(Sep_Period_1_Tbl[[#All],[STAFF:]],$A50,Sep_Period_1_Tbl[[#All],['# CLASSES LEAD]])+  SUMIF(Oct_Period_1_Tbl[[#All],[STAFF:]],$A50,Oct_Period_1_Tbl[[#All],['# CLASSES LEAD]])+     SUMIF(Nov_Period_1_Tbl[[#All],[STAFF:]],$A50,Nov_Period_1_Tbl[[#All],['# CLASSES LEAD]])+  SUMIF(Dec_Period_1_Tbl[[#All],[STAFF:]],$A50,Dec_Period_1_Tbl[[#All],['# CLASSES LEAD]]))+   (SUMIF(Jan_Period_2_Tbl[[#All],[STAFF:]],$A50,Jan_Period_2_Tbl[[#All],['# CLASSES LEAD]])+
SUMIF(Feb_Period_2_Tbl[[#All],[STAFF:]],$A50,Feb_Period_2_Tbl[[#All],['# CLASSES LEAD]])+SUMIF(Mar_Period_2_Tbl[[#All],[STAFF:]],$A50,Mar_Period_2_Tbl[[#All],['# CLASSES LEAD]])+SUMIF(Apr_Period_2_Tbl[[#All],[STAFF:]],$A50,Apr_Period_2_Tbl[[#All],['# CLASSES LEAD]])+   SUMIF(May_Period_2_Tbl[[#All],[STAFF:]],$A50,May_Period_2_Tbl[[#All],['# CLASSES LEAD]])+   SUMIF(Jun_Period_2_Tbl[[#All],[STAFF:]],$A50,Jun_Period_2_Tbl[[#All],['# CLASSES LEAD]])+  SUMIF(Jul_Period_2_Tbl[[#All],[STAFF:]],$A50,Jul_Period_2_Tbl[[#All],['# CLASSES LEAD]])+  SUMIF(Aug_Period_2_Tbl[[#All],[STAFF:]],$A50,Aug_Period_2_Tbl[[#All],['# CLASSES LEAD]])+  SUMIF(Sep_Period_2_Tbl[[#All],[STAFF:]],$A50,Sep_Period_2_Tbl[[#All],['# CLASSES LEAD]])+  SUMIF(Oct_Period_2_Tbl[[#All],[STAFF:]],$A50,Oct_Period_2_Tbl[[#All],['# CLASSES LEAD]])+     SUMIF(Nov_Period_2_Tbl[[#All],[STAFF:]],$A50,Nov_Period_2_Tbl[[#All],['# CLASSES LEAD]])+  SUMIF(Dec_Period_2_Tbl[[#All],[STAFF:]],$A50,Dec_Period_2_Tbl[[#All],['# CLASSES LEAD]]))</f>
        <v>0</v>
      </c>
      <c r="U50" s="152">
        <f>(SUMIF(Jan_Period_1_Tbl[[#All],[STAFF:]],$A50,Jan_Period_1_Tbl[[#All],['# CLASSES SHOW]])+
SUMIF(Feb_Period_1_Tbl[[#All],[STAFF:]],$A50,Feb_Period_1_Tbl[[#All],['# CLASSES SHOW]])+SUMIF(Mar_Period_1_Tbl[[#All],[STAFF:]],$A50,Mar_Period_1_Tbl[[#All],['# CLASSES SHOW]])+SUMIF(Apr_Period_1_Tbl[[#All],[STAFF:]],$A50,Apr_Period_1_Tbl[[#All],['# CLASSES SHOW]])+   SUMIF(May_Period_1_Tbl[[#All],[STAFF:]],$A50,May_Period_1_Tbl[[#All],['# CLASSES SHOW]])+   SUMIF(Jun_Period_1_Tbl[[#All],[STAFF:]],$A50,Jun_Period_1_Tbl[[#All],['# CLASSES SHOW]])+  SUMIF(Jul_Period_1_Tbl[[#All],[STAFF:]],$A50,Jul_Period_1_Tbl[[#All],['# CLASSES SHOW]])+  SUMIF(Aug_Period_1_Tbl[[#All],[STAFF:]],$A50,Aug_Period_1_Tbl[[#All],['# CLASSES SHOW]])+  SUMIF(Sep_Period_1_Tbl[[#All],[STAFF:]],$A50,Sep_Period_1_Tbl[[#All],['# CLASSES SHOW]])+  SUMIF(Oct_Period_1_Tbl[[#All],[STAFF:]],$A50,Oct_Period_1_Tbl[[#All],['# CLASSES SHOW]])+     SUMIF(Nov_Period_1_Tbl[[#All],[STAFF:]],$A50,Nov_Period_1_Tbl[[#All],['# CLASSES SHOW]])+  SUMIF(Dec_Period_1_Tbl[[#All],[STAFF:]],$A50,Dec_Period_1_Tbl[[#All],['# CLASSES SHOW]]))+   (SUMIF(Jan_Period_2_Tbl[[#All],[STAFF:]],$A50,Jan_Period_2_Tbl[[#All],['# CLASSES SHOW]])+
SUMIF(Feb_Period_2_Tbl[[#All],[STAFF:]],$A50,Feb_Period_2_Tbl[[#All],['# CLASSES SHOW]])+SUMIF(Mar_Period_2_Tbl[[#All],[STAFF:]],$A50,Mar_Period_2_Tbl[[#All],['# CLASSES SHOW]])+SUMIF(Apr_Period_2_Tbl[[#All],[STAFF:]],$A50,Apr_Period_2_Tbl[[#All],['# CLASSES SHOW]])+   SUMIF(May_Period_2_Tbl[[#All],[STAFF:]],$A50,May_Period_2_Tbl[[#All],['# CLASSES SHOW]])+   SUMIF(Jun_Period_2_Tbl[[#All],[STAFF:]],$A50,Jun_Period_2_Tbl[[#All],['# CLASSES SHOW]])+  SUMIF(Jul_Period_2_Tbl[[#All],[STAFF:]],$A50,Jul_Period_2_Tbl[[#All],['# CLASSES SHOW]])+  SUMIF(Aug_Period_2_Tbl[[#All],[STAFF:]],$A50,Aug_Period_2_Tbl[[#All],['# CLASSES SHOW]])+  SUMIF(Sep_Period_2_Tbl[[#All],[STAFF:]],$A50,Sep_Period_2_Tbl[[#All],['# CLASSES SHOW]])+  SUMIF(Oct_Period_2_Tbl[[#All],[STAFF:]],$A50,Oct_Period_2_Tbl[[#All],['# CLASSES SHOW]])+     SUMIF(Nov_Period_2_Tbl[[#All],[STAFF:]],$A50,Nov_Period_2_Tbl[[#All],['# CLASSES SHOW]])+  SUMIF(Dec_Period_2_Tbl[[#All],[STAFF:]],$A50,Dec_Period_2_Tbl[[#All],['# CLASSES SHOW]]))</f>
        <v>0</v>
      </c>
      <c r="V50" s="156"/>
      <c r="W50" s="156"/>
      <c r="X50" s="154">
        <f t="shared" si="10"/>
        <v>0</v>
      </c>
      <c r="Y50" s="154">
        <f t="shared" si="11"/>
        <v>0</v>
      </c>
      <c r="Z50" s="154">
        <f t="shared" si="12"/>
        <v>0</v>
      </c>
      <c r="AA50" s="154">
        <f t="shared" si="13"/>
        <v>0</v>
      </c>
      <c r="AB50" s="154">
        <f t="shared" si="14"/>
        <v>0</v>
      </c>
      <c r="AC50" s="154">
        <f t="shared" si="15"/>
        <v>0</v>
      </c>
      <c r="AD50" s="154">
        <f t="shared" si="16"/>
        <v>0</v>
      </c>
      <c r="AE50" s="149"/>
      <c r="AF50" s="149"/>
      <c r="AG50" s="149"/>
      <c r="AH50" s="149"/>
      <c r="AJ50" s="75" t="str">
        <f t="shared" si="17"/>
        <v>zBlank</v>
      </c>
      <c r="AK50" s="210"/>
      <c r="AL50" s="168">
        <f>IFERROR(VLOOKUP(B50,List!$A:$B,2,FALSE),-1)</f>
        <v>-1</v>
      </c>
      <c r="AM50" s="168">
        <f>IFERROR(VLOOKUP(C50,List!$A:$B,2,FALSE),-1)</f>
        <v>-1</v>
      </c>
    </row>
    <row r="51" spans="1:39" ht="15" hidden="1" customHeight="1" x14ac:dyDescent="0.25">
      <c r="A51" s="20"/>
      <c r="B51" s="186"/>
      <c r="C51" s="186"/>
      <c r="D51" s="187"/>
      <c r="E51" s="188">
        <f>(SUMIF(Jan_Period_1_Tbl[[#All],[STAFF:]],$A51,Jan_Period_1_Tbl[[#All],['# PTO USED]])+
SUMIF(Feb_Period_1_Tbl[[#All],[STAFF:]],$A51,Feb_Period_1_Tbl[[#All],['# PTO USED]])+SUMIF(Mar_Period_1_Tbl[[#All],[STAFF:]],$A51,Mar_Period_1_Tbl[[#All],['# PTO USED]])+SUMIF(Apr_Period_1_Tbl[[#All],[STAFF:]],$A51,Apr_Period_1_Tbl[[#All],['# PTO USED]])+   SUMIF(May_Period_1_Tbl[[#All],[STAFF:]],$A51,May_Period_1_Tbl[[#All],['# PTO USED]])+   SUMIF(Jun_Period_1_Tbl[[#All],[STAFF:]],$A51,Jun_Period_1_Tbl[[#All],['# PTO USED]])+  SUMIF(Jul_Period_1_Tbl[[#All],[STAFF:]],$A51,Jul_Period_1_Tbl[[#All],['# PTO USED]])+  SUMIF(Aug_Period_1_Tbl[[#All],[STAFF:]],$A51,Aug_Period_1_Tbl[[#All],['# PTO USED]])+  SUMIF(Sep_Period_1_Tbl[[#All],[STAFF:]],$A51,Sep_Period_1_Tbl[[#All],['# PTO USED]])+  SUMIF(Oct_Period_1_Tbl[[#All],[STAFF:]],$A51,Oct_Period_1_Tbl[[#All],['# PTO USED]])+     SUMIF(Nov_Period_1_Tbl[[#All],[STAFF:]],$A51,Nov_Period_1_Tbl[[#All],['# PTO USED]])+  SUMIF(Dec_Period_1_Tbl[[#All],[STAFF:]],$A51,Dec_Period_1_Tbl[[#All],['# PTO USED]]))+   (SUMIF(Jan_Period_2_Tbl[[#All],[STAFF:]],$A51,Jan_Period_2_Tbl[[#All],['# PTO USED]])+
SUMIF(Feb_Period_2_Tbl[[#All],[STAFF:]],$A51,Feb_Period_2_Tbl[[#All],['# PTO USED]])+SUMIF(Mar_Period_2_Tbl[[#All],[STAFF:]],$A51,Mar_Period_2_Tbl[[#All],['# PTO USED]])+SUMIF(Apr_Period_2_Tbl[[#All],[STAFF:]],$A51,Apr_Period_2_Tbl[[#All],['# PTO USED]])+   SUMIF(May_Period_2_Tbl[[#All],[STAFF:]],$A51,May_Period_2_Tbl[[#All],['# PTO USED]])+   SUMIF(Jun_Period_2_Tbl[[#All],[STAFF:]],$A51,Jun_Period_2_Tbl[[#All],['# PTO USED]])+  SUMIF(Jul_Period_2_Tbl[[#All],[STAFF:]],$A51,Jul_Period_2_Tbl[[#All],['# PTO USED]])+  SUMIF(Aug_Period_2_Tbl[[#All],[STAFF:]],$A51,Aug_Period_2_Tbl[[#All],['# PTO USED]])+  SUMIF(Sep_Period_2_Tbl[[#All],[STAFF:]],$A51,Sep_Period_2_Tbl[[#All],['# PTO USED]])+  SUMIF(Oct_Period_2_Tbl[[#All],[STAFF:]],$A51,Oct_Period_2_Tbl[[#All],['# PTO USED]])+     SUMIF(Nov_Period_2_Tbl[[#All],[STAFF:]],$A51,Nov_Period_2_Tbl[[#All],['# PTO USED]])+  SUMIF(Dec_Period_2_Tbl[[#All],[STAFF:]],$A51,Dec_Period_2_Tbl[[#All],['# PTO USED]]))</f>
        <v>0</v>
      </c>
      <c r="F51" s="189">
        <f>(SUMIF(Jan_Period_1_Tbl[[#All],[STAFF:]],$A51,Jan_Period_1_Tbl[[#All],['# HRS WORKED]])+
SUMIF(Feb_Period_1_Tbl[[#All],[STAFF:]],$A51,Feb_Period_1_Tbl[[#All],['# HRS WORKED]])+SUMIF(Mar_Period_1_Tbl[[#All],[STAFF:]],$A51,Mar_Period_1_Tbl[[#All],['# HRS WORKED]])+SUMIF(Apr_Period_1_Tbl[[#All],[STAFF:]],$A51,Apr_Period_1_Tbl[[#All],['# HRS WORKED]])+   SUMIF(May_Period_1_Tbl[[#All],[STAFF:]],$A51,May_Period_1_Tbl[[#All],['# HRS WORKED]])+   SUMIF(Jun_Period_1_Tbl[[#All],[STAFF:]],$A51,Jun_Period_1_Tbl[[#All],['# HRS WORKED]])+  SUMIF(Jul_Period_1_Tbl[[#All],[STAFF:]],$A51,Jul_Period_1_Tbl[[#All],['# HRS WORKED]])+  SUMIF(Aug_Period_1_Tbl[[#All],[STAFF:]],$A51,Aug_Period_1_Tbl[[#All],['# HRS WORKED]])+  SUMIF(Sep_Period_1_Tbl[[#All],[STAFF:]],$A51,Sep_Period_1_Tbl[[#All],['# HRS WORKED]])+  SUMIF(Oct_Period_1_Tbl[[#All],[STAFF:]],$A51,Oct_Period_1_Tbl[[#All],['# HRS WORKED]])+     SUMIF(Nov_Period_1_Tbl[[#All],[STAFF:]],$A51,Nov_Period_1_Tbl[[#All],['# HRS WORKED]])+  SUMIF(Dec_Period_1_Tbl[[#All],[STAFF:]],$A51,Dec_Period_1_Tbl[[#All],['# HRS WORKED]]))+   (SUMIF(Jan_Period_2_Tbl[[#All],[STAFF:]],$A51,Jan_Period_2_Tbl[[#All],['# HRS WORKED]])+
SUMIF(Feb_Period_2_Tbl[[#All],[STAFF:]],$A51,Feb_Period_2_Tbl[[#All],['# HRS WORKED]])+SUMIF(Mar_Period_2_Tbl[[#All],[STAFF:]],$A51,Mar_Period_2_Tbl[[#All],['# HRS WORKED]])+SUMIF(Apr_Period_2_Tbl[[#All],[STAFF:]],$A51,Apr_Period_2_Tbl[[#All],['# HRS WORKED]])+   SUMIF(May_Period_2_Tbl[[#All],[STAFF:]],$A51,May_Period_2_Tbl[[#All],['# HRS WORKED]])+   SUMIF(Jun_Period_2_Tbl[[#All],[STAFF:]],$A51,Jun_Period_2_Tbl[[#All],['# HRS WORKED]])+  SUMIF(Jul_Period_2_Tbl[[#All],[STAFF:]],$A51,Jul_Period_2_Tbl[[#All],['# HRS WORKED]])+  SUMIF(Aug_Period_2_Tbl[[#All],[STAFF:]],$A51,Aug_Period_2_Tbl[[#All],['# HRS WORKED]])+  SUMIF(Sep_Period_2_Tbl[[#All],[STAFF:]],$A51,Sep_Period_2_Tbl[[#All],['# HRS WORKED]])+  SUMIF(Oct_Period_2_Tbl[[#All],[STAFF:]],$A51,Oct_Period_2_Tbl[[#All],['# HRS WORKED]])+     SUMIF(Nov_Period_2_Tbl[[#All],[STAFF:]],$A51,Nov_Period_2_Tbl[[#All],['# HRS WORKED]])+  SUMIF(Dec_Period_2_Tbl[[#All],[STAFF:]],$A51,Dec_Period_2_Tbl[[#All],['# HRS WORKED]]))</f>
        <v>0</v>
      </c>
      <c r="G51" s="190">
        <f>(SUMIF(Jan_Period_1_Tbl[[#All],[STAFF:]],$A51,Jan_Period_1_Tbl[[#All],[$ Hourly WAGES]])+
SUMIF(Feb_Period_1_Tbl[[#All],[STAFF:]],$A51,Feb_Period_1_Tbl[[#All],[$ Hourly WAGES]])+SUMIF(Mar_Period_1_Tbl[[#All],[STAFF:]],$A51,Mar_Period_1_Tbl[[#All],[$ Hourly WAGES]])+SUMIF(Apr_Period_1_Tbl[[#All],[STAFF:]],$A51,Apr_Period_1_Tbl[[#All],[$ Hourly WAGES]])+   SUMIF(May_Period_1_Tbl[[#All],[STAFF:]],$A51,May_Period_1_Tbl[[#All],[$ Hourly WAGES]])+   SUMIF(Jun_Period_1_Tbl[[#All],[STAFF:]],$A51,Jun_Period_1_Tbl[[#All],[$ Hourly WAGES]])+  SUMIF(Jul_Period_1_Tbl[[#All],[STAFF:]],$A51,Jul_Period_1_Tbl[[#All],[$ Hourly WAGES]])+  SUMIF(Aug_Period_1_Tbl[[#All],[STAFF:]],$A51,Aug_Period_1_Tbl[[#All],[$ Hourly WAGES]])+  SUMIF(Sep_Period_1_Tbl[[#All],[STAFF:]],$A51,Sep_Period_1_Tbl[[#All],[$ Hourly WAGES]])+  SUMIF(Oct_Period_1_Tbl[[#All],[STAFF:]],$A51,Oct_Period_1_Tbl[[#All],[$ Hourly WAGES]])+     SUMIF(Nov_Period_1_Tbl[[#All],[STAFF:]],$A51,Nov_Period_1_Tbl[[#All],[$ Hourly WAGES]])+  SUMIF(Dec_Period_1_Tbl[[#All],[STAFF:]],$A51,Dec_Period_1_Tbl[[#All],[$ Hourly WAGES]]))+   (SUMIF(Jan_Period_2_Tbl[[#All],[STAFF:]],$A51,Jan_Period_2_Tbl[[#All],[$ Hourly WAGES]])+
SUMIF(Feb_Period_2_Tbl[[#All],[STAFF:]],$A51,Feb_Period_2_Tbl[[#All],[$ Hourly WAGES]])+SUMIF(Mar_Period_2_Tbl[[#All],[STAFF:]],$A51,Mar_Period_2_Tbl[[#All],[$ Hourly WAGES]])+SUMIF(Apr_Period_2_Tbl[[#All],[STAFF:]],$A51,Apr_Period_2_Tbl[[#All],[$ Hourly WAGES]])+   SUMIF(May_Period_2_Tbl[[#All],[STAFF:]],$A51,May_Period_2_Tbl[[#All],[$ Hourly WAGES]])+   SUMIF(Jun_Period_2_Tbl[[#All],[STAFF:]],$A51,Jun_Period_2_Tbl[[#All],[$ Hourly WAGES]])+  SUMIF(Jul_Period_2_Tbl[[#All],[STAFF:]],$A51,Jul_Period_2_Tbl[[#All],[$ Hourly WAGES]])+  SUMIF(Aug_Period_2_Tbl[[#All],[STAFF:]],$A51,Aug_Period_2_Tbl[[#All],[$ Hourly WAGES]])+  SUMIF(Sep_Period_2_Tbl[[#All],[STAFF:]],$A51,Sep_Period_2_Tbl[[#All],[$ Hourly WAGES]])+  SUMIF(Oct_Period_2_Tbl[[#All],[STAFF:]],$A51,Oct_Period_2_Tbl[[#All],[$ Hourly WAGES]])+     SUMIF(Nov_Period_2_Tbl[[#All],[STAFF:]],$A51,Nov_Period_2_Tbl[[#All],[$ Hourly WAGES]])+  SUMIF(Dec_Period_2_Tbl[[#All],[STAFF:]],$A51,Dec_Period_2_Tbl[[#All],[$ Hourly WAGES]]))</f>
        <v>0</v>
      </c>
      <c r="H51" s="190">
        <f>(SUMIF(Jan_Period_1_Tbl[[#All],[STAFF:]],$A51,Jan_Period_1_Tbl[[#All],[$ SALARY]])+
SUMIF(Feb_Period_1_Tbl[[#All],[STAFF:]],$A51,Feb_Period_1_Tbl[[#All],[$ SALARY]])+SUMIF(Mar_Period_1_Tbl[[#All],[STAFF:]],$A51,Mar_Period_1_Tbl[[#All],[$ SALARY]])+SUMIF(Apr_Period_1_Tbl[[#All],[STAFF:]],$A51,Apr_Period_1_Tbl[[#All],[$ SALARY]])+   SUMIF(May_Period_1_Tbl[[#All],[STAFF:]],$A51,May_Period_1_Tbl[[#All],[$ SALARY]])+   SUMIF(Jun_Period_1_Tbl[[#All],[STAFF:]],$A51,Jun_Period_1_Tbl[[#All],[$ SALARY]])+  SUMIF(Jul_Period_1_Tbl[[#All],[STAFF:]],$A51,Jul_Period_1_Tbl[[#All],[$ SALARY]])+  SUMIF(Aug_Period_1_Tbl[[#All],[STAFF:]],$A51,Aug_Period_1_Tbl[[#All],[$ SALARY]])+  SUMIF(Sep_Period_1_Tbl[[#All],[STAFF:]],$A51,Sep_Period_1_Tbl[[#All],[$ SALARY]])+  SUMIF(Oct_Period_1_Tbl[[#All],[STAFF:]],$A51,Oct_Period_1_Tbl[[#All],[$ SALARY]])+     SUMIF(Nov_Period_1_Tbl[[#All],[STAFF:]],$A51,Nov_Period_1_Tbl[[#All],[$ SALARY]])+  SUMIF(Dec_Period_1_Tbl[[#All],[STAFF:]],$A51,Dec_Period_1_Tbl[[#All],[$ SALARY]]))+   (SUMIF(Jan_Period_2_Tbl[[#All],[STAFF:]],$A51,Jan_Period_2_Tbl[[#All],[$ SALARY]])+
SUMIF(Feb_Period_2_Tbl[[#All],[STAFF:]],$A51,Feb_Period_2_Tbl[[#All],[$ SALARY]])+SUMIF(Mar_Period_2_Tbl[[#All],[STAFF:]],$A51,Mar_Period_2_Tbl[[#All],[$ SALARY]])+SUMIF(Apr_Period_2_Tbl[[#All],[STAFF:]],$A51,Apr_Period_2_Tbl[[#All],[$ SALARY]])+   SUMIF(May_Period_2_Tbl[[#All],[STAFF:]],$A51,May_Period_2_Tbl[[#All],[$ SALARY]])+   SUMIF(Jun_Period_2_Tbl[[#All],[STAFF:]],$A51,Jun_Period_2_Tbl[[#All],[$ SALARY]])+  SUMIF(Jul_Period_2_Tbl[[#All],[STAFF:]],$A51,Jul_Period_2_Tbl[[#All],[$ SALARY]])+  SUMIF(Aug_Period_2_Tbl[[#All],[STAFF:]],$A51,Aug_Period_2_Tbl[[#All],[$ SALARY]])+  SUMIF(Sep_Period_2_Tbl[[#All],[STAFF:]],$A51,Sep_Period_2_Tbl[[#All],[$ SALARY]])+  SUMIF(Oct_Period_2_Tbl[[#All],[STAFF:]],$A51,Oct_Period_2_Tbl[[#All],[$ SALARY]])+     SUMIF(Nov_Period_2_Tbl[[#All],[STAFF:]],$A51,Nov_Period_2_Tbl[[#All],[$ SALARY]])+  SUMIF(Dec_Period_2_Tbl[[#All],[STAFF:]],$A51,Dec_Period_2_Tbl[[#All],[$ SALARY]]))</f>
        <v>0</v>
      </c>
      <c r="I51" s="190">
        <f>(SUMIF(Jan_Period_1_Tbl[[#All],[STAFF:]],$A51,Jan_Period_1_Tbl[[#All],[$ SALARY PT]])+
SUMIF(Feb_Period_1_Tbl[[#All],[STAFF:]],$A51,Feb_Period_1_Tbl[[#All],[$ SALARY PT]])+SUMIF(Mar_Period_1_Tbl[[#All],[STAFF:]],$A51,Mar_Period_1_Tbl[[#All],[$ SALARY PT]])+SUMIF(Apr_Period_1_Tbl[[#All],[STAFF:]],$A51,Apr_Period_1_Tbl[[#All],[$ SALARY PT]])+   SUMIF(May_Period_1_Tbl[[#All],[STAFF:]],$A51,May_Period_1_Tbl[[#All],[$ SALARY PT]])+   SUMIF(Jun_Period_1_Tbl[[#All],[STAFF:]],$A51,Jun_Period_1_Tbl[[#All],[$ SALARY PT]])+  SUMIF(Jul_Period_1_Tbl[[#All],[STAFF:]],$A51,Jul_Period_1_Tbl[[#All],[$ SALARY PT]])+  SUMIF(Aug_Period_1_Tbl[[#All],[STAFF:]],$A51,Aug_Period_1_Tbl[[#All],[$ SALARY PT]])+  SUMIF(Sep_Period_1_Tbl[[#All],[STAFF:]],$A51,Sep_Period_1_Tbl[[#All],[$ SALARY PT]])+  SUMIF(Oct_Period_1_Tbl[[#All],[STAFF:]],$A51,Oct_Period_1_Tbl[[#All],[$ SALARY PT]])+     SUMIF(Nov_Period_1_Tbl[[#All],[STAFF:]],$A51,Nov_Period_1_Tbl[[#All],[$ SALARY PT]])+  SUMIF(Dec_Period_1_Tbl[[#All],[STAFF:]],$A51,Dec_Period_1_Tbl[[#All],[$ SALARY PT]]))+   (SUMIF(Jan_Period_2_Tbl[[#All],[STAFF:]],$A51,Jan_Period_2_Tbl[[#All],[$ SALARY PT]])+
SUMIF(Feb_Period_2_Tbl[[#All],[STAFF:]],$A51,Feb_Period_2_Tbl[[#All],[$ SALARY PT]])+SUMIF(Mar_Period_2_Tbl[[#All],[STAFF:]],$A51,Mar_Period_2_Tbl[[#All],[$ SALARY PT]])+SUMIF(Apr_Period_2_Tbl[[#All],[STAFF:]],$A51,Apr_Period_2_Tbl[[#All],[$ SALARY PT]])+   SUMIF(May_Period_2_Tbl[[#All],[STAFF:]],$A51,May_Period_2_Tbl[[#All],[$ SALARY PT]])+   SUMIF(Jun_Period_2_Tbl[[#All],[STAFF:]],$A51,Jun_Period_2_Tbl[[#All],[$ SALARY PT]])+  SUMIF(Jul_Period_2_Tbl[[#All],[STAFF:]],$A51,Jul_Period_2_Tbl[[#All],[$ SALARY PT]])+  SUMIF(Aug_Period_2_Tbl[[#All],[STAFF:]],$A51,Aug_Period_2_Tbl[[#All],[$ SALARY PT]])+  SUMIF(Sep_Period_2_Tbl[[#All],[STAFF:]],$A51,Sep_Period_2_Tbl[[#All],[$ SALARY PT]])+  SUMIF(Oct_Period_2_Tbl[[#All],[STAFF:]],$A51,Oct_Period_2_Tbl[[#All],[$ SALARY PT]])+     SUMIF(Nov_Period_2_Tbl[[#All],[STAFF:]],$A51,Nov_Period_2_Tbl[[#All],[$ SALARY PT]])+  SUMIF(Dec_Period_2_Tbl[[#All],[STAFF:]],$A51,Dec_Period_2_Tbl[[#All],[$ SALARY PT]]))</f>
        <v>0</v>
      </c>
      <c r="J51" s="190">
        <f>(SUMIF(Jan_Period_1_Tbl[[#All],[STAFF:]],$A51,Jan_Period_1_Tbl[[#All],[$ FREE PT]])+
SUMIF(Feb_Period_1_Tbl[[#All],[STAFF:]],$A51,Feb_Period_1_Tbl[[#All],[$ FREE PT]])+SUMIF(Mar_Period_1_Tbl[[#All],[STAFF:]],$A51,Mar_Period_1_Tbl[[#All],[$ FREE PT]])+SUMIF(Apr_Period_1_Tbl[[#All],[STAFF:]],$A51,Apr_Period_1_Tbl[[#All],[$ FREE PT]])+   SUMIF(May_Period_1_Tbl[[#All],[STAFF:]],$A51,May_Period_1_Tbl[[#All],[$ FREE PT]])+   SUMIF(Jun_Period_1_Tbl[[#All],[STAFF:]],$A51,Jun_Period_1_Tbl[[#All],[$ FREE PT]])+  SUMIF(Jul_Period_1_Tbl[[#All],[STAFF:]],$A51,Jul_Period_1_Tbl[[#All],[$ FREE PT]])+  SUMIF(Aug_Period_1_Tbl[[#All],[STAFF:]],$A51,Aug_Period_1_Tbl[[#All],[$ FREE PT]])+  SUMIF(Sep_Period_1_Tbl[[#All],[STAFF:]],$A51,Sep_Period_1_Tbl[[#All],[$ FREE PT]])+  SUMIF(Oct_Period_1_Tbl[[#All],[STAFF:]],$A51,Oct_Period_1_Tbl[[#All],[$ FREE PT]])+     SUMIF(Nov_Period_1_Tbl[[#All],[STAFF:]],$A51,Nov_Period_1_Tbl[[#All],[$ FREE PT]])+  SUMIF(Dec_Period_1_Tbl[[#All],[STAFF:]],$A51,Dec_Period_1_Tbl[[#All],[$ FREE PT]]))+   (SUMIF(Jan_Period_2_Tbl[[#All],[STAFF:]],$A51,Jan_Period_2_Tbl[[#All],[$ FREE PT]])+
SUMIF(Feb_Period_2_Tbl[[#All],[STAFF:]],$A51,Feb_Period_2_Tbl[[#All],[$ FREE PT]])+SUMIF(Mar_Period_2_Tbl[[#All],[STAFF:]],$A51,Mar_Period_2_Tbl[[#All],[$ FREE PT]])+SUMIF(Apr_Period_2_Tbl[[#All],[STAFF:]],$A51,Apr_Period_2_Tbl[[#All],[$ FREE PT]])+   SUMIF(May_Period_2_Tbl[[#All],[STAFF:]],$A51,May_Period_2_Tbl[[#All],[$ FREE PT]])+   SUMIF(Jun_Period_2_Tbl[[#All],[STAFF:]],$A51,Jun_Period_2_Tbl[[#All],[$ FREE PT]])+  SUMIF(Jul_Period_2_Tbl[[#All],[STAFF:]],$A51,Jul_Period_2_Tbl[[#All],[$ FREE PT]])+  SUMIF(Aug_Period_2_Tbl[[#All],[STAFF:]],$A51,Aug_Period_2_Tbl[[#All],[$ FREE PT]])+  SUMIF(Sep_Period_2_Tbl[[#All],[STAFF:]],$A51,Sep_Period_2_Tbl[[#All],[$ FREE PT]])+  SUMIF(Oct_Period_2_Tbl[[#All],[STAFF:]],$A51,Oct_Period_2_Tbl[[#All],[$ FREE PT]])+     SUMIF(Nov_Period_2_Tbl[[#All],[STAFF:]],$A51,Nov_Period_2_Tbl[[#All],[$ FREE PT]])+  SUMIF(Dec_Period_2_Tbl[[#All],[STAFF:]],$A51,Dec_Period_2_Tbl[[#All],[$ FREE PT]]))</f>
        <v>0</v>
      </c>
      <c r="K51" s="190">
        <f>(SUMIF(Jan_Period_1_Tbl[[#All],[STAFF:]],$A51,Jan_Period_1_Tbl[[#All],[$ PAID PT]])+
SUMIF(Feb_Period_1_Tbl[[#All],[STAFF:]],$A51,Feb_Period_1_Tbl[[#All],[$ PAID PT]])+SUMIF(Mar_Period_1_Tbl[[#All],[STAFF:]],$A51,Mar_Period_1_Tbl[[#All],[$ PAID PT]])+SUMIF(Apr_Period_1_Tbl[[#All],[STAFF:]],$A51,Apr_Period_1_Tbl[[#All],[$ PAID PT]])+   SUMIF(May_Period_1_Tbl[[#All],[STAFF:]],$A51,May_Period_1_Tbl[[#All],[$ PAID PT]])+   SUMIF(Jun_Period_1_Tbl[[#All],[STAFF:]],$A51,Jun_Period_1_Tbl[[#All],[$ PAID PT]])+  SUMIF(Jul_Period_1_Tbl[[#All],[STAFF:]],$A51,Jul_Period_1_Tbl[[#All],[$ PAID PT]])+  SUMIF(Aug_Period_1_Tbl[[#All],[STAFF:]],$A51,Aug_Period_1_Tbl[[#All],[$ PAID PT]])+  SUMIF(Sep_Period_1_Tbl[[#All],[STAFF:]],$A51,Sep_Period_1_Tbl[[#All],[$ PAID PT]])+  SUMIF(Oct_Period_1_Tbl[[#All],[STAFF:]],$A51,Oct_Period_1_Tbl[[#All],[$ PAID PT]])+     SUMIF(Nov_Period_1_Tbl[[#All],[STAFF:]],$A51,Nov_Period_1_Tbl[[#All],[$ PAID PT]])+  SUMIF(Dec_Period_1_Tbl[[#All],[STAFF:]],$A51,Dec_Period_1_Tbl[[#All],[$ PAID PT]]))+   (SUMIF(Jan_Period_2_Tbl[[#All],[STAFF:]],$A51,Jan_Period_2_Tbl[[#All],[$ PAID PT]])+
SUMIF(Feb_Period_2_Tbl[[#All],[STAFF:]],$A51,Feb_Period_2_Tbl[[#All],[$ PAID PT]])+SUMIF(Mar_Period_2_Tbl[[#All],[STAFF:]],$A51,Mar_Period_2_Tbl[[#All],[$ PAID PT]])+SUMIF(Apr_Period_2_Tbl[[#All],[STAFF:]],$A51,Apr_Period_2_Tbl[[#All],[$ PAID PT]])+   SUMIF(May_Period_2_Tbl[[#All],[STAFF:]],$A51,May_Period_2_Tbl[[#All],[$ PAID PT]])+   SUMIF(Jun_Period_2_Tbl[[#All],[STAFF:]],$A51,Jun_Period_2_Tbl[[#All],[$ PAID PT]])+  SUMIF(Jul_Period_2_Tbl[[#All],[STAFF:]],$A51,Jul_Period_2_Tbl[[#All],[$ PAID PT]])+  SUMIF(Aug_Period_2_Tbl[[#All],[STAFF:]],$A51,Aug_Period_2_Tbl[[#All],[$ PAID PT]])+  SUMIF(Sep_Period_2_Tbl[[#All],[STAFF:]],$A51,Sep_Period_2_Tbl[[#All],[$ PAID PT]])+  SUMIF(Oct_Period_2_Tbl[[#All],[STAFF:]],$A51,Oct_Period_2_Tbl[[#All],[$ PAID PT]])+     SUMIF(Nov_Period_2_Tbl[[#All],[STAFF:]],$A51,Nov_Period_2_Tbl[[#All],[$ PAID PT]])+  SUMIF(Dec_Period_2_Tbl[[#All],[STAFF:]],$A51,Dec_Period_2_Tbl[[#All],[$ PAID PT]]))</f>
        <v>0</v>
      </c>
      <c r="L51" s="190">
        <f>(SUMIF(Jan_Period_1_Tbl[[#All],[STAFF:]],$A51,Jan_Period_1_Tbl[[#All],[$ PT COMM]])+
SUMIF(Feb_Period_1_Tbl[[#All],[STAFF:]],$A51,Feb_Period_1_Tbl[[#All],[$ PT COMM]])+SUMIF(Mar_Period_1_Tbl[[#All],[STAFF:]],$A51,Mar_Period_1_Tbl[[#All],[$ PT COMM]])+SUMIF(Apr_Period_1_Tbl[[#All],[STAFF:]],$A51,Apr_Period_1_Tbl[[#All],[$ PT COMM]])+   SUMIF(May_Period_1_Tbl[[#All],[STAFF:]],$A51,May_Period_1_Tbl[[#All],[$ PT COMM]])+   SUMIF(Jun_Period_1_Tbl[[#All],[STAFF:]],$A51,Jun_Period_1_Tbl[[#All],[$ PT COMM]])+  SUMIF(Jul_Period_1_Tbl[[#All],[STAFF:]],$A51,Jul_Period_1_Tbl[[#All],[$ PT COMM]])+  SUMIF(Aug_Period_1_Tbl[[#All],[STAFF:]],$A51,Aug_Period_1_Tbl[[#All],[$ PT COMM]])+  SUMIF(Sep_Period_1_Tbl[[#All],[STAFF:]],$A51,Sep_Period_1_Tbl[[#All],[$ PT COMM]])+  SUMIF(Oct_Period_1_Tbl[[#All],[STAFF:]],$A51,Oct_Period_1_Tbl[[#All],[$ PT COMM]])+     SUMIF(Nov_Period_1_Tbl[[#All],[STAFF:]],$A51,Nov_Period_1_Tbl[[#All],[$ PT COMM]])+  SUMIF(Dec_Period_1_Tbl[[#All],[STAFF:]],$A51,Dec_Period_1_Tbl[[#All],[$ PT COMM]]))+   (SUMIF(Jan_Period_2_Tbl[[#All],[STAFF:]],$A51,Jan_Period_2_Tbl[[#All],[$ PT COMM]])+
SUMIF(Feb_Period_2_Tbl[[#All],[STAFF:]],$A51,Feb_Period_2_Tbl[[#All],[$ PT COMM]])+SUMIF(Mar_Period_2_Tbl[[#All],[STAFF:]],$A51,Mar_Period_2_Tbl[[#All],[$ PT COMM]])+SUMIF(Apr_Period_2_Tbl[[#All],[STAFF:]],$A51,Apr_Period_2_Tbl[[#All],[$ PT COMM]])+   SUMIF(May_Period_2_Tbl[[#All],[STAFF:]],$A51,May_Period_2_Tbl[[#All],[$ PT COMM]])+   SUMIF(Jun_Period_2_Tbl[[#All],[STAFF:]],$A51,Jun_Period_2_Tbl[[#All],[$ PT COMM]])+  SUMIF(Jul_Period_2_Tbl[[#All],[STAFF:]],$A51,Jul_Period_2_Tbl[[#All],[$ PT COMM]])+  SUMIF(Aug_Period_2_Tbl[[#All],[STAFF:]],$A51,Aug_Period_2_Tbl[[#All],[$ PT COMM]])+  SUMIF(Sep_Period_2_Tbl[[#All],[STAFF:]],$A51,Sep_Period_2_Tbl[[#All],[$ PT COMM]])+  SUMIF(Oct_Period_2_Tbl[[#All],[STAFF:]],$A51,Oct_Period_2_Tbl[[#All],[$ PT COMM]])+     SUMIF(Nov_Period_2_Tbl[[#All],[STAFF:]],$A51,Nov_Period_2_Tbl[[#All],[$ PT COMM]])+  SUMIF(Dec_Period_2_Tbl[[#All],[STAFF:]],$A51,Dec_Period_2_Tbl[[#All],[$ PT COMM]]))</f>
        <v>0</v>
      </c>
      <c r="M51" s="190">
        <f>(SUMIF(Jan_Period_1_Tbl[[#All],[STAFF:]],$A51,Jan_Period_1_Tbl[[#All],[$ EFT COMM]])+
SUMIF(Feb_Period_1_Tbl[[#All],[STAFF:]],$A51,Feb_Period_1_Tbl[[#All],[$ EFT COMM]])+SUMIF(Mar_Period_1_Tbl[[#All],[STAFF:]],$A51,Mar_Period_1_Tbl[[#All],[$ EFT COMM]])+SUMIF(Apr_Period_1_Tbl[[#All],[STAFF:]],$A51,Apr_Period_1_Tbl[[#All],[$ EFT COMM]])+   SUMIF(May_Period_1_Tbl[[#All],[STAFF:]],$A51,May_Period_1_Tbl[[#All],[$ EFT COMM]])+   SUMIF(Jun_Period_1_Tbl[[#All],[STAFF:]],$A51,Jun_Period_1_Tbl[[#All],[$ EFT COMM]])+  SUMIF(Jul_Period_1_Tbl[[#All],[STAFF:]],$A51,Jul_Period_1_Tbl[[#All],[$ EFT COMM]])+  SUMIF(Aug_Period_1_Tbl[[#All],[STAFF:]],$A51,Aug_Period_1_Tbl[[#All],[$ EFT COMM]])+  SUMIF(Sep_Period_1_Tbl[[#All],[STAFF:]],$A51,Sep_Period_1_Tbl[[#All],[$ EFT COMM]])+  SUMIF(Oct_Period_1_Tbl[[#All],[STAFF:]],$A51,Oct_Period_1_Tbl[[#All],[$ EFT COMM]])+     SUMIF(Nov_Period_1_Tbl[[#All],[STAFF:]],$A51,Nov_Period_1_Tbl[[#All],[$ EFT COMM]])+  SUMIF(Dec_Period_1_Tbl[[#All],[STAFF:]],$A51,Dec_Period_1_Tbl[[#All],[$ EFT COMM]]))+   (SUMIF(Jan_Period_2_Tbl[[#All],[STAFF:]],$A51,Jan_Period_2_Tbl[[#All],[$ EFT COMM]])+
SUMIF(Feb_Period_2_Tbl[[#All],[STAFF:]],$A51,Feb_Period_2_Tbl[[#All],[$ EFT COMM]])+SUMIF(Mar_Period_2_Tbl[[#All],[STAFF:]],$A51,Mar_Period_2_Tbl[[#All],[$ EFT COMM]])+SUMIF(Apr_Period_2_Tbl[[#All],[STAFF:]],$A51,Apr_Period_2_Tbl[[#All],[$ EFT COMM]])+   SUMIF(May_Period_2_Tbl[[#All],[STAFF:]],$A51,May_Period_2_Tbl[[#All],[$ EFT COMM]])+   SUMIF(Jun_Period_2_Tbl[[#All],[STAFF:]],$A51,Jun_Period_2_Tbl[[#All],[$ EFT COMM]])+  SUMIF(Jul_Period_2_Tbl[[#All],[STAFF:]],$A51,Jul_Period_2_Tbl[[#All],[$ EFT COMM]])+  SUMIF(Aug_Period_2_Tbl[[#All],[STAFF:]],$A51,Aug_Period_2_Tbl[[#All],[$ EFT COMM]])+  SUMIF(Sep_Period_2_Tbl[[#All],[STAFF:]],$A51,Sep_Period_2_Tbl[[#All],[$ EFT COMM]])+  SUMIF(Oct_Period_2_Tbl[[#All],[STAFF:]],$A51,Oct_Period_2_Tbl[[#All],[$ EFT COMM]])+     SUMIF(Nov_Period_2_Tbl[[#All],[STAFF:]],$A51,Nov_Period_2_Tbl[[#All],[$ EFT COMM]])+  SUMIF(Dec_Period_2_Tbl[[#All],[STAFF:]],$A51,Dec_Period_2_Tbl[[#All],[$ EFT COMM]]))</f>
        <v>0</v>
      </c>
      <c r="N51" s="190">
        <f>(SUMIF(Jan_Period_1_Tbl[[#All],[STAFF:]],$A51,Jan_Period_1_Tbl[[#All],[$ CLASS PAY]])+
SUMIF(Feb_Period_1_Tbl[[#All],[STAFF:]],$A51,Feb_Period_1_Tbl[[#All],[$ CLASS PAY]])+SUMIF(Mar_Period_1_Tbl[[#All],[STAFF:]],$A51,Mar_Period_1_Tbl[[#All],[$ CLASS PAY]])+SUMIF(Apr_Period_1_Tbl[[#All],[STAFF:]],$A51,Apr_Period_1_Tbl[[#All],[$ CLASS PAY]])+   SUMIF(May_Period_1_Tbl[[#All],[STAFF:]],$A51,May_Period_1_Tbl[[#All],[$ CLASS PAY]])+   SUMIF(Jun_Period_1_Tbl[[#All],[STAFF:]],$A51,Jun_Period_1_Tbl[[#All],[$ CLASS PAY]])+  SUMIF(Jul_Period_1_Tbl[[#All],[STAFF:]],$A51,Jul_Period_1_Tbl[[#All],[$ CLASS PAY]])+  SUMIF(Aug_Period_1_Tbl[[#All],[STAFF:]],$A51,Aug_Period_1_Tbl[[#All],[$ CLASS PAY]])+  SUMIF(Sep_Period_1_Tbl[[#All],[STAFF:]],$A51,Sep_Period_1_Tbl[[#All],[$ CLASS PAY]])+  SUMIF(Oct_Period_1_Tbl[[#All],[STAFF:]],$A51,Oct_Period_1_Tbl[[#All],[$ CLASS PAY]])+     SUMIF(Nov_Period_1_Tbl[[#All],[STAFF:]],$A51,Nov_Period_1_Tbl[[#All],[$ CLASS PAY]])+  SUMIF(Dec_Period_1_Tbl[[#All],[STAFF:]],$A51,Dec_Period_1_Tbl[[#All],[$ CLASS PAY]]))+   (SUMIF(Jan_Period_2_Tbl[[#All],[STAFF:]],$A51,Jan_Period_2_Tbl[[#All],[$ CLASS PAY]])+
SUMIF(Feb_Period_2_Tbl[[#All],[STAFF:]],$A51,Feb_Period_2_Tbl[[#All],[$ CLASS PAY]])+SUMIF(Mar_Period_2_Tbl[[#All],[STAFF:]],$A51,Mar_Period_2_Tbl[[#All],[$ CLASS PAY]])+SUMIF(Apr_Period_2_Tbl[[#All],[STAFF:]],$A51,Apr_Period_2_Tbl[[#All],[$ CLASS PAY]])+   SUMIF(May_Period_2_Tbl[[#All],[STAFF:]],$A51,May_Period_2_Tbl[[#All],[$ CLASS PAY]])+   SUMIF(Jun_Period_2_Tbl[[#All],[STAFF:]],$A51,Jun_Period_2_Tbl[[#All],[$ CLASS PAY]])+  SUMIF(Jul_Period_2_Tbl[[#All],[STAFF:]],$A51,Jul_Period_2_Tbl[[#All],[$ CLASS PAY]])+  SUMIF(Aug_Period_2_Tbl[[#All],[STAFF:]],$A51,Aug_Period_2_Tbl[[#All],[$ CLASS PAY]])+  SUMIF(Sep_Period_2_Tbl[[#All],[STAFF:]],$A51,Sep_Period_2_Tbl[[#All],[$ CLASS PAY]])+  SUMIF(Oct_Period_2_Tbl[[#All],[STAFF:]],$A51,Oct_Period_2_Tbl[[#All],[$ CLASS PAY]])+     SUMIF(Nov_Period_2_Tbl[[#All],[STAFF:]],$A51,Nov_Period_2_Tbl[[#All],[$ CLASS PAY]])+  SUMIF(Dec_Period_2_Tbl[[#All],[STAFF:]],$A51,Dec_Period_2_Tbl[[#All],[$ CLASS PAY]]))</f>
        <v>0</v>
      </c>
      <c r="O51" s="191">
        <f>(SUMIF(Jan_Period_1_Tbl[[#All],[STAFF:]],$A51,Jan_Period_1_Tbl[[#All],[$ BONUS PAY]])+
SUMIF(Feb_Period_1_Tbl[[#All],[STAFF:]],$A51,Feb_Period_1_Tbl[[#All],[$ BONUS PAY]])+SUMIF(Mar_Period_1_Tbl[[#All],[STAFF:]],$A51,Mar_Period_1_Tbl[[#All],[$ BONUS PAY]])+SUMIF(Apr_Period_1_Tbl[[#All],[STAFF:]],$A51,Apr_Period_1_Tbl[[#All],[$ BONUS PAY]])+   SUMIF(May_Period_1_Tbl[[#All],[STAFF:]],$A51,May_Period_1_Tbl[[#All],[$ BONUS PAY]])+   SUMIF(Jun_Period_1_Tbl[[#All],[STAFF:]],$A51,Jun_Period_1_Tbl[[#All],[$ BONUS PAY]])+  SUMIF(Jul_Period_1_Tbl[[#All],[STAFF:]],$A51,Jul_Period_1_Tbl[[#All],[$ BONUS PAY]])+  SUMIF(Aug_Period_1_Tbl[[#All],[STAFF:]],$A51,Aug_Period_1_Tbl[[#All],[$ BONUS PAY]])+  SUMIF(Sep_Period_1_Tbl[[#All],[STAFF:]],$A51,Sep_Period_1_Tbl[[#All],[$ BONUS PAY]])+  SUMIF(Oct_Period_1_Tbl[[#All],[STAFF:]],$A51,Oct_Period_1_Tbl[[#All],[$ BONUS PAY]])+     SUMIF(Nov_Period_1_Tbl[[#All],[STAFF:]],$A51,Nov_Period_1_Tbl[[#All],[$ BONUS PAY]])+  SUMIF(Dec_Period_1_Tbl[[#All],[STAFF:]],$A51,Dec_Period_1_Tbl[[#All],[$ BONUS PAY]]))+   (SUMIF(Jan_Period_2_Tbl[[#All],[STAFF:]],$A51,Jan_Period_2_Tbl[[#All],[$ BONUS PAY]])+
SUMIF(Feb_Period_2_Tbl[[#All],[STAFF:]],$A51,Feb_Period_2_Tbl[[#All],[$ BONUS PAY]])+SUMIF(Mar_Period_2_Tbl[[#All],[STAFF:]],$A51,Mar_Period_2_Tbl[[#All],[$ BONUS PAY]])+SUMIF(Apr_Period_2_Tbl[[#All],[STAFF:]],$A51,Apr_Period_2_Tbl[[#All],[$ BONUS PAY]])+   SUMIF(May_Period_2_Tbl[[#All],[STAFF:]],$A51,May_Period_2_Tbl[[#All],[$ BONUS PAY]])+   SUMIF(Jun_Period_2_Tbl[[#All],[STAFF:]],$A51,Jun_Period_2_Tbl[[#All],[$ BONUS PAY]])+  SUMIF(Jul_Period_2_Tbl[[#All],[STAFF:]],$A51,Jul_Period_2_Tbl[[#All],[$ BONUS PAY]])+  SUMIF(Aug_Period_2_Tbl[[#All],[STAFF:]],$A51,Aug_Period_2_Tbl[[#All],[$ BONUS PAY]])+  SUMIF(Sep_Period_2_Tbl[[#All],[STAFF:]],$A51,Sep_Period_2_Tbl[[#All],[$ BONUS PAY]])+  SUMIF(Oct_Period_2_Tbl[[#All],[STAFF:]],$A51,Oct_Period_2_Tbl[[#All],[$ BONUS PAY]])+     SUMIF(Nov_Period_2_Tbl[[#All],[STAFF:]],$A51,Nov_Period_2_Tbl[[#All],[$ BONUS PAY]])+  SUMIF(Dec_Period_2_Tbl[[#All],[STAFF:]],$A51,Dec_Period_2_Tbl[[#All],[$ BONUS PAY]]))</f>
        <v>0</v>
      </c>
      <c r="P51" s="179">
        <f t="shared" si="9"/>
        <v>0</v>
      </c>
      <c r="Q51" s="149"/>
      <c r="R51" s="153">
        <f>(SUMIF(Jan_Period_1_Tbl[[#All],[STAFF:]],$A51,Jan_Period_1_Tbl[[#All],['# POINTS EARNED]])+
SUMIF(Feb_Period_1_Tbl[[#All],[STAFF:]],$A51,Feb_Period_1_Tbl[[#All],['# POINTS EARNED]])+SUMIF(Mar_Period_1_Tbl[[#All],[STAFF:]],$A51,Mar_Period_1_Tbl[[#All],['# POINTS EARNED]])+SUMIF(Apr_Period_1_Tbl[[#All],[STAFF:]],$A51,Apr_Period_1_Tbl[[#All],['# POINTS EARNED]])+   SUMIF(May_Period_1_Tbl[[#All],[STAFF:]],$A51,May_Period_1_Tbl[[#All],['# POINTS EARNED]])+   SUMIF(Jun_Period_1_Tbl[[#All],[STAFF:]],$A51,Jun_Period_1_Tbl[[#All],['# POINTS EARNED]])+  SUMIF(Jul_Period_1_Tbl[[#All],[STAFF:]],$A51,Jul_Period_1_Tbl[[#All],['# POINTS EARNED]])+  SUMIF(Aug_Period_1_Tbl[[#All],[STAFF:]],$A51,Aug_Period_1_Tbl[[#All],['# POINTS EARNED]])+  SUMIF(Sep_Period_1_Tbl[[#All],[STAFF:]],$A51,Sep_Period_1_Tbl[[#All],['# POINTS EARNED]])+  SUMIF(Oct_Period_1_Tbl[[#All],[STAFF:]],$A51,Oct_Period_1_Tbl[[#All],['# POINTS EARNED]])+     SUMIF(Nov_Period_1_Tbl[[#All],[STAFF:]],$A51,Nov_Period_1_Tbl[[#All],['# POINTS EARNED]])+  SUMIF(Dec_Period_1_Tbl[[#All],[STAFF:]],$A51,Dec_Period_1_Tbl[[#All],['# POINTS EARNED]]))+   (SUMIF(Jan_Period_2_Tbl[[#All],[STAFF:]],$A51,Jan_Period_2_Tbl[[#All],['# POINTS EARNED]])+
SUMIF(Feb_Period_2_Tbl[[#All],[STAFF:]],$A51,Feb_Period_2_Tbl[[#All],['# POINTS EARNED]])+SUMIF(Mar_Period_2_Tbl[[#All],[STAFF:]],$A51,Mar_Period_2_Tbl[[#All],['# POINTS EARNED]])+SUMIF(Apr_Period_2_Tbl[[#All],[STAFF:]],$A51,Apr_Period_2_Tbl[[#All],['# POINTS EARNED]])+   SUMIF(May_Period_2_Tbl[[#All],[STAFF:]],$A51,May_Period_2_Tbl[[#All],['# POINTS EARNED]])+   SUMIF(Jun_Period_2_Tbl[[#All],[STAFF:]],$A51,Jun_Period_2_Tbl[[#All],['# POINTS EARNED]])+  SUMIF(Jul_Period_2_Tbl[[#All],[STAFF:]],$A51,Jul_Period_2_Tbl[[#All],['# POINTS EARNED]])+  SUMIF(Aug_Period_2_Tbl[[#All],[STAFF:]],$A51,Aug_Period_2_Tbl[[#All],['# POINTS EARNED]])+  SUMIF(Sep_Period_2_Tbl[[#All],[STAFF:]],$A51,Sep_Period_2_Tbl[[#All],['# POINTS EARNED]])+  SUMIF(Oct_Period_2_Tbl[[#All],[STAFF:]],$A51,Oct_Period_2_Tbl[[#All],['# POINTS EARNED]])+     SUMIF(Nov_Period_2_Tbl[[#All],[STAFF:]],$A51,Nov_Period_2_Tbl[[#All],['# POINTS EARNED]])+  SUMIF(Dec_Period_2_Tbl[[#All],[STAFF:]],$A51,Dec_Period_2_Tbl[[#All],['# POINTS EARNED]]))</f>
        <v>0</v>
      </c>
      <c r="S51" s="153">
        <f>(SUMIF(Jan_Period_1_Tbl[[#All],[STAFF:]],$A51,Jan_Period_1_Tbl[[#All],['# POINTS USED]])+
SUMIF(Feb_Period_1_Tbl[[#All],[STAFF:]],$A51,Feb_Period_1_Tbl[[#All],['# POINTS USED]])+SUMIF(Mar_Period_1_Tbl[[#All],[STAFF:]],$A51,Mar_Period_1_Tbl[[#All],['# POINTS USED]])+SUMIF(Apr_Period_1_Tbl[[#All],[STAFF:]],$A51,Apr_Period_1_Tbl[[#All],['# POINTS USED]])+   SUMIF(May_Period_1_Tbl[[#All],[STAFF:]],$A51,May_Period_1_Tbl[[#All],['# POINTS USED]])+   SUMIF(Jun_Period_1_Tbl[[#All],[STAFF:]],$A51,Jun_Period_1_Tbl[[#All],['# POINTS USED]])+  SUMIF(Jul_Period_1_Tbl[[#All],[STAFF:]],$A51,Jul_Period_1_Tbl[[#All],['# POINTS USED]])+  SUMIF(Aug_Period_1_Tbl[[#All],[STAFF:]],$A51,Aug_Period_1_Tbl[[#All],['# POINTS USED]])+  SUMIF(Sep_Period_1_Tbl[[#All],[STAFF:]],$A51,Sep_Period_1_Tbl[[#All],['# POINTS USED]])+  SUMIF(Oct_Period_1_Tbl[[#All],[STAFF:]],$A51,Oct_Period_1_Tbl[[#All],['# POINTS USED]])+     SUMIF(Nov_Period_1_Tbl[[#All],[STAFF:]],$A51,Nov_Period_1_Tbl[[#All],['# POINTS USED]])+  SUMIF(Dec_Period_1_Tbl[[#All],[STAFF:]],$A51,Dec_Period_1_Tbl[[#All],['# POINTS USED]]))+   (SUMIF(Jan_Period_2_Tbl[[#All],[STAFF:]],$A51,Jan_Period_2_Tbl[[#All],['# POINTS USED]])+
SUMIF(Feb_Period_2_Tbl[[#All],[STAFF:]],$A51,Feb_Period_2_Tbl[[#All],['# POINTS USED]])+SUMIF(Mar_Period_2_Tbl[[#All],[STAFF:]],$A51,Mar_Period_2_Tbl[[#All],['# POINTS USED]])+SUMIF(Apr_Period_2_Tbl[[#All],[STAFF:]],$A51,Apr_Period_2_Tbl[[#All],['# POINTS USED]])+   SUMIF(May_Period_2_Tbl[[#All],[STAFF:]],$A51,May_Period_2_Tbl[[#All],['# POINTS USED]])+   SUMIF(Jun_Period_2_Tbl[[#All],[STAFF:]],$A51,Jun_Period_2_Tbl[[#All],['# POINTS USED]])+  SUMIF(Jul_Period_2_Tbl[[#All],[STAFF:]],$A51,Jul_Period_2_Tbl[[#All],['# POINTS USED]])+  SUMIF(Aug_Period_2_Tbl[[#All],[STAFF:]],$A51,Aug_Period_2_Tbl[[#All],['# POINTS USED]])+  SUMIF(Sep_Period_2_Tbl[[#All],[STAFF:]],$A51,Sep_Period_2_Tbl[[#All],['# POINTS USED]])+  SUMIF(Oct_Period_2_Tbl[[#All],[STAFF:]],$A51,Oct_Period_2_Tbl[[#All],['# POINTS USED]])+     SUMIF(Nov_Period_2_Tbl[[#All],[STAFF:]],$A51,Nov_Period_2_Tbl[[#All],['# POINTS USED]])+  SUMIF(Dec_Period_2_Tbl[[#All],[STAFF:]],$A51,Dec_Period_2_Tbl[[#All],['# POINTS USED]]))</f>
        <v>0</v>
      </c>
      <c r="T51" s="153">
        <f>(SUMIF(Jan_Period_1_Tbl[[#All],[STAFF:]],$A51,Jan_Period_1_Tbl[[#All],['# CLASSES LEAD]])+
SUMIF(Feb_Period_1_Tbl[[#All],[STAFF:]],$A51,Feb_Period_1_Tbl[[#All],['# CLASSES LEAD]])+SUMIF(Mar_Period_1_Tbl[[#All],[STAFF:]],$A51,Mar_Period_1_Tbl[[#All],['# CLASSES LEAD]])+SUMIF(Apr_Period_1_Tbl[[#All],[STAFF:]],$A51,Apr_Period_1_Tbl[[#All],['# CLASSES LEAD]])+   SUMIF(May_Period_1_Tbl[[#All],[STAFF:]],$A51,May_Period_1_Tbl[[#All],['# CLASSES LEAD]])+   SUMIF(Jun_Period_1_Tbl[[#All],[STAFF:]],$A51,Jun_Period_1_Tbl[[#All],['# CLASSES LEAD]])+  SUMIF(Jul_Period_1_Tbl[[#All],[STAFF:]],$A51,Jul_Period_1_Tbl[[#All],['# CLASSES LEAD]])+  SUMIF(Aug_Period_1_Tbl[[#All],[STAFF:]],$A51,Aug_Period_1_Tbl[[#All],['# CLASSES LEAD]])+  SUMIF(Sep_Period_1_Tbl[[#All],[STAFF:]],$A51,Sep_Period_1_Tbl[[#All],['# CLASSES LEAD]])+  SUMIF(Oct_Period_1_Tbl[[#All],[STAFF:]],$A51,Oct_Period_1_Tbl[[#All],['# CLASSES LEAD]])+     SUMIF(Nov_Period_1_Tbl[[#All],[STAFF:]],$A51,Nov_Period_1_Tbl[[#All],['# CLASSES LEAD]])+  SUMIF(Dec_Period_1_Tbl[[#All],[STAFF:]],$A51,Dec_Period_1_Tbl[[#All],['# CLASSES LEAD]]))+   (SUMIF(Jan_Period_2_Tbl[[#All],[STAFF:]],$A51,Jan_Period_2_Tbl[[#All],['# CLASSES LEAD]])+
SUMIF(Feb_Period_2_Tbl[[#All],[STAFF:]],$A51,Feb_Period_2_Tbl[[#All],['# CLASSES LEAD]])+SUMIF(Mar_Period_2_Tbl[[#All],[STAFF:]],$A51,Mar_Period_2_Tbl[[#All],['# CLASSES LEAD]])+SUMIF(Apr_Period_2_Tbl[[#All],[STAFF:]],$A51,Apr_Period_2_Tbl[[#All],['# CLASSES LEAD]])+   SUMIF(May_Period_2_Tbl[[#All],[STAFF:]],$A51,May_Period_2_Tbl[[#All],['# CLASSES LEAD]])+   SUMIF(Jun_Period_2_Tbl[[#All],[STAFF:]],$A51,Jun_Period_2_Tbl[[#All],['# CLASSES LEAD]])+  SUMIF(Jul_Period_2_Tbl[[#All],[STAFF:]],$A51,Jul_Period_2_Tbl[[#All],['# CLASSES LEAD]])+  SUMIF(Aug_Period_2_Tbl[[#All],[STAFF:]],$A51,Aug_Period_2_Tbl[[#All],['# CLASSES LEAD]])+  SUMIF(Sep_Period_2_Tbl[[#All],[STAFF:]],$A51,Sep_Period_2_Tbl[[#All],['# CLASSES LEAD]])+  SUMIF(Oct_Period_2_Tbl[[#All],[STAFF:]],$A51,Oct_Period_2_Tbl[[#All],['# CLASSES LEAD]])+     SUMIF(Nov_Period_2_Tbl[[#All],[STAFF:]],$A51,Nov_Period_2_Tbl[[#All],['# CLASSES LEAD]])+  SUMIF(Dec_Period_2_Tbl[[#All],[STAFF:]],$A51,Dec_Period_2_Tbl[[#All],['# CLASSES LEAD]]))</f>
        <v>0</v>
      </c>
      <c r="U51" s="153">
        <f>(SUMIF(Jan_Period_1_Tbl[[#All],[STAFF:]],$A51,Jan_Period_1_Tbl[[#All],['# CLASSES SHOW]])+
SUMIF(Feb_Period_1_Tbl[[#All],[STAFF:]],$A51,Feb_Period_1_Tbl[[#All],['# CLASSES SHOW]])+SUMIF(Mar_Period_1_Tbl[[#All],[STAFF:]],$A51,Mar_Period_1_Tbl[[#All],['# CLASSES SHOW]])+SUMIF(Apr_Period_1_Tbl[[#All],[STAFF:]],$A51,Apr_Period_1_Tbl[[#All],['# CLASSES SHOW]])+   SUMIF(May_Period_1_Tbl[[#All],[STAFF:]],$A51,May_Period_1_Tbl[[#All],['# CLASSES SHOW]])+   SUMIF(Jun_Period_1_Tbl[[#All],[STAFF:]],$A51,Jun_Period_1_Tbl[[#All],['# CLASSES SHOW]])+  SUMIF(Jul_Period_1_Tbl[[#All],[STAFF:]],$A51,Jul_Period_1_Tbl[[#All],['# CLASSES SHOW]])+  SUMIF(Aug_Period_1_Tbl[[#All],[STAFF:]],$A51,Aug_Period_1_Tbl[[#All],['# CLASSES SHOW]])+  SUMIF(Sep_Period_1_Tbl[[#All],[STAFF:]],$A51,Sep_Period_1_Tbl[[#All],['# CLASSES SHOW]])+  SUMIF(Oct_Period_1_Tbl[[#All],[STAFF:]],$A51,Oct_Period_1_Tbl[[#All],['# CLASSES SHOW]])+     SUMIF(Nov_Period_1_Tbl[[#All],[STAFF:]],$A51,Nov_Period_1_Tbl[[#All],['# CLASSES SHOW]])+  SUMIF(Dec_Period_1_Tbl[[#All],[STAFF:]],$A51,Dec_Period_1_Tbl[[#All],['# CLASSES SHOW]]))+   (SUMIF(Jan_Period_2_Tbl[[#All],[STAFF:]],$A51,Jan_Period_2_Tbl[[#All],['# CLASSES SHOW]])+
SUMIF(Feb_Period_2_Tbl[[#All],[STAFF:]],$A51,Feb_Period_2_Tbl[[#All],['# CLASSES SHOW]])+SUMIF(Mar_Period_2_Tbl[[#All],[STAFF:]],$A51,Mar_Period_2_Tbl[[#All],['# CLASSES SHOW]])+SUMIF(Apr_Period_2_Tbl[[#All],[STAFF:]],$A51,Apr_Period_2_Tbl[[#All],['# CLASSES SHOW]])+   SUMIF(May_Period_2_Tbl[[#All],[STAFF:]],$A51,May_Period_2_Tbl[[#All],['# CLASSES SHOW]])+   SUMIF(Jun_Period_2_Tbl[[#All],[STAFF:]],$A51,Jun_Period_2_Tbl[[#All],['# CLASSES SHOW]])+  SUMIF(Jul_Period_2_Tbl[[#All],[STAFF:]],$A51,Jul_Period_2_Tbl[[#All],['# CLASSES SHOW]])+  SUMIF(Aug_Period_2_Tbl[[#All],[STAFF:]],$A51,Aug_Period_2_Tbl[[#All],['# CLASSES SHOW]])+  SUMIF(Sep_Period_2_Tbl[[#All],[STAFF:]],$A51,Sep_Period_2_Tbl[[#All],['# CLASSES SHOW]])+  SUMIF(Oct_Period_2_Tbl[[#All],[STAFF:]],$A51,Oct_Period_2_Tbl[[#All],['# CLASSES SHOW]])+     SUMIF(Nov_Period_2_Tbl[[#All],[STAFF:]],$A51,Nov_Period_2_Tbl[[#All],['# CLASSES SHOW]])+  SUMIF(Dec_Period_2_Tbl[[#All],[STAFF:]],$A51,Dec_Period_2_Tbl[[#All],['# CLASSES SHOW]]))</f>
        <v>0</v>
      </c>
      <c r="V51" s="156"/>
      <c r="W51" s="156"/>
      <c r="X51" s="155">
        <f t="shared" si="10"/>
        <v>0</v>
      </c>
      <c r="Y51" s="155">
        <f t="shared" si="11"/>
        <v>0</v>
      </c>
      <c r="Z51" s="155">
        <f t="shared" si="12"/>
        <v>0</v>
      </c>
      <c r="AA51" s="155">
        <f t="shared" si="13"/>
        <v>0</v>
      </c>
      <c r="AB51" s="155">
        <f t="shared" si="14"/>
        <v>0</v>
      </c>
      <c r="AC51" s="155">
        <f t="shared" si="15"/>
        <v>0</v>
      </c>
      <c r="AD51" s="155">
        <f t="shared" si="16"/>
        <v>0</v>
      </c>
      <c r="AE51" s="149"/>
      <c r="AF51" s="149"/>
      <c r="AG51" s="149"/>
      <c r="AH51" s="149"/>
      <c r="AJ51" s="75" t="str">
        <f t="shared" si="17"/>
        <v>zBlank</v>
      </c>
      <c r="AK51" s="210"/>
      <c r="AL51" s="168">
        <f>IFERROR(VLOOKUP(B51,List!$A:$B,2,FALSE),-1)</f>
        <v>-1</v>
      </c>
      <c r="AM51" s="168">
        <f>IFERROR(VLOOKUP(C51,List!$A:$B,2,FALSE),-1)</f>
        <v>-1</v>
      </c>
    </row>
    <row r="52" spans="1:39" ht="15" hidden="1" customHeight="1" x14ac:dyDescent="0.25">
      <c r="A52" s="20"/>
      <c r="B52" s="186"/>
      <c r="C52" s="186"/>
      <c r="D52" s="187"/>
      <c r="E52" s="188">
        <f>(SUMIF(Jan_Period_1_Tbl[[#All],[STAFF:]],$A52,Jan_Period_1_Tbl[[#All],['# PTO USED]])+
SUMIF(Feb_Period_1_Tbl[[#All],[STAFF:]],$A52,Feb_Period_1_Tbl[[#All],['# PTO USED]])+SUMIF(Mar_Period_1_Tbl[[#All],[STAFF:]],$A52,Mar_Period_1_Tbl[[#All],['# PTO USED]])+SUMIF(Apr_Period_1_Tbl[[#All],[STAFF:]],$A52,Apr_Period_1_Tbl[[#All],['# PTO USED]])+   SUMIF(May_Period_1_Tbl[[#All],[STAFF:]],$A52,May_Period_1_Tbl[[#All],['# PTO USED]])+   SUMIF(Jun_Period_1_Tbl[[#All],[STAFF:]],$A52,Jun_Period_1_Tbl[[#All],['# PTO USED]])+  SUMIF(Jul_Period_1_Tbl[[#All],[STAFF:]],$A52,Jul_Period_1_Tbl[[#All],['# PTO USED]])+  SUMIF(Aug_Period_1_Tbl[[#All],[STAFF:]],$A52,Aug_Period_1_Tbl[[#All],['# PTO USED]])+  SUMIF(Sep_Period_1_Tbl[[#All],[STAFF:]],$A52,Sep_Period_1_Tbl[[#All],['# PTO USED]])+  SUMIF(Oct_Period_1_Tbl[[#All],[STAFF:]],$A52,Oct_Period_1_Tbl[[#All],['# PTO USED]])+     SUMIF(Nov_Period_1_Tbl[[#All],[STAFF:]],$A52,Nov_Period_1_Tbl[[#All],['# PTO USED]])+  SUMIF(Dec_Period_1_Tbl[[#All],[STAFF:]],$A52,Dec_Period_1_Tbl[[#All],['# PTO USED]]))+   (SUMIF(Jan_Period_2_Tbl[[#All],[STAFF:]],$A52,Jan_Period_2_Tbl[[#All],['# PTO USED]])+
SUMIF(Feb_Period_2_Tbl[[#All],[STAFF:]],$A52,Feb_Period_2_Tbl[[#All],['# PTO USED]])+SUMIF(Mar_Period_2_Tbl[[#All],[STAFF:]],$A52,Mar_Period_2_Tbl[[#All],['# PTO USED]])+SUMIF(Apr_Period_2_Tbl[[#All],[STAFF:]],$A52,Apr_Period_2_Tbl[[#All],['# PTO USED]])+   SUMIF(May_Period_2_Tbl[[#All],[STAFF:]],$A52,May_Period_2_Tbl[[#All],['# PTO USED]])+   SUMIF(Jun_Period_2_Tbl[[#All],[STAFF:]],$A52,Jun_Period_2_Tbl[[#All],['# PTO USED]])+  SUMIF(Jul_Period_2_Tbl[[#All],[STAFF:]],$A52,Jul_Period_2_Tbl[[#All],['# PTO USED]])+  SUMIF(Aug_Period_2_Tbl[[#All],[STAFF:]],$A52,Aug_Period_2_Tbl[[#All],['# PTO USED]])+  SUMIF(Sep_Period_2_Tbl[[#All],[STAFF:]],$A52,Sep_Period_2_Tbl[[#All],['# PTO USED]])+  SUMIF(Oct_Period_2_Tbl[[#All],[STAFF:]],$A52,Oct_Period_2_Tbl[[#All],['# PTO USED]])+     SUMIF(Nov_Period_2_Tbl[[#All],[STAFF:]],$A52,Nov_Period_2_Tbl[[#All],['# PTO USED]])+  SUMIF(Dec_Period_2_Tbl[[#All],[STAFF:]],$A52,Dec_Period_2_Tbl[[#All],['# PTO USED]]))</f>
        <v>0</v>
      </c>
      <c r="F52" s="189">
        <f>(SUMIF(Jan_Period_1_Tbl[[#All],[STAFF:]],$A52,Jan_Period_1_Tbl[[#All],['# HRS WORKED]])+
SUMIF(Feb_Period_1_Tbl[[#All],[STAFF:]],$A52,Feb_Period_1_Tbl[[#All],['# HRS WORKED]])+SUMIF(Mar_Period_1_Tbl[[#All],[STAFF:]],$A52,Mar_Period_1_Tbl[[#All],['# HRS WORKED]])+SUMIF(Apr_Period_1_Tbl[[#All],[STAFF:]],$A52,Apr_Period_1_Tbl[[#All],['# HRS WORKED]])+   SUMIF(May_Period_1_Tbl[[#All],[STAFF:]],$A52,May_Period_1_Tbl[[#All],['# HRS WORKED]])+   SUMIF(Jun_Period_1_Tbl[[#All],[STAFF:]],$A52,Jun_Period_1_Tbl[[#All],['# HRS WORKED]])+  SUMIF(Jul_Period_1_Tbl[[#All],[STAFF:]],$A52,Jul_Period_1_Tbl[[#All],['# HRS WORKED]])+  SUMIF(Aug_Period_1_Tbl[[#All],[STAFF:]],$A52,Aug_Period_1_Tbl[[#All],['# HRS WORKED]])+  SUMIF(Sep_Period_1_Tbl[[#All],[STAFF:]],$A52,Sep_Period_1_Tbl[[#All],['# HRS WORKED]])+  SUMIF(Oct_Period_1_Tbl[[#All],[STAFF:]],$A52,Oct_Period_1_Tbl[[#All],['# HRS WORKED]])+     SUMIF(Nov_Period_1_Tbl[[#All],[STAFF:]],$A52,Nov_Period_1_Tbl[[#All],['# HRS WORKED]])+  SUMIF(Dec_Period_1_Tbl[[#All],[STAFF:]],$A52,Dec_Period_1_Tbl[[#All],['# HRS WORKED]]))+   (SUMIF(Jan_Period_2_Tbl[[#All],[STAFF:]],$A52,Jan_Period_2_Tbl[[#All],['# HRS WORKED]])+
SUMIF(Feb_Period_2_Tbl[[#All],[STAFF:]],$A52,Feb_Period_2_Tbl[[#All],['# HRS WORKED]])+SUMIF(Mar_Period_2_Tbl[[#All],[STAFF:]],$A52,Mar_Period_2_Tbl[[#All],['# HRS WORKED]])+SUMIF(Apr_Period_2_Tbl[[#All],[STAFF:]],$A52,Apr_Period_2_Tbl[[#All],['# HRS WORKED]])+   SUMIF(May_Period_2_Tbl[[#All],[STAFF:]],$A52,May_Period_2_Tbl[[#All],['# HRS WORKED]])+   SUMIF(Jun_Period_2_Tbl[[#All],[STAFF:]],$A52,Jun_Period_2_Tbl[[#All],['# HRS WORKED]])+  SUMIF(Jul_Period_2_Tbl[[#All],[STAFF:]],$A52,Jul_Period_2_Tbl[[#All],['# HRS WORKED]])+  SUMIF(Aug_Period_2_Tbl[[#All],[STAFF:]],$A52,Aug_Period_2_Tbl[[#All],['# HRS WORKED]])+  SUMIF(Sep_Period_2_Tbl[[#All],[STAFF:]],$A52,Sep_Period_2_Tbl[[#All],['# HRS WORKED]])+  SUMIF(Oct_Period_2_Tbl[[#All],[STAFF:]],$A52,Oct_Period_2_Tbl[[#All],['# HRS WORKED]])+     SUMIF(Nov_Period_2_Tbl[[#All],[STAFF:]],$A52,Nov_Period_2_Tbl[[#All],['# HRS WORKED]])+  SUMIF(Dec_Period_2_Tbl[[#All],[STAFF:]],$A52,Dec_Period_2_Tbl[[#All],['# HRS WORKED]]))</f>
        <v>0</v>
      </c>
      <c r="G52" s="190">
        <f>(SUMIF(Jan_Period_1_Tbl[[#All],[STAFF:]],$A52,Jan_Period_1_Tbl[[#All],[$ Hourly WAGES]])+
SUMIF(Feb_Period_1_Tbl[[#All],[STAFF:]],$A52,Feb_Period_1_Tbl[[#All],[$ Hourly WAGES]])+SUMIF(Mar_Period_1_Tbl[[#All],[STAFF:]],$A52,Mar_Period_1_Tbl[[#All],[$ Hourly WAGES]])+SUMIF(Apr_Period_1_Tbl[[#All],[STAFF:]],$A52,Apr_Period_1_Tbl[[#All],[$ Hourly WAGES]])+   SUMIF(May_Period_1_Tbl[[#All],[STAFF:]],$A52,May_Period_1_Tbl[[#All],[$ Hourly WAGES]])+   SUMIF(Jun_Period_1_Tbl[[#All],[STAFF:]],$A52,Jun_Period_1_Tbl[[#All],[$ Hourly WAGES]])+  SUMIF(Jul_Period_1_Tbl[[#All],[STAFF:]],$A52,Jul_Period_1_Tbl[[#All],[$ Hourly WAGES]])+  SUMIF(Aug_Period_1_Tbl[[#All],[STAFF:]],$A52,Aug_Period_1_Tbl[[#All],[$ Hourly WAGES]])+  SUMIF(Sep_Period_1_Tbl[[#All],[STAFF:]],$A52,Sep_Period_1_Tbl[[#All],[$ Hourly WAGES]])+  SUMIF(Oct_Period_1_Tbl[[#All],[STAFF:]],$A52,Oct_Period_1_Tbl[[#All],[$ Hourly WAGES]])+     SUMIF(Nov_Period_1_Tbl[[#All],[STAFF:]],$A52,Nov_Period_1_Tbl[[#All],[$ Hourly WAGES]])+  SUMIF(Dec_Period_1_Tbl[[#All],[STAFF:]],$A52,Dec_Period_1_Tbl[[#All],[$ Hourly WAGES]]))+   (SUMIF(Jan_Period_2_Tbl[[#All],[STAFF:]],$A52,Jan_Period_2_Tbl[[#All],[$ Hourly WAGES]])+
SUMIF(Feb_Period_2_Tbl[[#All],[STAFF:]],$A52,Feb_Period_2_Tbl[[#All],[$ Hourly WAGES]])+SUMIF(Mar_Period_2_Tbl[[#All],[STAFF:]],$A52,Mar_Period_2_Tbl[[#All],[$ Hourly WAGES]])+SUMIF(Apr_Period_2_Tbl[[#All],[STAFF:]],$A52,Apr_Period_2_Tbl[[#All],[$ Hourly WAGES]])+   SUMIF(May_Period_2_Tbl[[#All],[STAFF:]],$A52,May_Period_2_Tbl[[#All],[$ Hourly WAGES]])+   SUMIF(Jun_Period_2_Tbl[[#All],[STAFF:]],$A52,Jun_Period_2_Tbl[[#All],[$ Hourly WAGES]])+  SUMIF(Jul_Period_2_Tbl[[#All],[STAFF:]],$A52,Jul_Period_2_Tbl[[#All],[$ Hourly WAGES]])+  SUMIF(Aug_Period_2_Tbl[[#All],[STAFF:]],$A52,Aug_Period_2_Tbl[[#All],[$ Hourly WAGES]])+  SUMIF(Sep_Period_2_Tbl[[#All],[STAFF:]],$A52,Sep_Period_2_Tbl[[#All],[$ Hourly WAGES]])+  SUMIF(Oct_Period_2_Tbl[[#All],[STAFF:]],$A52,Oct_Period_2_Tbl[[#All],[$ Hourly WAGES]])+     SUMIF(Nov_Period_2_Tbl[[#All],[STAFF:]],$A52,Nov_Period_2_Tbl[[#All],[$ Hourly WAGES]])+  SUMIF(Dec_Period_2_Tbl[[#All],[STAFF:]],$A52,Dec_Period_2_Tbl[[#All],[$ Hourly WAGES]]))</f>
        <v>0</v>
      </c>
      <c r="H52" s="190">
        <f>(SUMIF(Jan_Period_1_Tbl[[#All],[STAFF:]],$A52,Jan_Period_1_Tbl[[#All],[$ SALARY]])+
SUMIF(Feb_Period_1_Tbl[[#All],[STAFF:]],$A52,Feb_Period_1_Tbl[[#All],[$ SALARY]])+SUMIF(Mar_Period_1_Tbl[[#All],[STAFF:]],$A52,Mar_Period_1_Tbl[[#All],[$ SALARY]])+SUMIF(Apr_Period_1_Tbl[[#All],[STAFF:]],$A52,Apr_Period_1_Tbl[[#All],[$ SALARY]])+   SUMIF(May_Period_1_Tbl[[#All],[STAFF:]],$A52,May_Period_1_Tbl[[#All],[$ SALARY]])+   SUMIF(Jun_Period_1_Tbl[[#All],[STAFF:]],$A52,Jun_Period_1_Tbl[[#All],[$ SALARY]])+  SUMIF(Jul_Period_1_Tbl[[#All],[STAFF:]],$A52,Jul_Period_1_Tbl[[#All],[$ SALARY]])+  SUMIF(Aug_Period_1_Tbl[[#All],[STAFF:]],$A52,Aug_Period_1_Tbl[[#All],[$ SALARY]])+  SUMIF(Sep_Period_1_Tbl[[#All],[STAFF:]],$A52,Sep_Period_1_Tbl[[#All],[$ SALARY]])+  SUMIF(Oct_Period_1_Tbl[[#All],[STAFF:]],$A52,Oct_Period_1_Tbl[[#All],[$ SALARY]])+     SUMIF(Nov_Period_1_Tbl[[#All],[STAFF:]],$A52,Nov_Period_1_Tbl[[#All],[$ SALARY]])+  SUMIF(Dec_Period_1_Tbl[[#All],[STAFF:]],$A52,Dec_Period_1_Tbl[[#All],[$ SALARY]]))+   (SUMIF(Jan_Period_2_Tbl[[#All],[STAFF:]],$A52,Jan_Period_2_Tbl[[#All],[$ SALARY]])+
SUMIF(Feb_Period_2_Tbl[[#All],[STAFF:]],$A52,Feb_Period_2_Tbl[[#All],[$ SALARY]])+SUMIF(Mar_Period_2_Tbl[[#All],[STAFF:]],$A52,Mar_Period_2_Tbl[[#All],[$ SALARY]])+SUMIF(Apr_Period_2_Tbl[[#All],[STAFF:]],$A52,Apr_Period_2_Tbl[[#All],[$ SALARY]])+   SUMIF(May_Period_2_Tbl[[#All],[STAFF:]],$A52,May_Period_2_Tbl[[#All],[$ SALARY]])+   SUMIF(Jun_Period_2_Tbl[[#All],[STAFF:]],$A52,Jun_Period_2_Tbl[[#All],[$ SALARY]])+  SUMIF(Jul_Period_2_Tbl[[#All],[STAFF:]],$A52,Jul_Period_2_Tbl[[#All],[$ SALARY]])+  SUMIF(Aug_Period_2_Tbl[[#All],[STAFF:]],$A52,Aug_Period_2_Tbl[[#All],[$ SALARY]])+  SUMIF(Sep_Period_2_Tbl[[#All],[STAFF:]],$A52,Sep_Period_2_Tbl[[#All],[$ SALARY]])+  SUMIF(Oct_Period_2_Tbl[[#All],[STAFF:]],$A52,Oct_Period_2_Tbl[[#All],[$ SALARY]])+     SUMIF(Nov_Period_2_Tbl[[#All],[STAFF:]],$A52,Nov_Period_2_Tbl[[#All],[$ SALARY]])+  SUMIF(Dec_Period_2_Tbl[[#All],[STAFF:]],$A52,Dec_Period_2_Tbl[[#All],[$ SALARY]]))</f>
        <v>0</v>
      </c>
      <c r="I52" s="190">
        <f>(SUMIF(Jan_Period_1_Tbl[[#All],[STAFF:]],$A52,Jan_Period_1_Tbl[[#All],[$ SALARY PT]])+
SUMIF(Feb_Period_1_Tbl[[#All],[STAFF:]],$A52,Feb_Period_1_Tbl[[#All],[$ SALARY PT]])+SUMIF(Mar_Period_1_Tbl[[#All],[STAFF:]],$A52,Mar_Period_1_Tbl[[#All],[$ SALARY PT]])+SUMIF(Apr_Period_1_Tbl[[#All],[STAFF:]],$A52,Apr_Period_1_Tbl[[#All],[$ SALARY PT]])+   SUMIF(May_Period_1_Tbl[[#All],[STAFF:]],$A52,May_Period_1_Tbl[[#All],[$ SALARY PT]])+   SUMIF(Jun_Period_1_Tbl[[#All],[STAFF:]],$A52,Jun_Period_1_Tbl[[#All],[$ SALARY PT]])+  SUMIF(Jul_Period_1_Tbl[[#All],[STAFF:]],$A52,Jul_Period_1_Tbl[[#All],[$ SALARY PT]])+  SUMIF(Aug_Period_1_Tbl[[#All],[STAFF:]],$A52,Aug_Period_1_Tbl[[#All],[$ SALARY PT]])+  SUMIF(Sep_Period_1_Tbl[[#All],[STAFF:]],$A52,Sep_Period_1_Tbl[[#All],[$ SALARY PT]])+  SUMIF(Oct_Period_1_Tbl[[#All],[STAFF:]],$A52,Oct_Period_1_Tbl[[#All],[$ SALARY PT]])+     SUMIF(Nov_Period_1_Tbl[[#All],[STAFF:]],$A52,Nov_Period_1_Tbl[[#All],[$ SALARY PT]])+  SUMIF(Dec_Period_1_Tbl[[#All],[STAFF:]],$A52,Dec_Period_1_Tbl[[#All],[$ SALARY PT]]))+   (SUMIF(Jan_Period_2_Tbl[[#All],[STAFF:]],$A52,Jan_Period_2_Tbl[[#All],[$ SALARY PT]])+
SUMIF(Feb_Period_2_Tbl[[#All],[STAFF:]],$A52,Feb_Period_2_Tbl[[#All],[$ SALARY PT]])+SUMIF(Mar_Period_2_Tbl[[#All],[STAFF:]],$A52,Mar_Period_2_Tbl[[#All],[$ SALARY PT]])+SUMIF(Apr_Period_2_Tbl[[#All],[STAFF:]],$A52,Apr_Period_2_Tbl[[#All],[$ SALARY PT]])+   SUMIF(May_Period_2_Tbl[[#All],[STAFF:]],$A52,May_Period_2_Tbl[[#All],[$ SALARY PT]])+   SUMIF(Jun_Period_2_Tbl[[#All],[STAFF:]],$A52,Jun_Period_2_Tbl[[#All],[$ SALARY PT]])+  SUMIF(Jul_Period_2_Tbl[[#All],[STAFF:]],$A52,Jul_Period_2_Tbl[[#All],[$ SALARY PT]])+  SUMIF(Aug_Period_2_Tbl[[#All],[STAFF:]],$A52,Aug_Period_2_Tbl[[#All],[$ SALARY PT]])+  SUMIF(Sep_Period_2_Tbl[[#All],[STAFF:]],$A52,Sep_Period_2_Tbl[[#All],[$ SALARY PT]])+  SUMIF(Oct_Period_2_Tbl[[#All],[STAFF:]],$A52,Oct_Period_2_Tbl[[#All],[$ SALARY PT]])+     SUMIF(Nov_Period_2_Tbl[[#All],[STAFF:]],$A52,Nov_Period_2_Tbl[[#All],[$ SALARY PT]])+  SUMIF(Dec_Period_2_Tbl[[#All],[STAFF:]],$A52,Dec_Period_2_Tbl[[#All],[$ SALARY PT]]))</f>
        <v>0</v>
      </c>
      <c r="J52" s="190">
        <f>(SUMIF(Jan_Period_1_Tbl[[#All],[STAFF:]],$A52,Jan_Period_1_Tbl[[#All],[$ FREE PT]])+
SUMIF(Feb_Period_1_Tbl[[#All],[STAFF:]],$A52,Feb_Period_1_Tbl[[#All],[$ FREE PT]])+SUMIF(Mar_Period_1_Tbl[[#All],[STAFF:]],$A52,Mar_Period_1_Tbl[[#All],[$ FREE PT]])+SUMIF(Apr_Period_1_Tbl[[#All],[STAFF:]],$A52,Apr_Period_1_Tbl[[#All],[$ FREE PT]])+   SUMIF(May_Period_1_Tbl[[#All],[STAFF:]],$A52,May_Period_1_Tbl[[#All],[$ FREE PT]])+   SUMIF(Jun_Period_1_Tbl[[#All],[STAFF:]],$A52,Jun_Period_1_Tbl[[#All],[$ FREE PT]])+  SUMIF(Jul_Period_1_Tbl[[#All],[STAFF:]],$A52,Jul_Period_1_Tbl[[#All],[$ FREE PT]])+  SUMIF(Aug_Period_1_Tbl[[#All],[STAFF:]],$A52,Aug_Period_1_Tbl[[#All],[$ FREE PT]])+  SUMIF(Sep_Period_1_Tbl[[#All],[STAFF:]],$A52,Sep_Period_1_Tbl[[#All],[$ FREE PT]])+  SUMIF(Oct_Period_1_Tbl[[#All],[STAFF:]],$A52,Oct_Period_1_Tbl[[#All],[$ FREE PT]])+     SUMIF(Nov_Period_1_Tbl[[#All],[STAFF:]],$A52,Nov_Period_1_Tbl[[#All],[$ FREE PT]])+  SUMIF(Dec_Period_1_Tbl[[#All],[STAFF:]],$A52,Dec_Period_1_Tbl[[#All],[$ FREE PT]]))+   (SUMIF(Jan_Period_2_Tbl[[#All],[STAFF:]],$A52,Jan_Period_2_Tbl[[#All],[$ FREE PT]])+
SUMIF(Feb_Period_2_Tbl[[#All],[STAFF:]],$A52,Feb_Period_2_Tbl[[#All],[$ FREE PT]])+SUMIF(Mar_Period_2_Tbl[[#All],[STAFF:]],$A52,Mar_Period_2_Tbl[[#All],[$ FREE PT]])+SUMIF(Apr_Period_2_Tbl[[#All],[STAFF:]],$A52,Apr_Period_2_Tbl[[#All],[$ FREE PT]])+   SUMIF(May_Period_2_Tbl[[#All],[STAFF:]],$A52,May_Period_2_Tbl[[#All],[$ FREE PT]])+   SUMIF(Jun_Period_2_Tbl[[#All],[STAFF:]],$A52,Jun_Period_2_Tbl[[#All],[$ FREE PT]])+  SUMIF(Jul_Period_2_Tbl[[#All],[STAFF:]],$A52,Jul_Period_2_Tbl[[#All],[$ FREE PT]])+  SUMIF(Aug_Period_2_Tbl[[#All],[STAFF:]],$A52,Aug_Period_2_Tbl[[#All],[$ FREE PT]])+  SUMIF(Sep_Period_2_Tbl[[#All],[STAFF:]],$A52,Sep_Period_2_Tbl[[#All],[$ FREE PT]])+  SUMIF(Oct_Period_2_Tbl[[#All],[STAFF:]],$A52,Oct_Period_2_Tbl[[#All],[$ FREE PT]])+     SUMIF(Nov_Period_2_Tbl[[#All],[STAFF:]],$A52,Nov_Period_2_Tbl[[#All],[$ FREE PT]])+  SUMIF(Dec_Period_2_Tbl[[#All],[STAFF:]],$A52,Dec_Period_2_Tbl[[#All],[$ FREE PT]]))</f>
        <v>0</v>
      </c>
      <c r="K52" s="190">
        <f>(SUMIF(Jan_Period_1_Tbl[[#All],[STAFF:]],$A52,Jan_Period_1_Tbl[[#All],[$ PAID PT]])+
SUMIF(Feb_Period_1_Tbl[[#All],[STAFF:]],$A52,Feb_Period_1_Tbl[[#All],[$ PAID PT]])+SUMIF(Mar_Period_1_Tbl[[#All],[STAFF:]],$A52,Mar_Period_1_Tbl[[#All],[$ PAID PT]])+SUMIF(Apr_Period_1_Tbl[[#All],[STAFF:]],$A52,Apr_Period_1_Tbl[[#All],[$ PAID PT]])+   SUMIF(May_Period_1_Tbl[[#All],[STAFF:]],$A52,May_Period_1_Tbl[[#All],[$ PAID PT]])+   SUMIF(Jun_Period_1_Tbl[[#All],[STAFF:]],$A52,Jun_Period_1_Tbl[[#All],[$ PAID PT]])+  SUMIF(Jul_Period_1_Tbl[[#All],[STAFF:]],$A52,Jul_Period_1_Tbl[[#All],[$ PAID PT]])+  SUMIF(Aug_Period_1_Tbl[[#All],[STAFF:]],$A52,Aug_Period_1_Tbl[[#All],[$ PAID PT]])+  SUMIF(Sep_Period_1_Tbl[[#All],[STAFF:]],$A52,Sep_Period_1_Tbl[[#All],[$ PAID PT]])+  SUMIF(Oct_Period_1_Tbl[[#All],[STAFF:]],$A52,Oct_Period_1_Tbl[[#All],[$ PAID PT]])+     SUMIF(Nov_Period_1_Tbl[[#All],[STAFF:]],$A52,Nov_Period_1_Tbl[[#All],[$ PAID PT]])+  SUMIF(Dec_Period_1_Tbl[[#All],[STAFF:]],$A52,Dec_Period_1_Tbl[[#All],[$ PAID PT]]))+   (SUMIF(Jan_Period_2_Tbl[[#All],[STAFF:]],$A52,Jan_Period_2_Tbl[[#All],[$ PAID PT]])+
SUMIF(Feb_Period_2_Tbl[[#All],[STAFF:]],$A52,Feb_Period_2_Tbl[[#All],[$ PAID PT]])+SUMIF(Mar_Period_2_Tbl[[#All],[STAFF:]],$A52,Mar_Period_2_Tbl[[#All],[$ PAID PT]])+SUMIF(Apr_Period_2_Tbl[[#All],[STAFF:]],$A52,Apr_Period_2_Tbl[[#All],[$ PAID PT]])+   SUMIF(May_Period_2_Tbl[[#All],[STAFF:]],$A52,May_Period_2_Tbl[[#All],[$ PAID PT]])+   SUMIF(Jun_Period_2_Tbl[[#All],[STAFF:]],$A52,Jun_Period_2_Tbl[[#All],[$ PAID PT]])+  SUMIF(Jul_Period_2_Tbl[[#All],[STAFF:]],$A52,Jul_Period_2_Tbl[[#All],[$ PAID PT]])+  SUMIF(Aug_Period_2_Tbl[[#All],[STAFF:]],$A52,Aug_Period_2_Tbl[[#All],[$ PAID PT]])+  SUMIF(Sep_Period_2_Tbl[[#All],[STAFF:]],$A52,Sep_Period_2_Tbl[[#All],[$ PAID PT]])+  SUMIF(Oct_Period_2_Tbl[[#All],[STAFF:]],$A52,Oct_Period_2_Tbl[[#All],[$ PAID PT]])+     SUMIF(Nov_Period_2_Tbl[[#All],[STAFF:]],$A52,Nov_Period_2_Tbl[[#All],[$ PAID PT]])+  SUMIF(Dec_Period_2_Tbl[[#All],[STAFF:]],$A52,Dec_Period_2_Tbl[[#All],[$ PAID PT]]))</f>
        <v>0</v>
      </c>
      <c r="L52" s="190">
        <f>(SUMIF(Jan_Period_1_Tbl[[#All],[STAFF:]],$A52,Jan_Period_1_Tbl[[#All],[$ PT COMM]])+
SUMIF(Feb_Period_1_Tbl[[#All],[STAFF:]],$A52,Feb_Period_1_Tbl[[#All],[$ PT COMM]])+SUMIF(Mar_Period_1_Tbl[[#All],[STAFF:]],$A52,Mar_Period_1_Tbl[[#All],[$ PT COMM]])+SUMIF(Apr_Period_1_Tbl[[#All],[STAFF:]],$A52,Apr_Period_1_Tbl[[#All],[$ PT COMM]])+   SUMIF(May_Period_1_Tbl[[#All],[STAFF:]],$A52,May_Period_1_Tbl[[#All],[$ PT COMM]])+   SUMIF(Jun_Period_1_Tbl[[#All],[STAFF:]],$A52,Jun_Period_1_Tbl[[#All],[$ PT COMM]])+  SUMIF(Jul_Period_1_Tbl[[#All],[STAFF:]],$A52,Jul_Period_1_Tbl[[#All],[$ PT COMM]])+  SUMIF(Aug_Period_1_Tbl[[#All],[STAFF:]],$A52,Aug_Period_1_Tbl[[#All],[$ PT COMM]])+  SUMIF(Sep_Period_1_Tbl[[#All],[STAFF:]],$A52,Sep_Period_1_Tbl[[#All],[$ PT COMM]])+  SUMIF(Oct_Period_1_Tbl[[#All],[STAFF:]],$A52,Oct_Period_1_Tbl[[#All],[$ PT COMM]])+     SUMIF(Nov_Period_1_Tbl[[#All],[STAFF:]],$A52,Nov_Period_1_Tbl[[#All],[$ PT COMM]])+  SUMIF(Dec_Period_1_Tbl[[#All],[STAFF:]],$A52,Dec_Period_1_Tbl[[#All],[$ PT COMM]]))+   (SUMIF(Jan_Period_2_Tbl[[#All],[STAFF:]],$A52,Jan_Period_2_Tbl[[#All],[$ PT COMM]])+
SUMIF(Feb_Period_2_Tbl[[#All],[STAFF:]],$A52,Feb_Period_2_Tbl[[#All],[$ PT COMM]])+SUMIF(Mar_Period_2_Tbl[[#All],[STAFF:]],$A52,Mar_Period_2_Tbl[[#All],[$ PT COMM]])+SUMIF(Apr_Period_2_Tbl[[#All],[STAFF:]],$A52,Apr_Period_2_Tbl[[#All],[$ PT COMM]])+   SUMIF(May_Period_2_Tbl[[#All],[STAFF:]],$A52,May_Period_2_Tbl[[#All],[$ PT COMM]])+   SUMIF(Jun_Period_2_Tbl[[#All],[STAFF:]],$A52,Jun_Period_2_Tbl[[#All],[$ PT COMM]])+  SUMIF(Jul_Period_2_Tbl[[#All],[STAFF:]],$A52,Jul_Period_2_Tbl[[#All],[$ PT COMM]])+  SUMIF(Aug_Period_2_Tbl[[#All],[STAFF:]],$A52,Aug_Period_2_Tbl[[#All],[$ PT COMM]])+  SUMIF(Sep_Period_2_Tbl[[#All],[STAFF:]],$A52,Sep_Period_2_Tbl[[#All],[$ PT COMM]])+  SUMIF(Oct_Period_2_Tbl[[#All],[STAFF:]],$A52,Oct_Period_2_Tbl[[#All],[$ PT COMM]])+     SUMIF(Nov_Period_2_Tbl[[#All],[STAFF:]],$A52,Nov_Period_2_Tbl[[#All],[$ PT COMM]])+  SUMIF(Dec_Period_2_Tbl[[#All],[STAFF:]],$A52,Dec_Period_2_Tbl[[#All],[$ PT COMM]]))</f>
        <v>0</v>
      </c>
      <c r="M52" s="190">
        <f>(SUMIF(Jan_Period_1_Tbl[[#All],[STAFF:]],$A52,Jan_Period_1_Tbl[[#All],[$ EFT COMM]])+
SUMIF(Feb_Period_1_Tbl[[#All],[STAFF:]],$A52,Feb_Period_1_Tbl[[#All],[$ EFT COMM]])+SUMIF(Mar_Period_1_Tbl[[#All],[STAFF:]],$A52,Mar_Period_1_Tbl[[#All],[$ EFT COMM]])+SUMIF(Apr_Period_1_Tbl[[#All],[STAFF:]],$A52,Apr_Period_1_Tbl[[#All],[$ EFT COMM]])+   SUMIF(May_Period_1_Tbl[[#All],[STAFF:]],$A52,May_Period_1_Tbl[[#All],[$ EFT COMM]])+   SUMIF(Jun_Period_1_Tbl[[#All],[STAFF:]],$A52,Jun_Period_1_Tbl[[#All],[$ EFT COMM]])+  SUMIF(Jul_Period_1_Tbl[[#All],[STAFF:]],$A52,Jul_Period_1_Tbl[[#All],[$ EFT COMM]])+  SUMIF(Aug_Period_1_Tbl[[#All],[STAFF:]],$A52,Aug_Period_1_Tbl[[#All],[$ EFT COMM]])+  SUMIF(Sep_Period_1_Tbl[[#All],[STAFF:]],$A52,Sep_Period_1_Tbl[[#All],[$ EFT COMM]])+  SUMIF(Oct_Period_1_Tbl[[#All],[STAFF:]],$A52,Oct_Period_1_Tbl[[#All],[$ EFT COMM]])+     SUMIF(Nov_Period_1_Tbl[[#All],[STAFF:]],$A52,Nov_Period_1_Tbl[[#All],[$ EFT COMM]])+  SUMIF(Dec_Period_1_Tbl[[#All],[STAFF:]],$A52,Dec_Period_1_Tbl[[#All],[$ EFT COMM]]))+   (SUMIF(Jan_Period_2_Tbl[[#All],[STAFF:]],$A52,Jan_Period_2_Tbl[[#All],[$ EFT COMM]])+
SUMIF(Feb_Period_2_Tbl[[#All],[STAFF:]],$A52,Feb_Period_2_Tbl[[#All],[$ EFT COMM]])+SUMIF(Mar_Period_2_Tbl[[#All],[STAFF:]],$A52,Mar_Period_2_Tbl[[#All],[$ EFT COMM]])+SUMIF(Apr_Period_2_Tbl[[#All],[STAFF:]],$A52,Apr_Period_2_Tbl[[#All],[$ EFT COMM]])+   SUMIF(May_Period_2_Tbl[[#All],[STAFF:]],$A52,May_Period_2_Tbl[[#All],[$ EFT COMM]])+   SUMIF(Jun_Period_2_Tbl[[#All],[STAFF:]],$A52,Jun_Period_2_Tbl[[#All],[$ EFT COMM]])+  SUMIF(Jul_Period_2_Tbl[[#All],[STAFF:]],$A52,Jul_Period_2_Tbl[[#All],[$ EFT COMM]])+  SUMIF(Aug_Period_2_Tbl[[#All],[STAFF:]],$A52,Aug_Period_2_Tbl[[#All],[$ EFT COMM]])+  SUMIF(Sep_Period_2_Tbl[[#All],[STAFF:]],$A52,Sep_Period_2_Tbl[[#All],[$ EFT COMM]])+  SUMIF(Oct_Period_2_Tbl[[#All],[STAFF:]],$A52,Oct_Period_2_Tbl[[#All],[$ EFT COMM]])+     SUMIF(Nov_Period_2_Tbl[[#All],[STAFF:]],$A52,Nov_Period_2_Tbl[[#All],[$ EFT COMM]])+  SUMIF(Dec_Period_2_Tbl[[#All],[STAFF:]],$A52,Dec_Period_2_Tbl[[#All],[$ EFT COMM]]))</f>
        <v>0</v>
      </c>
      <c r="N52" s="190">
        <f>(SUMIF(Jan_Period_1_Tbl[[#All],[STAFF:]],$A52,Jan_Period_1_Tbl[[#All],[$ CLASS PAY]])+
SUMIF(Feb_Period_1_Tbl[[#All],[STAFF:]],$A52,Feb_Period_1_Tbl[[#All],[$ CLASS PAY]])+SUMIF(Mar_Period_1_Tbl[[#All],[STAFF:]],$A52,Mar_Period_1_Tbl[[#All],[$ CLASS PAY]])+SUMIF(Apr_Period_1_Tbl[[#All],[STAFF:]],$A52,Apr_Period_1_Tbl[[#All],[$ CLASS PAY]])+   SUMIF(May_Period_1_Tbl[[#All],[STAFF:]],$A52,May_Period_1_Tbl[[#All],[$ CLASS PAY]])+   SUMIF(Jun_Period_1_Tbl[[#All],[STAFF:]],$A52,Jun_Period_1_Tbl[[#All],[$ CLASS PAY]])+  SUMIF(Jul_Period_1_Tbl[[#All],[STAFF:]],$A52,Jul_Period_1_Tbl[[#All],[$ CLASS PAY]])+  SUMIF(Aug_Period_1_Tbl[[#All],[STAFF:]],$A52,Aug_Period_1_Tbl[[#All],[$ CLASS PAY]])+  SUMIF(Sep_Period_1_Tbl[[#All],[STAFF:]],$A52,Sep_Period_1_Tbl[[#All],[$ CLASS PAY]])+  SUMIF(Oct_Period_1_Tbl[[#All],[STAFF:]],$A52,Oct_Period_1_Tbl[[#All],[$ CLASS PAY]])+     SUMIF(Nov_Period_1_Tbl[[#All],[STAFF:]],$A52,Nov_Period_1_Tbl[[#All],[$ CLASS PAY]])+  SUMIF(Dec_Period_1_Tbl[[#All],[STAFF:]],$A52,Dec_Period_1_Tbl[[#All],[$ CLASS PAY]]))+   (SUMIF(Jan_Period_2_Tbl[[#All],[STAFF:]],$A52,Jan_Period_2_Tbl[[#All],[$ CLASS PAY]])+
SUMIF(Feb_Period_2_Tbl[[#All],[STAFF:]],$A52,Feb_Period_2_Tbl[[#All],[$ CLASS PAY]])+SUMIF(Mar_Period_2_Tbl[[#All],[STAFF:]],$A52,Mar_Period_2_Tbl[[#All],[$ CLASS PAY]])+SUMIF(Apr_Period_2_Tbl[[#All],[STAFF:]],$A52,Apr_Period_2_Tbl[[#All],[$ CLASS PAY]])+   SUMIF(May_Period_2_Tbl[[#All],[STAFF:]],$A52,May_Period_2_Tbl[[#All],[$ CLASS PAY]])+   SUMIF(Jun_Period_2_Tbl[[#All],[STAFF:]],$A52,Jun_Period_2_Tbl[[#All],[$ CLASS PAY]])+  SUMIF(Jul_Period_2_Tbl[[#All],[STAFF:]],$A52,Jul_Period_2_Tbl[[#All],[$ CLASS PAY]])+  SUMIF(Aug_Period_2_Tbl[[#All],[STAFF:]],$A52,Aug_Period_2_Tbl[[#All],[$ CLASS PAY]])+  SUMIF(Sep_Period_2_Tbl[[#All],[STAFF:]],$A52,Sep_Period_2_Tbl[[#All],[$ CLASS PAY]])+  SUMIF(Oct_Period_2_Tbl[[#All],[STAFF:]],$A52,Oct_Period_2_Tbl[[#All],[$ CLASS PAY]])+     SUMIF(Nov_Period_2_Tbl[[#All],[STAFF:]],$A52,Nov_Period_2_Tbl[[#All],[$ CLASS PAY]])+  SUMIF(Dec_Period_2_Tbl[[#All],[STAFF:]],$A52,Dec_Period_2_Tbl[[#All],[$ CLASS PAY]]))</f>
        <v>0</v>
      </c>
      <c r="O52" s="191">
        <f>(SUMIF(Jan_Period_1_Tbl[[#All],[STAFF:]],$A52,Jan_Period_1_Tbl[[#All],[$ BONUS PAY]])+
SUMIF(Feb_Period_1_Tbl[[#All],[STAFF:]],$A52,Feb_Period_1_Tbl[[#All],[$ BONUS PAY]])+SUMIF(Mar_Period_1_Tbl[[#All],[STAFF:]],$A52,Mar_Period_1_Tbl[[#All],[$ BONUS PAY]])+SUMIF(Apr_Period_1_Tbl[[#All],[STAFF:]],$A52,Apr_Period_1_Tbl[[#All],[$ BONUS PAY]])+   SUMIF(May_Period_1_Tbl[[#All],[STAFF:]],$A52,May_Period_1_Tbl[[#All],[$ BONUS PAY]])+   SUMIF(Jun_Period_1_Tbl[[#All],[STAFF:]],$A52,Jun_Period_1_Tbl[[#All],[$ BONUS PAY]])+  SUMIF(Jul_Period_1_Tbl[[#All],[STAFF:]],$A52,Jul_Period_1_Tbl[[#All],[$ BONUS PAY]])+  SUMIF(Aug_Period_1_Tbl[[#All],[STAFF:]],$A52,Aug_Period_1_Tbl[[#All],[$ BONUS PAY]])+  SUMIF(Sep_Period_1_Tbl[[#All],[STAFF:]],$A52,Sep_Period_1_Tbl[[#All],[$ BONUS PAY]])+  SUMIF(Oct_Period_1_Tbl[[#All],[STAFF:]],$A52,Oct_Period_1_Tbl[[#All],[$ BONUS PAY]])+     SUMIF(Nov_Period_1_Tbl[[#All],[STAFF:]],$A52,Nov_Period_1_Tbl[[#All],[$ BONUS PAY]])+  SUMIF(Dec_Period_1_Tbl[[#All],[STAFF:]],$A52,Dec_Period_1_Tbl[[#All],[$ BONUS PAY]]))+   (SUMIF(Jan_Period_2_Tbl[[#All],[STAFF:]],$A52,Jan_Period_2_Tbl[[#All],[$ BONUS PAY]])+
SUMIF(Feb_Period_2_Tbl[[#All],[STAFF:]],$A52,Feb_Period_2_Tbl[[#All],[$ BONUS PAY]])+SUMIF(Mar_Period_2_Tbl[[#All],[STAFF:]],$A52,Mar_Period_2_Tbl[[#All],[$ BONUS PAY]])+SUMIF(Apr_Period_2_Tbl[[#All],[STAFF:]],$A52,Apr_Period_2_Tbl[[#All],[$ BONUS PAY]])+   SUMIF(May_Period_2_Tbl[[#All],[STAFF:]],$A52,May_Period_2_Tbl[[#All],[$ BONUS PAY]])+   SUMIF(Jun_Period_2_Tbl[[#All],[STAFF:]],$A52,Jun_Period_2_Tbl[[#All],[$ BONUS PAY]])+  SUMIF(Jul_Period_2_Tbl[[#All],[STAFF:]],$A52,Jul_Period_2_Tbl[[#All],[$ BONUS PAY]])+  SUMIF(Aug_Period_2_Tbl[[#All],[STAFF:]],$A52,Aug_Period_2_Tbl[[#All],[$ BONUS PAY]])+  SUMIF(Sep_Period_2_Tbl[[#All],[STAFF:]],$A52,Sep_Period_2_Tbl[[#All],[$ BONUS PAY]])+  SUMIF(Oct_Period_2_Tbl[[#All],[STAFF:]],$A52,Oct_Period_2_Tbl[[#All],[$ BONUS PAY]])+     SUMIF(Nov_Period_2_Tbl[[#All],[STAFF:]],$A52,Nov_Period_2_Tbl[[#All],[$ BONUS PAY]])+  SUMIF(Dec_Period_2_Tbl[[#All],[STAFF:]],$A52,Dec_Period_2_Tbl[[#All],[$ BONUS PAY]]))</f>
        <v>0</v>
      </c>
      <c r="P52" s="179">
        <f t="shared" si="9"/>
        <v>0</v>
      </c>
      <c r="Q52" s="149"/>
      <c r="R52" s="152">
        <f>(SUMIF(Jan_Period_1_Tbl[[#All],[STAFF:]],$A52,Jan_Period_1_Tbl[[#All],['# POINTS EARNED]])+
SUMIF(Feb_Period_1_Tbl[[#All],[STAFF:]],$A52,Feb_Period_1_Tbl[[#All],['# POINTS EARNED]])+SUMIF(Mar_Period_1_Tbl[[#All],[STAFF:]],$A52,Mar_Period_1_Tbl[[#All],['# POINTS EARNED]])+SUMIF(Apr_Period_1_Tbl[[#All],[STAFF:]],$A52,Apr_Period_1_Tbl[[#All],['# POINTS EARNED]])+   SUMIF(May_Period_1_Tbl[[#All],[STAFF:]],$A52,May_Period_1_Tbl[[#All],['# POINTS EARNED]])+   SUMIF(Jun_Period_1_Tbl[[#All],[STAFF:]],$A52,Jun_Period_1_Tbl[[#All],['# POINTS EARNED]])+  SUMIF(Jul_Period_1_Tbl[[#All],[STAFF:]],$A52,Jul_Period_1_Tbl[[#All],['# POINTS EARNED]])+  SUMIF(Aug_Period_1_Tbl[[#All],[STAFF:]],$A52,Aug_Period_1_Tbl[[#All],['# POINTS EARNED]])+  SUMIF(Sep_Period_1_Tbl[[#All],[STAFF:]],$A52,Sep_Period_1_Tbl[[#All],['# POINTS EARNED]])+  SUMIF(Oct_Period_1_Tbl[[#All],[STAFF:]],$A52,Oct_Period_1_Tbl[[#All],['# POINTS EARNED]])+     SUMIF(Nov_Period_1_Tbl[[#All],[STAFF:]],$A52,Nov_Period_1_Tbl[[#All],['# POINTS EARNED]])+  SUMIF(Dec_Period_1_Tbl[[#All],[STAFF:]],$A52,Dec_Period_1_Tbl[[#All],['# POINTS EARNED]]))+   (SUMIF(Jan_Period_2_Tbl[[#All],[STAFF:]],$A52,Jan_Period_2_Tbl[[#All],['# POINTS EARNED]])+
SUMIF(Feb_Period_2_Tbl[[#All],[STAFF:]],$A52,Feb_Period_2_Tbl[[#All],['# POINTS EARNED]])+SUMIF(Mar_Period_2_Tbl[[#All],[STAFF:]],$A52,Mar_Period_2_Tbl[[#All],['# POINTS EARNED]])+SUMIF(Apr_Period_2_Tbl[[#All],[STAFF:]],$A52,Apr_Period_2_Tbl[[#All],['# POINTS EARNED]])+   SUMIF(May_Period_2_Tbl[[#All],[STAFF:]],$A52,May_Period_2_Tbl[[#All],['# POINTS EARNED]])+   SUMIF(Jun_Period_2_Tbl[[#All],[STAFF:]],$A52,Jun_Period_2_Tbl[[#All],['# POINTS EARNED]])+  SUMIF(Jul_Period_2_Tbl[[#All],[STAFF:]],$A52,Jul_Period_2_Tbl[[#All],['# POINTS EARNED]])+  SUMIF(Aug_Period_2_Tbl[[#All],[STAFF:]],$A52,Aug_Period_2_Tbl[[#All],['# POINTS EARNED]])+  SUMIF(Sep_Period_2_Tbl[[#All],[STAFF:]],$A52,Sep_Period_2_Tbl[[#All],['# POINTS EARNED]])+  SUMIF(Oct_Period_2_Tbl[[#All],[STAFF:]],$A52,Oct_Period_2_Tbl[[#All],['# POINTS EARNED]])+     SUMIF(Nov_Period_2_Tbl[[#All],[STAFF:]],$A52,Nov_Period_2_Tbl[[#All],['# POINTS EARNED]])+  SUMIF(Dec_Period_2_Tbl[[#All],[STAFF:]],$A52,Dec_Period_2_Tbl[[#All],['# POINTS EARNED]]))</f>
        <v>0</v>
      </c>
      <c r="S52" s="152">
        <f>(SUMIF(Jan_Period_1_Tbl[[#All],[STAFF:]],$A52,Jan_Period_1_Tbl[[#All],['# POINTS USED]])+
SUMIF(Feb_Period_1_Tbl[[#All],[STAFF:]],$A52,Feb_Period_1_Tbl[[#All],['# POINTS USED]])+SUMIF(Mar_Period_1_Tbl[[#All],[STAFF:]],$A52,Mar_Period_1_Tbl[[#All],['# POINTS USED]])+SUMIF(Apr_Period_1_Tbl[[#All],[STAFF:]],$A52,Apr_Period_1_Tbl[[#All],['# POINTS USED]])+   SUMIF(May_Period_1_Tbl[[#All],[STAFF:]],$A52,May_Period_1_Tbl[[#All],['# POINTS USED]])+   SUMIF(Jun_Period_1_Tbl[[#All],[STAFF:]],$A52,Jun_Period_1_Tbl[[#All],['# POINTS USED]])+  SUMIF(Jul_Period_1_Tbl[[#All],[STAFF:]],$A52,Jul_Period_1_Tbl[[#All],['# POINTS USED]])+  SUMIF(Aug_Period_1_Tbl[[#All],[STAFF:]],$A52,Aug_Period_1_Tbl[[#All],['# POINTS USED]])+  SUMIF(Sep_Period_1_Tbl[[#All],[STAFF:]],$A52,Sep_Period_1_Tbl[[#All],['# POINTS USED]])+  SUMIF(Oct_Period_1_Tbl[[#All],[STAFF:]],$A52,Oct_Period_1_Tbl[[#All],['# POINTS USED]])+     SUMIF(Nov_Period_1_Tbl[[#All],[STAFF:]],$A52,Nov_Period_1_Tbl[[#All],['# POINTS USED]])+  SUMIF(Dec_Period_1_Tbl[[#All],[STAFF:]],$A52,Dec_Period_1_Tbl[[#All],['# POINTS USED]]))+   (SUMIF(Jan_Period_2_Tbl[[#All],[STAFF:]],$A52,Jan_Period_2_Tbl[[#All],['# POINTS USED]])+
SUMIF(Feb_Period_2_Tbl[[#All],[STAFF:]],$A52,Feb_Period_2_Tbl[[#All],['# POINTS USED]])+SUMIF(Mar_Period_2_Tbl[[#All],[STAFF:]],$A52,Mar_Period_2_Tbl[[#All],['# POINTS USED]])+SUMIF(Apr_Period_2_Tbl[[#All],[STAFF:]],$A52,Apr_Period_2_Tbl[[#All],['# POINTS USED]])+   SUMIF(May_Period_2_Tbl[[#All],[STAFF:]],$A52,May_Period_2_Tbl[[#All],['# POINTS USED]])+   SUMIF(Jun_Period_2_Tbl[[#All],[STAFF:]],$A52,Jun_Period_2_Tbl[[#All],['# POINTS USED]])+  SUMIF(Jul_Period_2_Tbl[[#All],[STAFF:]],$A52,Jul_Period_2_Tbl[[#All],['# POINTS USED]])+  SUMIF(Aug_Period_2_Tbl[[#All],[STAFF:]],$A52,Aug_Period_2_Tbl[[#All],['# POINTS USED]])+  SUMIF(Sep_Period_2_Tbl[[#All],[STAFF:]],$A52,Sep_Period_2_Tbl[[#All],['# POINTS USED]])+  SUMIF(Oct_Period_2_Tbl[[#All],[STAFF:]],$A52,Oct_Period_2_Tbl[[#All],['# POINTS USED]])+     SUMIF(Nov_Period_2_Tbl[[#All],[STAFF:]],$A52,Nov_Period_2_Tbl[[#All],['# POINTS USED]])+  SUMIF(Dec_Period_2_Tbl[[#All],[STAFF:]],$A52,Dec_Period_2_Tbl[[#All],['# POINTS USED]]))</f>
        <v>0</v>
      </c>
      <c r="T52" s="152">
        <f>(SUMIF(Jan_Period_1_Tbl[[#All],[STAFF:]],$A52,Jan_Period_1_Tbl[[#All],['# CLASSES LEAD]])+
SUMIF(Feb_Period_1_Tbl[[#All],[STAFF:]],$A52,Feb_Period_1_Tbl[[#All],['# CLASSES LEAD]])+SUMIF(Mar_Period_1_Tbl[[#All],[STAFF:]],$A52,Mar_Period_1_Tbl[[#All],['# CLASSES LEAD]])+SUMIF(Apr_Period_1_Tbl[[#All],[STAFF:]],$A52,Apr_Period_1_Tbl[[#All],['# CLASSES LEAD]])+   SUMIF(May_Period_1_Tbl[[#All],[STAFF:]],$A52,May_Period_1_Tbl[[#All],['# CLASSES LEAD]])+   SUMIF(Jun_Period_1_Tbl[[#All],[STAFF:]],$A52,Jun_Period_1_Tbl[[#All],['# CLASSES LEAD]])+  SUMIF(Jul_Period_1_Tbl[[#All],[STAFF:]],$A52,Jul_Period_1_Tbl[[#All],['# CLASSES LEAD]])+  SUMIF(Aug_Period_1_Tbl[[#All],[STAFF:]],$A52,Aug_Period_1_Tbl[[#All],['# CLASSES LEAD]])+  SUMIF(Sep_Period_1_Tbl[[#All],[STAFF:]],$A52,Sep_Period_1_Tbl[[#All],['# CLASSES LEAD]])+  SUMIF(Oct_Period_1_Tbl[[#All],[STAFF:]],$A52,Oct_Period_1_Tbl[[#All],['# CLASSES LEAD]])+     SUMIF(Nov_Period_1_Tbl[[#All],[STAFF:]],$A52,Nov_Period_1_Tbl[[#All],['# CLASSES LEAD]])+  SUMIF(Dec_Period_1_Tbl[[#All],[STAFF:]],$A52,Dec_Period_1_Tbl[[#All],['# CLASSES LEAD]]))+   (SUMIF(Jan_Period_2_Tbl[[#All],[STAFF:]],$A52,Jan_Period_2_Tbl[[#All],['# CLASSES LEAD]])+
SUMIF(Feb_Period_2_Tbl[[#All],[STAFF:]],$A52,Feb_Period_2_Tbl[[#All],['# CLASSES LEAD]])+SUMIF(Mar_Period_2_Tbl[[#All],[STAFF:]],$A52,Mar_Period_2_Tbl[[#All],['# CLASSES LEAD]])+SUMIF(Apr_Period_2_Tbl[[#All],[STAFF:]],$A52,Apr_Period_2_Tbl[[#All],['# CLASSES LEAD]])+   SUMIF(May_Period_2_Tbl[[#All],[STAFF:]],$A52,May_Period_2_Tbl[[#All],['# CLASSES LEAD]])+   SUMIF(Jun_Period_2_Tbl[[#All],[STAFF:]],$A52,Jun_Period_2_Tbl[[#All],['# CLASSES LEAD]])+  SUMIF(Jul_Period_2_Tbl[[#All],[STAFF:]],$A52,Jul_Period_2_Tbl[[#All],['# CLASSES LEAD]])+  SUMIF(Aug_Period_2_Tbl[[#All],[STAFF:]],$A52,Aug_Period_2_Tbl[[#All],['# CLASSES LEAD]])+  SUMIF(Sep_Period_2_Tbl[[#All],[STAFF:]],$A52,Sep_Period_2_Tbl[[#All],['# CLASSES LEAD]])+  SUMIF(Oct_Period_2_Tbl[[#All],[STAFF:]],$A52,Oct_Period_2_Tbl[[#All],['# CLASSES LEAD]])+     SUMIF(Nov_Period_2_Tbl[[#All],[STAFF:]],$A52,Nov_Period_2_Tbl[[#All],['# CLASSES LEAD]])+  SUMIF(Dec_Period_2_Tbl[[#All],[STAFF:]],$A52,Dec_Period_2_Tbl[[#All],['# CLASSES LEAD]]))</f>
        <v>0</v>
      </c>
      <c r="U52" s="152">
        <f>(SUMIF(Jan_Period_1_Tbl[[#All],[STAFF:]],$A52,Jan_Period_1_Tbl[[#All],['# CLASSES SHOW]])+
SUMIF(Feb_Period_1_Tbl[[#All],[STAFF:]],$A52,Feb_Period_1_Tbl[[#All],['# CLASSES SHOW]])+SUMIF(Mar_Period_1_Tbl[[#All],[STAFF:]],$A52,Mar_Period_1_Tbl[[#All],['# CLASSES SHOW]])+SUMIF(Apr_Period_1_Tbl[[#All],[STAFF:]],$A52,Apr_Period_1_Tbl[[#All],['# CLASSES SHOW]])+   SUMIF(May_Period_1_Tbl[[#All],[STAFF:]],$A52,May_Period_1_Tbl[[#All],['# CLASSES SHOW]])+   SUMIF(Jun_Period_1_Tbl[[#All],[STAFF:]],$A52,Jun_Period_1_Tbl[[#All],['# CLASSES SHOW]])+  SUMIF(Jul_Period_1_Tbl[[#All],[STAFF:]],$A52,Jul_Period_1_Tbl[[#All],['# CLASSES SHOW]])+  SUMIF(Aug_Period_1_Tbl[[#All],[STAFF:]],$A52,Aug_Period_1_Tbl[[#All],['# CLASSES SHOW]])+  SUMIF(Sep_Period_1_Tbl[[#All],[STAFF:]],$A52,Sep_Period_1_Tbl[[#All],['# CLASSES SHOW]])+  SUMIF(Oct_Period_1_Tbl[[#All],[STAFF:]],$A52,Oct_Period_1_Tbl[[#All],['# CLASSES SHOW]])+     SUMIF(Nov_Period_1_Tbl[[#All],[STAFF:]],$A52,Nov_Period_1_Tbl[[#All],['# CLASSES SHOW]])+  SUMIF(Dec_Period_1_Tbl[[#All],[STAFF:]],$A52,Dec_Period_1_Tbl[[#All],['# CLASSES SHOW]]))+   (SUMIF(Jan_Period_2_Tbl[[#All],[STAFF:]],$A52,Jan_Period_2_Tbl[[#All],['# CLASSES SHOW]])+
SUMIF(Feb_Period_2_Tbl[[#All],[STAFF:]],$A52,Feb_Period_2_Tbl[[#All],['# CLASSES SHOW]])+SUMIF(Mar_Period_2_Tbl[[#All],[STAFF:]],$A52,Mar_Period_2_Tbl[[#All],['# CLASSES SHOW]])+SUMIF(Apr_Period_2_Tbl[[#All],[STAFF:]],$A52,Apr_Period_2_Tbl[[#All],['# CLASSES SHOW]])+   SUMIF(May_Period_2_Tbl[[#All],[STAFF:]],$A52,May_Period_2_Tbl[[#All],['# CLASSES SHOW]])+   SUMIF(Jun_Period_2_Tbl[[#All],[STAFF:]],$A52,Jun_Period_2_Tbl[[#All],['# CLASSES SHOW]])+  SUMIF(Jul_Period_2_Tbl[[#All],[STAFF:]],$A52,Jul_Period_2_Tbl[[#All],['# CLASSES SHOW]])+  SUMIF(Aug_Period_2_Tbl[[#All],[STAFF:]],$A52,Aug_Period_2_Tbl[[#All],['# CLASSES SHOW]])+  SUMIF(Sep_Period_2_Tbl[[#All],[STAFF:]],$A52,Sep_Period_2_Tbl[[#All],['# CLASSES SHOW]])+  SUMIF(Oct_Period_2_Tbl[[#All],[STAFF:]],$A52,Oct_Period_2_Tbl[[#All],['# CLASSES SHOW]])+     SUMIF(Nov_Period_2_Tbl[[#All],[STAFF:]],$A52,Nov_Period_2_Tbl[[#All],['# CLASSES SHOW]])+  SUMIF(Dec_Period_2_Tbl[[#All],[STAFF:]],$A52,Dec_Period_2_Tbl[[#All],['# CLASSES SHOW]]))</f>
        <v>0</v>
      </c>
      <c r="V52" s="156"/>
      <c r="W52" s="156"/>
      <c r="X52" s="154">
        <f t="shared" si="10"/>
        <v>0</v>
      </c>
      <c r="Y52" s="154">
        <f t="shared" si="11"/>
        <v>0</v>
      </c>
      <c r="Z52" s="154">
        <f t="shared" si="12"/>
        <v>0</v>
      </c>
      <c r="AA52" s="154">
        <f t="shared" si="13"/>
        <v>0</v>
      </c>
      <c r="AB52" s="154">
        <f t="shared" si="14"/>
        <v>0</v>
      </c>
      <c r="AC52" s="154">
        <f t="shared" si="15"/>
        <v>0</v>
      </c>
      <c r="AD52" s="154">
        <f t="shared" si="16"/>
        <v>0</v>
      </c>
      <c r="AE52" s="149"/>
      <c r="AF52" s="149"/>
      <c r="AG52" s="149"/>
      <c r="AH52" s="149"/>
      <c r="AJ52" s="75" t="str">
        <f t="shared" si="17"/>
        <v>zBlank</v>
      </c>
      <c r="AK52" s="210"/>
      <c r="AL52" s="168">
        <f>IFERROR(VLOOKUP(B52,List!$A:$B,2,FALSE),-1)</f>
        <v>-1</v>
      </c>
      <c r="AM52" s="168">
        <f>IFERROR(VLOOKUP(C52,List!$A:$B,2,FALSE),-1)</f>
        <v>-1</v>
      </c>
    </row>
    <row r="53" spans="1:39" ht="15" hidden="1" customHeight="1" x14ac:dyDescent="0.25">
      <c r="A53" s="20"/>
      <c r="B53" s="186"/>
      <c r="C53" s="186"/>
      <c r="D53" s="187"/>
      <c r="E53" s="188">
        <f>(SUMIF(Jan_Period_1_Tbl[[#All],[STAFF:]],$A53,Jan_Period_1_Tbl[[#All],['# PTO USED]])+
SUMIF(Feb_Period_1_Tbl[[#All],[STAFF:]],$A53,Feb_Period_1_Tbl[[#All],['# PTO USED]])+SUMIF(Mar_Period_1_Tbl[[#All],[STAFF:]],$A53,Mar_Period_1_Tbl[[#All],['# PTO USED]])+SUMIF(Apr_Period_1_Tbl[[#All],[STAFF:]],$A53,Apr_Period_1_Tbl[[#All],['# PTO USED]])+   SUMIF(May_Period_1_Tbl[[#All],[STAFF:]],$A53,May_Period_1_Tbl[[#All],['# PTO USED]])+   SUMIF(Jun_Period_1_Tbl[[#All],[STAFF:]],$A53,Jun_Period_1_Tbl[[#All],['# PTO USED]])+  SUMIF(Jul_Period_1_Tbl[[#All],[STAFF:]],$A53,Jul_Period_1_Tbl[[#All],['# PTO USED]])+  SUMIF(Aug_Period_1_Tbl[[#All],[STAFF:]],$A53,Aug_Period_1_Tbl[[#All],['# PTO USED]])+  SUMIF(Sep_Period_1_Tbl[[#All],[STAFF:]],$A53,Sep_Period_1_Tbl[[#All],['# PTO USED]])+  SUMIF(Oct_Period_1_Tbl[[#All],[STAFF:]],$A53,Oct_Period_1_Tbl[[#All],['# PTO USED]])+     SUMIF(Nov_Period_1_Tbl[[#All],[STAFF:]],$A53,Nov_Period_1_Tbl[[#All],['# PTO USED]])+  SUMIF(Dec_Period_1_Tbl[[#All],[STAFF:]],$A53,Dec_Period_1_Tbl[[#All],['# PTO USED]]))+   (SUMIF(Jan_Period_2_Tbl[[#All],[STAFF:]],$A53,Jan_Period_2_Tbl[[#All],['# PTO USED]])+
SUMIF(Feb_Period_2_Tbl[[#All],[STAFF:]],$A53,Feb_Period_2_Tbl[[#All],['# PTO USED]])+SUMIF(Mar_Period_2_Tbl[[#All],[STAFF:]],$A53,Mar_Period_2_Tbl[[#All],['# PTO USED]])+SUMIF(Apr_Period_2_Tbl[[#All],[STAFF:]],$A53,Apr_Period_2_Tbl[[#All],['# PTO USED]])+   SUMIF(May_Period_2_Tbl[[#All],[STAFF:]],$A53,May_Period_2_Tbl[[#All],['# PTO USED]])+   SUMIF(Jun_Period_2_Tbl[[#All],[STAFF:]],$A53,Jun_Period_2_Tbl[[#All],['# PTO USED]])+  SUMIF(Jul_Period_2_Tbl[[#All],[STAFF:]],$A53,Jul_Period_2_Tbl[[#All],['# PTO USED]])+  SUMIF(Aug_Period_2_Tbl[[#All],[STAFF:]],$A53,Aug_Period_2_Tbl[[#All],['# PTO USED]])+  SUMIF(Sep_Period_2_Tbl[[#All],[STAFF:]],$A53,Sep_Period_2_Tbl[[#All],['# PTO USED]])+  SUMIF(Oct_Period_2_Tbl[[#All],[STAFF:]],$A53,Oct_Period_2_Tbl[[#All],['# PTO USED]])+     SUMIF(Nov_Period_2_Tbl[[#All],[STAFF:]],$A53,Nov_Period_2_Tbl[[#All],['# PTO USED]])+  SUMIF(Dec_Period_2_Tbl[[#All],[STAFF:]],$A53,Dec_Period_2_Tbl[[#All],['# PTO USED]]))</f>
        <v>0</v>
      </c>
      <c r="F53" s="189">
        <f>(SUMIF(Jan_Period_1_Tbl[[#All],[STAFF:]],$A53,Jan_Period_1_Tbl[[#All],['# HRS WORKED]])+
SUMIF(Feb_Period_1_Tbl[[#All],[STAFF:]],$A53,Feb_Period_1_Tbl[[#All],['# HRS WORKED]])+SUMIF(Mar_Period_1_Tbl[[#All],[STAFF:]],$A53,Mar_Period_1_Tbl[[#All],['# HRS WORKED]])+SUMIF(Apr_Period_1_Tbl[[#All],[STAFF:]],$A53,Apr_Period_1_Tbl[[#All],['# HRS WORKED]])+   SUMIF(May_Period_1_Tbl[[#All],[STAFF:]],$A53,May_Period_1_Tbl[[#All],['# HRS WORKED]])+   SUMIF(Jun_Period_1_Tbl[[#All],[STAFF:]],$A53,Jun_Period_1_Tbl[[#All],['# HRS WORKED]])+  SUMIF(Jul_Period_1_Tbl[[#All],[STAFF:]],$A53,Jul_Period_1_Tbl[[#All],['# HRS WORKED]])+  SUMIF(Aug_Period_1_Tbl[[#All],[STAFF:]],$A53,Aug_Period_1_Tbl[[#All],['# HRS WORKED]])+  SUMIF(Sep_Period_1_Tbl[[#All],[STAFF:]],$A53,Sep_Period_1_Tbl[[#All],['# HRS WORKED]])+  SUMIF(Oct_Period_1_Tbl[[#All],[STAFF:]],$A53,Oct_Period_1_Tbl[[#All],['# HRS WORKED]])+     SUMIF(Nov_Period_1_Tbl[[#All],[STAFF:]],$A53,Nov_Period_1_Tbl[[#All],['# HRS WORKED]])+  SUMIF(Dec_Period_1_Tbl[[#All],[STAFF:]],$A53,Dec_Period_1_Tbl[[#All],['# HRS WORKED]]))+   (SUMIF(Jan_Period_2_Tbl[[#All],[STAFF:]],$A53,Jan_Period_2_Tbl[[#All],['# HRS WORKED]])+
SUMIF(Feb_Period_2_Tbl[[#All],[STAFF:]],$A53,Feb_Period_2_Tbl[[#All],['# HRS WORKED]])+SUMIF(Mar_Period_2_Tbl[[#All],[STAFF:]],$A53,Mar_Period_2_Tbl[[#All],['# HRS WORKED]])+SUMIF(Apr_Period_2_Tbl[[#All],[STAFF:]],$A53,Apr_Period_2_Tbl[[#All],['# HRS WORKED]])+   SUMIF(May_Period_2_Tbl[[#All],[STAFF:]],$A53,May_Period_2_Tbl[[#All],['# HRS WORKED]])+   SUMIF(Jun_Period_2_Tbl[[#All],[STAFF:]],$A53,Jun_Period_2_Tbl[[#All],['# HRS WORKED]])+  SUMIF(Jul_Period_2_Tbl[[#All],[STAFF:]],$A53,Jul_Period_2_Tbl[[#All],['# HRS WORKED]])+  SUMIF(Aug_Period_2_Tbl[[#All],[STAFF:]],$A53,Aug_Period_2_Tbl[[#All],['# HRS WORKED]])+  SUMIF(Sep_Period_2_Tbl[[#All],[STAFF:]],$A53,Sep_Period_2_Tbl[[#All],['# HRS WORKED]])+  SUMIF(Oct_Period_2_Tbl[[#All],[STAFF:]],$A53,Oct_Period_2_Tbl[[#All],['# HRS WORKED]])+     SUMIF(Nov_Period_2_Tbl[[#All],[STAFF:]],$A53,Nov_Period_2_Tbl[[#All],['# HRS WORKED]])+  SUMIF(Dec_Period_2_Tbl[[#All],[STAFF:]],$A53,Dec_Period_2_Tbl[[#All],['# HRS WORKED]]))</f>
        <v>0</v>
      </c>
      <c r="G53" s="190">
        <f>(SUMIF(Jan_Period_1_Tbl[[#All],[STAFF:]],$A53,Jan_Period_1_Tbl[[#All],[$ Hourly WAGES]])+
SUMIF(Feb_Period_1_Tbl[[#All],[STAFF:]],$A53,Feb_Period_1_Tbl[[#All],[$ Hourly WAGES]])+SUMIF(Mar_Period_1_Tbl[[#All],[STAFF:]],$A53,Mar_Period_1_Tbl[[#All],[$ Hourly WAGES]])+SUMIF(Apr_Period_1_Tbl[[#All],[STAFF:]],$A53,Apr_Period_1_Tbl[[#All],[$ Hourly WAGES]])+   SUMIF(May_Period_1_Tbl[[#All],[STAFF:]],$A53,May_Period_1_Tbl[[#All],[$ Hourly WAGES]])+   SUMIF(Jun_Period_1_Tbl[[#All],[STAFF:]],$A53,Jun_Period_1_Tbl[[#All],[$ Hourly WAGES]])+  SUMIF(Jul_Period_1_Tbl[[#All],[STAFF:]],$A53,Jul_Period_1_Tbl[[#All],[$ Hourly WAGES]])+  SUMIF(Aug_Period_1_Tbl[[#All],[STAFF:]],$A53,Aug_Period_1_Tbl[[#All],[$ Hourly WAGES]])+  SUMIF(Sep_Period_1_Tbl[[#All],[STAFF:]],$A53,Sep_Period_1_Tbl[[#All],[$ Hourly WAGES]])+  SUMIF(Oct_Period_1_Tbl[[#All],[STAFF:]],$A53,Oct_Period_1_Tbl[[#All],[$ Hourly WAGES]])+     SUMIF(Nov_Period_1_Tbl[[#All],[STAFF:]],$A53,Nov_Period_1_Tbl[[#All],[$ Hourly WAGES]])+  SUMIF(Dec_Period_1_Tbl[[#All],[STAFF:]],$A53,Dec_Period_1_Tbl[[#All],[$ Hourly WAGES]]))+   (SUMIF(Jan_Period_2_Tbl[[#All],[STAFF:]],$A53,Jan_Period_2_Tbl[[#All],[$ Hourly WAGES]])+
SUMIF(Feb_Period_2_Tbl[[#All],[STAFF:]],$A53,Feb_Period_2_Tbl[[#All],[$ Hourly WAGES]])+SUMIF(Mar_Period_2_Tbl[[#All],[STAFF:]],$A53,Mar_Period_2_Tbl[[#All],[$ Hourly WAGES]])+SUMIF(Apr_Period_2_Tbl[[#All],[STAFF:]],$A53,Apr_Period_2_Tbl[[#All],[$ Hourly WAGES]])+   SUMIF(May_Period_2_Tbl[[#All],[STAFF:]],$A53,May_Period_2_Tbl[[#All],[$ Hourly WAGES]])+   SUMIF(Jun_Period_2_Tbl[[#All],[STAFF:]],$A53,Jun_Period_2_Tbl[[#All],[$ Hourly WAGES]])+  SUMIF(Jul_Period_2_Tbl[[#All],[STAFF:]],$A53,Jul_Period_2_Tbl[[#All],[$ Hourly WAGES]])+  SUMIF(Aug_Period_2_Tbl[[#All],[STAFF:]],$A53,Aug_Period_2_Tbl[[#All],[$ Hourly WAGES]])+  SUMIF(Sep_Period_2_Tbl[[#All],[STAFF:]],$A53,Sep_Period_2_Tbl[[#All],[$ Hourly WAGES]])+  SUMIF(Oct_Period_2_Tbl[[#All],[STAFF:]],$A53,Oct_Period_2_Tbl[[#All],[$ Hourly WAGES]])+     SUMIF(Nov_Period_2_Tbl[[#All],[STAFF:]],$A53,Nov_Period_2_Tbl[[#All],[$ Hourly WAGES]])+  SUMIF(Dec_Period_2_Tbl[[#All],[STAFF:]],$A53,Dec_Period_2_Tbl[[#All],[$ Hourly WAGES]]))</f>
        <v>0</v>
      </c>
      <c r="H53" s="190">
        <f>(SUMIF(Jan_Period_1_Tbl[[#All],[STAFF:]],$A53,Jan_Period_1_Tbl[[#All],[$ SALARY]])+
SUMIF(Feb_Period_1_Tbl[[#All],[STAFF:]],$A53,Feb_Period_1_Tbl[[#All],[$ SALARY]])+SUMIF(Mar_Period_1_Tbl[[#All],[STAFF:]],$A53,Mar_Period_1_Tbl[[#All],[$ SALARY]])+SUMIF(Apr_Period_1_Tbl[[#All],[STAFF:]],$A53,Apr_Period_1_Tbl[[#All],[$ SALARY]])+   SUMIF(May_Period_1_Tbl[[#All],[STAFF:]],$A53,May_Period_1_Tbl[[#All],[$ SALARY]])+   SUMIF(Jun_Period_1_Tbl[[#All],[STAFF:]],$A53,Jun_Period_1_Tbl[[#All],[$ SALARY]])+  SUMIF(Jul_Period_1_Tbl[[#All],[STAFF:]],$A53,Jul_Period_1_Tbl[[#All],[$ SALARY]])+  SUMIF(Aug_Period_1_Tbl[[#All],[STAFF:]],$A53,Aug_Period_1_Tbl[[#All],[$ SALARY]])+  SUMIF(Sep_Period_1_Tbl[[#All],[STAFF:]],$A53,Sep_Period_1_Tbl[[#All],[$ SALARY]])+  SUMIF(Oct_Period_1_Tbl[[#All],[STAFF:]],$A53,Oct_Period_1_Tbl[[#All],[$ SALARY]])+     SUMIF(Nov_Period_1_Tbl[[#All],[STAFF:]],$A53,Nov_Period_1_Tbl[[#All],[$ SALARY]])+  SUMIF(Dec_Period_1_Tbl[[#All],[STAFF:]],$A53,Dec_Period_1_Tbl[[#All],[$ SALARY]]))+   (SUMIF(Jan_Period_2_Tbl[[#All],[STAFF:]],$A53,Jan_Period_2_Tbl[[#All],[$ SALARY]])+
SUMIF(Feb_Period_2_Tbl[[#All],[STAFF:]],$A53,Feb_Period_2_Tbl[[#All],[$ SALARY]])+SUMIF(Mar_Period_2_Tbl[[#All],[STAFF:]],$A53,Mar_Period_2_Tbl[[#All],[$ SALARY]])+SUMIF(Apr_Period_2_Tbl[[#All],[STAFF:]],$A53,Apr_Period_2_Tbl[[#All],[$ SALARY]])+   SUMIF(May_Period_2_Tbl[[#All],[STAFF:]],$A53,May_Period_2_Tbl[[#All],[$ SALARY]])+   SUMIF(Jun_Period_2_Tbl[[#All],[STAFF:]],$A53,Jun_Period_2_Tbl[[#All],[$ SALARY]])+  SUMIF(Jul_Period_2_Tbl[[#All],[STAFF:]],$A53,Jul_Period_2_Tbl[[#All],[$ SALARY]])+  SUMIF(Aug_Period_2_Tbl[[#All],[STAFF:]],$A53,Aug_Period_2_Tbl[[#All],[$ SALARY]])+  SUMIF(Sep_Period_2_Tbl[[#All],[STAFF:]],$A53,Sep_Period_2_Tbl[[#All],[$ SALARY]])+  SUMIF(Oct_Period_2_Tbl[[#All],[STAFF:]],$A53,Oct_Period_2_Tbl[[#All],[$ SALARY]])+     SUMIF(Nov_Period_2_Tbl[[#All],[STAFF:]],$A53,Nov_Period_2_Tbl[[#All],[$ SALARY]])+  SUMIF(Dec_Period_2_Tbl[[#All],[STAFF:]],$A53,Dec_Period_2_Tbl[[#All],[$ SALARY]]))</f>
        <v>0</v>
      </c>
      <c r="I53" s="190">
        <f>(SUMIF(Jan_Period_1_Tbl[[#All],[STAFF:]],$A53,Jan_Period_1_Tbl[[#All],[$ SALARY PT]])+
SUMIF(Feb_Period_1_Tbl[[#All],[STAFF:]],$A53,Feb_Period_1_Tbl[[#All],[$ SALARY PT]])+SUMIF(Mar_Period_1_Tbl[[#All],[STAFF:]],$A53,Mar_Period_1_Tbl[[#All],[$ SALARY PT]])+SUMIF(Apr_Period_1_Tbl[[#All],[STAFF:]],$A53,Apr_Period_1_Tbl[[#All],[$ SALARY PT]])+   SUMIF(May_Period_1_Tbl[[#All],[STAFF:]],$A53,May_Period_1_Tbl[[#All],[$ SALARY PT]])+   SUMIF(Jun_Period_1_Tbl[[#All],[STAFF:]],$A53,Jun_Period_1_Tbl[[#All],[$ SALARY PT]])+  SUMIF(Jul_Period_1_Tbl[[#All],[STAFF:]],$A53,Jul_Period_1_Tbl[[#All],[$ SALARY PT]])+  SUMIF(Aug_Period_1_Tbl[[#All],[STAFF:]],$A53,Aug_Period_1_Tbl[[#All],[$ SALARY PT]])+  SUMIF(Sep_Period_1_Tbl[[#All],[STAFF:]],$A53,Sep_Period_1_Tbl[[#All],[$ SALARY PT]])+  SUMIF(Oct_Period_1_Tbl[[#All],[STAFF:]],$A53,Oct_Period_1_Tbl[[#All],[$ SALARY PT]])+     SUMIF(Nov_Period_1_Tbl[[#All],[STAFF:]],$A53,Nov_Period_1_Tbl[[#All],[$ SALARY PT]])+  SUMIF(Dec_Period_1_Tbl[[#All],[STAFF:]],$A53,Dec_Period_1_Tbl[[#All],[$ SALARY PT]]))+   (SUMIF(Jan_Period_2_Tbl[[#All],[STAFF:]],$A53,Jan_Period_2_Tbl[[#All],[$ SALARY PT]])+
SUMIF(Feb_Period_2_Tbl[[#All],[STAFF:]],$A53,Feb_Period_2_Tbl[[#All],[$ SALARY PT]])+SUMIF(Mar_Period_2_Tbl[[#All],[STAFF:]],$A53,Mar_Period_2_Tbl[[#All],[$ SALARY PT]])+SUMIF(Apr_Period_2_Tbl[[#All],[STAFF:]],$A53,Apr_Period_2_Tbl[[#All],[$ SALARY PT]])+   SUMIF(May_Period_2_Tbl[[#All],[STAFF:]],$A53,May_Period_2_Tbl[[#All],[$ SALARY PT]])+   SUMIF(Jun_Period_2_Tbl[[#All],[STAFF:]],$A53,Jun_Period_2_Tbl[[#All],[$ SALARY PT]])+  SUMIF(Jul_Period_2_Tbl[[#All],[STAFF:]],$A53,Jul_Period_2_Tbl[[#All],[$ SALARY PT]])+  SUMIF(Aug_Period_2_Tbl[[#All],[STAFF:]],$A53,Aug_Period_2_Tbl[[#All],[$ SALARY PT]])+  SUMIF(Sep_Period_2_Tbl[[#All],[STAFF:]],$A53,Sep_Period_2_Tbl[[#All],[$ SALARY PT]])+  SUMIF(Oct_Period_2_Tbl[[#All],[STAFF:]],$A53,Oct_Period_2_Tbl[[#All],[$ SALARY PT]])+     SUMIF(Nov_Period_2_Tbl[[#All],[STAFF:]],$A53,Nov_Period_2_Tbl[[#All],[$ SALARY PT]])+  SUMIF(Dec_Period_2_Tbl[[#All],[STAFF:]],$A53,Dec_Period_2_Tbl[[#All],[$ SALARY PT]]))</f>
        <v>0</v>
      </c>
      <c r="J53" s="190">
        <f>(SUMIF(Jan_Period_1_Tbl[[#All],[STAFF:]],$A53,Jan_Period_1_Tbl[[#All],[$ FREE PT]])+
SUMIF(Feb_Period_1_Tbl[[#All],[STAFF:]],$A53,Feb_Period_1_Tbl[[#All],[$ FREE PT]])+SUMIF(Mar_Period_1_Tbl[[#All],[STAFF:]],$A53,Mar_Period_1_Tbl[[#All],[$ FREE PT]])+SUMIF(Apr_Period_1_Tbl[[#All],[STAFF:]],$A53,Apr_Period_1_Tbl[[#All],[$ FREE PT]])+   SUMIF(May_Period_1_Tbl[[#All],[STAFF:]],$A53,May_Period_1_Tbl[[#All],[$ FREE PT]])+   SUMIF(Jun_Period_1_Tbl[[#All],[STAFF:]],$A53,Jun_Period_1_Tbl[[#All],[$ FREE PT]])+  SUMIF(Jul_Period_1_Tbl[[#All],[STAFF:]],$A53,Jul_Period_1_Tbl[[#All],[$ FREE PT]])+  SUMIF(Aug_Period_1_Tbl[[#All],[STAFF:]],$A53,Aug_Period_1_Tbl[[#All],[$ FREE PT]])+  SUMIF(Sep_Period_1_Tbl[[#All],[STAFF:]],$A53,Sep_Period_1_Tbl[[#All],[$ FREE PT]])+  SUMIF(Oct_Period_1_Tbl[[#All],[STAFF:]],$A53,Oct_Period_1_Tbl[[#All],[$ FREE PT]])+     SUMIF(Nov_Period_1_Tbl[[#All],[STAFF:]],$A53,Nov_Period_1_Tbl[[#All],[$ FREE PT]])+  SUMIF(Dec_Period_1_Tbl[[#All],[STAFF:]],$A53,Dec_Period_1_Tbl[[#All],[$ FREE PT]]))+   (SUMIF(Jan_Period_2_Tbl[[#All],[STAFF:]],$A53,Jan_Period_2_Tbl[[#All],[$ FREE PT]])+
SUMIF(Feb_Period_2_Tbl[[#All],[STAFF:]],$A53,Feb_Period_2_Tbl[[#All],[$ FREE PT]])+SUMIF(Mar_Period_2_Tbl[[#All],[STAFF:]],$A53,Mar_Period_2_Tbl[[#All],[$ FREE PT]])+SUMIF(Apr_Period_2_Tbl[[#All],[STAFF:]],$A53,Apr_Period_2_Tbl[[#All],[$ FREE PT]])+   SUMIF(May_Period_2_Tbl[[#All],[STAFF:]],$A53,May_Period_2_Tbl[[#All],[$ FREE PT]])+   SUMIF(Jun_Period_2_Tbl[[#All],[STAFF:]],$A53,Jun_Period_2_Tbl[[#All],[$ FREE PT]])+  SUMIF(Jul_Period_2_Tbl[[#All],[STAFF:]],$A53,Jul_Period_2_Tbl[[#All],[$ FREE PT]])+  SUMIF(Aug_Period_2_Tbl[[#All],[STAFF:]],$A53,Aug_Period_2_Tbl[[#All],[$ FREE PT]])+  SUMIF(Sep_Period_2_Tbl[[#All],[STAFF:]],$A53,Sep_Period_2_Tbl[[#All],[$ FREE PT]])+  SUMIF(Oct_Period_2_Tbl[[#All],[STAFF:]],$A53,Oct_Period_2_Tbl[[#All],[$ FREE PT]])+     SUMIF(Nov_Period_2_Tbl[[#All],[STAFF:]],$A53,Nov_Period_2_Tbl[[#All],[$ FREE PT]])+  SUMIF(Dec_Period_2_Tbl[[#All],[STAFF:]],$A53,Dec_Period_2_Tbl[[#All],[$ FREE PT]]))</f>
        <v>0</v>
      </c>
      <c r="K53" s="190">
        <f>(SUMIF(Jan_Period_1_Tbl[[#All],[STAFF:]],$A53,Jan_Period_1_Tbl[[#All],[$ PAID PT]])+
SUMIF(Feb_Period_1_Tbl[[#All],[STAFF:]],$A53,Feb_Period_1_Tbl[[#All],[$ PAID PT]])+SUMIF(Mar_Period_1_Tbl[[#All],[STAFF:]],$A53,Mar_Period_1_Tbl[[#All],[$ PAID PT]])+SUMIF(Apr_Period_1_Tbl[[#All],[STAFF:]],$A53,Apr_Period_1_Tbl[[#All],[$ PAID PT]])+   SUMIF(May_Period_1_Tbl[[#All],[STAFF:]],$A53,May_Period_1_Tbl[[#All],[$ PAID PT]])+   SUMIF(Jun_Period_1_Tbl[[#All],[STAFF:]],$A53,Jun_Period_1_Tbl[[#All],[$ PAID PT]])+  SUMIF(Jul_Period_1_Tbl[[#All],[STAFF:]],$A53,Jul_Period_1_Tbl[[#All],[$ PAID PT]])+  SUMIF(Aug_Period_1_Tbl[[#All],[STAFF:]],$A53,Aug_Period_1_Tbl[[#All],[$ PAID PT]])+  SUMIF(Sep_Period_1_Tbl[[#All],[STAFF:]],$A53,Sep_Period_1_Tbl[[#All],[$ PAID PT]])+  SUMIF(Oct_Period_1_Tbl[[#All],[STAFF:]],$A53,Oct_Period_1_Tbl[[#All],[$ PAID PT]])+     SUMIF(Nov_Period_1_Tbl[[#All],[STAFF:]],$A53,Nov_Period_1_Tbl[[#All],[$ PAID PT]])+  SUMIF(Dec_Period_1_Tbl[[#All],[STAFF:]],$A53,Dec_Period_1_Tbl[[#All],[$ PAID PT]]))+   (SUMIF(Jan_Period_2_Tbl[[#All],[STAFF:]],$A53,Jan_Period_2_Tbl[[#All],[$ PAID PT]])+
SUMIF(Feb_Period_2_Tbl[[#All],[STAFF:]],$A53,Feb_Period_2_Tbl[[#All],[$ PAID PT]])+SUMIF(Mar_Period_2_Tbl[[#All],[STAFF:]],$A53,Mar_Period_2_Tbl[[#All],[$ PAID PT]])+SUMIF(Apr_Period_2_Tbl[[#All],[STAFF:]],$A53,Apr_Period_2_Tbl[[#All],[$ PAID PT]])+   SUMIF(May_Period_2_Tbl[[#All],[STAFF:]],$A53,May_Period_2_Tbl[[#All],[$ PAID PT]])+   SUMIF(Jun_Period_2_Tbl[[#All],[STAFF:]],$A53,Jun_Period_2_Tbl[[#All],[$ PAID PT]])+  SUMIF(Jul_Period_2_Tbl[[#All],[STAFF:]],$A53,Jul_Period_2_Tbl[[#All],[$ PAID PT]])+  SUMIF(Aug_Period_2_Tbl[[#All],[STAFF:]],$A53,Aug_Period_2_Tbl[[#All],[$ PAID PT]])+  SUMIF(Sep_Period_2_Tbl[[#All],[STAFF:]],$A53,Sep_Period_2_Tbl[[#All],[$ PAID PT]])+  SUMIF(Oct_Period_2_Tbl[[#All],[STAFF:]],$A53,Oct_Period_2_Tbl[[#All],[$ PAID PT]])+     SUMIF(Nov_Period_2_Tbl[[#All],[STAFF:]],$A53,Nov_Period_2_Tbl[[#All],[$ PAID PT]])+  SUMIF(Dec_Period_2_Tbl[[#All],[STAFF:]],$A53,Dec_Period_2_Tbl[[#All],[$ PAID PT]]))</f>
        <v>0</v>
      </c>
      <c r="L53" s="190">
        <f>(SUMIF(Jan_Period_1_Tbl[[#All],[STAFF:]],$A53,Jan_Period_1_Tbl[[#All],[$ PT COMM]])+
SUMIF(Feb_Period_1_Tbl[[#All],[STAFF:]],$A53,Feb_Period_1_Tbl[[#All],[$ PT COMM]])+SUMIF(Mar_Period_1_Tbl[[#All],[STAFF:]],$A53,Mar_Period_1_Tbl[[#All],[$ PT COMM]])+SUMIF(Apr_Period_1_Tbl[[#All],[STAFF:]],$A53,Apr_Period_1_Tbl[[#All],[$ PT COMM]])+   SUMIF(May_Period_1_Tbl[[#All],[STAFF:]],$A53,May_Period_1_Tbl[[#All],[$ PT COMM]])+   SUMIF(Jun_Period_1_Tbl[[#All],[STAFF:]],$A53,Jun_Period_1_Tbl[[#All],[$ PT COMM]])+  SUMIF(Jul_Period_1_Tbl[[#All],[STAFF:]],$A53,Jul_Period_1_Tbl[[#All],[$ PT COMM]])+  SUMIF(Aug_Period_1_Tbl[[#All],[STAFF:]],$A53,Aug_Period_1_Tbl[[#All],[$ PT COMM]])+  SUMIF(Sep_Period_1_Tbl[[#All],[STAFF:]],$A53,Sep_Period_1_Tbl[[#All],[$ PT COMM]])+  SUMIF(Oct_Period_1_Tbl[[#All],[STAFF:]],$A53,Oct_Period_1_Tbl[[#All],[$ PT COMM]])+     SUMIF(Nov_Period_1_Tbl[[#All],[STAFF:]],$A53,Nov_Period_1_Tbl[[#All],[$ PT COMM]])+  SUMIF(Dec_Period_1_Tbl[[#All],[STAFF:]],$A53,Dec_Period_1_Tbl[[#All],[$ PT COMM]]))+   (SUMIF(Jan_Period_2_Tbl[[#All],[STAFF:]],$A53,Jan_Period_2_Tbl[[#All],[$ PT COMM]])+
SUMIF(Feb_Period_2_Tbl[[#All],[STAFF:]],$A53,Feb_Period_2_Tbl[[#All],[$ PT COMM]])+SUMIF(Mar_Period_2_Tbl[[#All],[STAFF:]],$A53,Mar_Period_2_Tbl[[#All],[$ PT COMM]])+SUMIF(Apr_Period_2_Tbl[[#All],[STAFF:]],$A53,Apr_Period_2_Tbl[[#All],[$ PT COMM]])+   SUMIF(May_Period_2_Tbl[[#All],[STAFF:]],$A53,May_Period_2_Tbl[[#All],[$ PT COMM]])+   SUMIF(Jun_Period_2_Tbl[[#All],[STAFF:]],$A53,Jun_Period_2_Tbl[[#All],[$ PT COMM]])+  SUMIF(Jul_Period_2_Tbl[[#All],[STAFF:]],$A53,Jul_Period_2_Tbl[[#All],[$ PT COMM]])+  SUMIF(Aug_Period_2_Tbl[[#All],[STAFF:]],$A53,Aug_Period_2_Tbl[[#All],[$ PT COMM]])+  SUMIF(Sep_Period_2_Tbl[[#All],[STAFF:]],$A53,Sep_Period_2_Tbl[[#All],[$ PT COMM]])+  SUMIF(Oct_Period_2_Tbl[[#All],[STAFF:]],$A53,Oct_Period_2_Tbl[[#All],[$ PT COMM]])+     SUMIF(Nov_Period_2_Tbl[[#All],[STAFF:]],$A53,Nov_Period_2_Tbl[[#All],[$ PT COMM]])+  SUMIF(Dec_Period_2_Tbl[[#All],[STAFF:]],$A53,Dec_Period_2_Tbl[[#All],[$ PT COMM]]))</f>
        <v>0</v>
      </c>
      <c r="M53" s="190">
        <f>(SUMIF(Jan_Period_1_Tbl[[#All],[STAFF:]],$A53,Jan_Period_1_Tbl[[#All],[$ EFT COMM]])+
SUMIF(Feb_Period_1_Tbl[[#All],[STAFF:]],$A53,Feb_Period_1_Tbl[[#All],[$ EFT COMM]])+SUMIF(Mar_Period_1_Tbl[[#All],[STAFF:]],$A53,Mar_Period_1_Tbl[[#All],[$ EFT COMM]])+SUMIF(Apr_Period_1_Tbl[[#All],[STAFF:]],$A53,Apr_Period_1_Tbl[[#All],[$ EFT COMM]])+   SUMIF(May_Period_1_Tbl[[#All],[STAFF:]],$A53,May_Period_1_Tbl[[#All],[$ EFT COMM]])+   SUMIF(Jun_Period_1_Tbl[[#All],[STAFF:]],$A53,Jun_Period_1_Tbl[[#All],[$ EFT COMM]])+  SUMIF(Jul_Period_1_Tbl[[#All],[STAFF:]],$A53,Jul_Period_1_Tbl[[#All],[$ EFT COMM]])+  SUMIF(Aug_Period_1_Tbl[[#All],[STAFF:]],$A53,Aug_Period_1_Tbl[[#All],[$ EFT COMM]])+  SUMIF(Sep_Period_1_Tbl[[#All],[STAFF:]],$A53,Sep_Period_1_Tbl[[#All],[$ EFT COMM]])+  SUMIF(Oct_Period_1_Tbl[[#All],[STAFF:]],$A53,Oct_Period_1_Tbl[[#All],[$ EFT COMM]])+     SUMIF(Nov_Period_1_Tbl[[#All],[STAFF:]],$A53,Nov_Period_1_Tbl[[#All],[$ EFT COMM]])+  SUMIF(Dec_Period_1_Tbl[[#All],[STAFF:]],$A53,Dec_Period_1_Tbl[[#All],[$ EFT COMM]]))+   (SUMIF(Jan_Period_2_Tbl[[#All],[STAFF:]],$A53,Jan_Period_2_Tbl[[#All],[$ EFT COMM]])+
SUMIF(Feb_Period_2_Tbl[[#All],[STAFF:]],$A53,Feb_Period_2_Tbl[[#All],[$ EFT COMM]])+SUMIF(Mar_Period_2_Tbl[[#All],[STAFF:]],$A53,Mar_Period_2_Tbl[[#All],[$ EFT COMM]])+SUMIF(Apr_Period_2_Tbl[[#All],[STAFF:]],$A53,Apr_Period_2_Tbl[[#All],[$ EFT COMM]])+   SUMIF(May_Period_2_Tbl[[#All],[STAFF:]],$A53,May_Period_2_Tbl[[#All],[$ EFT COMM]])+   SUMIF(Jun_Period_2_Tbl[[#All],[STAFF:]],$A53,Jun_Period_2_Tbl[[#All],[$ EFT COMM]])+  SUMIF(Jul_Period_2_Tbl[[#All],[STAFF:]],$A53,Jul_Period_2_Tbl[[#All],[$ EFT COMM]])+  SUMIF(Aug_Period_2_Tbl[[#All],[STAFF:]],$A53,Aug_Period_2_Tbl[[#All],[$ EFT COMM]])+  SUMIF(Sep_Period_2_Tbl[[#All],[STAFF:]],$A53,Sep_Period_2_Tbl[[#All],[$ EFT COMM]])+  SUMIF(Oct_Period_2_Tbl[[#All],[STAFF:]],$A53,Oct_Period_2_Tbl[[#All],[$ EFT COMM]])+     SUMIF(Nov_Period_2_Tbl[[#All],[STAFF:]],$A53,Nov_Period_2_Tbl[[#All],[$ EFT COMM]])+  SUMIF(Dec_Period_2_Tbl[[#All],[STAFF:]],$A53,Dec_Period_2_Tbl[[#All],[$ EFT COMM]]))</f>
        <v>0</v>
      </c>
      <c r="N53" s="190">
        <f>(SUMIF(Jan_Period_1_Tbl[[#All],[STAFF:]],$A53,Jan_Period_1_Tbl[[#All],[$ CLASS PAY]])+
SUMIF(Feb_Period_1_Tbl[[#All],[STAFF:]],$A53,Feb_Period_1_Tbl[[#All],[$ CLASS PAY]])+SUMIF(Mar_Period_1_Tbl[[#All],[STAFF:]],$A53,Mar_Period_1_Tbl[[#All],[$ CLASS PAY]])+SUMIF(Apr_Period_1_Tbl[[#All],[STAFF:]],$A53,Apr_Period_1_Tbl[[#All],[$ CLASS PAY]])+   SUMIF(May_Period_1_Tbl[[#All],[STAFF:]],$A53,May_Period_1_Tbl[[#All],[$ CLASS PAY]])+   SUMIF(Jun_Period_1_Tbl[[#All],[STAFF:]],$A53,Jun_Period_1_Tbl[[#All],[$ CLASS PAY]])+  SUMIF(Jul_Period_1_Tbl[[#All],[STAFF:]],$A53,Jul_Period_1_Tbl[[#All],[$ CLASS PAY]])+  SUMIF(Aug_Period_1_Tbl[[#All],[STAFF:]],$A53,Aug_Period_1_Tbl[[#All],[$ CLASS PAY]])+  SUMIF(Sep_Period_1_Tbl[[#All],[STAFF:]],$A53,Sep_Period_1_Tbl[[#All],[$ CLASS PAY]])+  SUMIF(Oct_Period_1_Tbl[[#All],[STAFF:]],$A53,Oct_Period_1_Tbl[[#All],[$ CLASS PAY]])+     SUMIF(Nov_Period_1_Tbl[[#All],[STAFF:]],$A53,Nov_Period_1_Tbl[[#All],[$ CLASS PAY]])+  SUMIF(Dec_Period_1_Tbl[[#All],[STAFF:]],$A53,Dec_Period_1_Tbl[[#All],[$ CLASS PAY]]))+   (SUMIF(Jan_Period_2_Tbl[[#All],[STAFF:]],$A53,Jan_Period_2_Tbl[[#All],[$ CLASS PAY]])+
SUMIF(Feb_Period_2_Tbl[[#All],[STAFF:]],$A53,Feb_Period_2_Tbl[[#All],[$ CLASS PAY]])+SUMIF(Mar_Period_2_Tbl[[#All],[STAFF:]],$A53,Mar_Period_2_Tbl[[#All],[$ CLASS PAY]])+SUMIF(Apr_Period_2_Tbl[[#All],[STAFF:]],$A53,Apr_Period_2_Tbl[[#All],[$ CLASS PAY]])+   SUMIF(May_Period_2_Tbl[[#All],[STAFF:]],$A53,May_Period_2_Tbl[[#All],[$ CLASS PAY]])+   SUMIF(Jun_Period_2_Tbl[[#All],[STAFF:]],$A53,Jun_Period_2_Tbl[[#All],[$ CLASS PAY]])+  SUMIF(Jul_Period_2_Tbl[[#All],[STAFF:]],$A53,Jul_Period_2_Tbl[[#All],[$ CLASS PAY]])+  SUMIF(Aug_Period_2_Tbl[[#All],[STAFF:]],$A53,Aug_Period_2_Tbl[[#All],[$ CLASS PAY]])+  SUMIF(Sep_Period_2_Tbl[[#All],[STAFF:]],$A53,Sep_Period_2_Tbl[[#All],[$ CLASS PAY]])+  SUMIF(Oct_Period_2_Tbl[[#All],[STAFF:]],$A53,Oct_Period_2_Tbl[[#All],[$ CLASS PAY]])+     SUMIF(Nov_Period_2_Tbl[[#All],[STAFF:]],$A53,Nov_Period_2_Tbl[[#All],[$ CLASS PAY]])+  SUMIF(Dec_Period_2_Tbl[[#All],[STAFF:]],$A53,Dec_Period_2_Tbl[[#All],[$ CLASS PAY]]))</f>
        <v>0</v>
      </c>
      <c r="O53" s="191">
        <f>(SUMIF(Jan_Period_1_Tbl[[#All],[STAFF:]],$A53,Jan_Period_1_Tbl[[#All],[$ BONUS PAY]])+
SUMIF(Feb_Period_1_Tbl[[#All],[STAFF:]],$A53,Feb_Period_1_Tbl[[#All],[$ BONUS PAY]])+SUMIF(Mar_Period_1_Tbl[[#All],[STAFF:]],$A53,Mar_Period_1_Tbl[[#All],[$ BONUS PAY]])+SUMIF(Apr_Period_1_Tbl[[#All],[STAFF:]],$A53,Apr_Period_1_Tbl[[#All],[$ BONUS PAY]])+   SUMIF(May_Period_1_Tbl[[#All],[STAFF:]],$A53,May_Period_1_Tbl[[#All],[$ BONUS PAY]])+   SUMIF(Jun_Period_1_Tbl[[#All],[STAFF:]],$A53,Jun_Period_1_Tbl[[#All],[$ BONUS PAY]])+  SUMIF(Jul_Period_1_Tbl[[#All],[STAFF:]],$A53,Jul_Period_1_Tbl[[#All],[$ BONUS PAY]])+  SUMIF(Aug_Period_1_Tbl[[#All],[STAFF:]],$A53,Aug_Period_1_Tbl[[#All],[$ BONUS PAY]])+  SUMIF(Sep_Period_1_Tbl[[#All],[STAFF:]],$A53,Sep_Period_1_Tbl[[#All],[$ BONUS PAY]])+  SUMIF(Oct_Period_1_Tbl[[#All],[STAFF:]],$A53,Oct_Period_1_Tbl[[#All],[$ BONUS PAY]])+     SUMIF(Nov_Period_1_Tbl[[#All],[STAFF:]],$A53,Nov_Period_1_Tbl[[#All],[$ BONUS PAY]])+  SUMIF(Dec_Period_1_Tbl[[#All],[STAFF:]],$A53,Dec_Period_1_Tbl[[#All],[$ BONUS PAY]]))+   (SUMIF(Jan_Period_2_Tbl[[#All],[STAFF:]],$A53,Jan_Period_2_Tbl[[#All],[$ BONUS PAY]])+
SUMIF(Feb_Period_2_Tbl[[#All],[STAFF:]],$A53,Feb_Period_2_Tbl[[#All],[$ BONUS PAY]])+SUMIF(Mar_Period_2_Tbl[[#All],[STAFF:]],$A53,Mar_Period_2_Tbl[[#All],[$ BONUS PAY]])+SUMIF(Apr_Period_2_Tbl[[#All],[STAFF:]],$A53,Apr_Period_2_Tbl[[#All],[$ BONUS PAY]])+   SUMIF(May_Period_2_Tbl[[#All],[STAFF:]],$A53,May_Period_2_Tbl[[#All],[$ BONUS PAY]])+   SUMIF(Jun_Period_2_Tbl[[#All],[STAFF:]],$A53,Jun_Period_2_Tbl[[#All],[$ BONUS PAY]])+  SUMIF(Jul_Period_2_Tbl[[#All],[STAFF:]],$A53,Jul_Period_2_Tbl[[#All],[$ BONUS PAY]])+  SUMIF(Aug_Period_2_Tbl[[#All],[STAFF:]],$A53,Aug_Period_2_Tbl[[#All],[$ BONUS PAY]])+  SUMIF(Sep_Period_2_Tbl[[#All],[STAFF:]],$A53,Sep_Period_2_Tbl[[#All],[$ BONUS PAY]])+  SUMIF(Oct_Period_2_Tbl[[#All],[STAFF:]],$A53,Oct_Period_2_Tbl[[#All],[$ BONUS PAY]])+     SUMIF(Nov_Period_2_Tbl[[#All],[STAFF:]],$A53,Nov_Period_2_Tbl[[#All],[$ BONUS PAY]])+  SUMIF(Dec_Period_2_Tbl[[#All],[STAFF:]],$A53,Dec_Period_2_Tbl[[#All],[$ BONUS PAY]]))</f>
        <v>0</v>
      </c>
      <c r="P53" s="179">
        <f t="shared" si="9"/>
        <v>0</v>
      </c>
      <c r="Q53" s="149"/>
      <c r="R53" s="153">
        <f>(SUMIF(Jan_Period_1_Tbl[[#All],[STAFF:]],$A53,Jan_Period_1_Tbl[[#All],['# POINTS EARNED]])+
SUMIF(Feb_Period_1_Tbl[[#All],[STAFF:]],$A53,Feb_Period_1_Tbl[[#All],['# POINTS EARNED]])+SUMIF(Mar_Period_1_Tbl[[#All],[STAFF:]],$A53,Mar_Period_1_Tbl[[#All],['# POINTS EARNED]])+SUMIF(Apr_Period_1_Tbl[[#All],[STAFF:]],$A53,Apr_Period_1_Tbl[[#All],['# POINTS EARNED]])+   SUMIF(May_Period_1_Tbl[[#All],[STAFF:]],$A53,May_Period_1_Tbl[[#All],['# POINTS EARNED]])+   SUMIF(Jun_Period_1_Tbl[[#All],[STAFF:]],$A53,Jun_Period_1_Tbl[[#All],['# POINTS EARNED]])+  SUMIF(Jul_Period_1_Tbl[[#All],[STAFF:]],$A53,Jul_Period_1_Tbl[[#All],['# POINTS EARNED]])+  SUMIF(Aug_Period_1_Tbl[[#All],[STAFF:]],$A53,Aug_Period_1_Tbl[[#All],['# POINTS EARNED]])+  SUMIF(Sep_Period_1_Tbl[[#All],[STAFF:]],$A53,Sep_Period_1_Tbl[[#All],['# POINTS EARNED]])+  SUMIF(Oct_Period_1_Tbl[[#All],[STAFF:]],$A53,Oct_Period_1_Tbl[[#All],['# POINTS EARNED]])+     SUMIF(Nov_Period_1_Tbl[[#All],[STAFF:]],$A53,Nov_Period_1_Tbl[[#All],['# POINTS EARNED]])+  SUMIF(Dec_Period_1_Tbl[[#All],[STAFF:]],$A53,Dec_Period_1_Tbl[[#All],['# POINTS EARNED]]))+   (SUMIF(Jan_Period_2_Tbl[[#All],[STAFF:]],$A53,Jan_Period_2_Tbl[[#All],['# POINTS EARNED]])+
SUMIF(Feb_Period_2_Tbl[[#All],[STAFF:]],$A53,Feb_Period_2_Tbl[[#All],['# POINTS EARNED]])+SUMIF(Mar_Period_2_Tbl[[#All],[STAFF:]],$A53,Mar_Period_2_Tbl[[#All],['# POINTS EARNED]])+SUMIF(Apr_Period_2_Tbl[[#All],[STAFF:]],$A53,Apr_Period_2_Tbl[[#All],['# POINTS EARNED]])+   SUMIF(May_Period_2_Tbl[[#All],[STAFF:]],$A53,May_Period_2_Tbl[[#All],['# POINTS EARNED]])+   SUMIF(Jun_Period_2_Tbl[[#All],[STAFF:]],$A53,Jun_Period_2_Tbl[[#All],['# POINTS EARNED]])+  SUMIF(Jul_Period_2_Tbl[[#All],[STAFF:]],$A53,Jul_Period_2_Tbl[[#All],['# POINTS EARNED]])+  SUMIF(Aug_Period_2_Tbl[[#All],[STAFF:]],$A53,Aug_Period_2_Tbl[[#All],['# POINTS EARNED]])+  SUMIF(Sep_Period_2_Tbl[[#All],[STAFF:]],$A53,Sep_Period_2_Tbl[[#All],['# POINTS EARNED]])+  SUMIF(Oct_Period_2_Tbl[[#All],[STAFF:]],$A53,Oct_Period_2_Tbl[[#All],['# POINTS EARNED]])+     SUMIF(Nov_Period_2_Tbl[[#All],[STAFF:]],$A53,Nov_Period_2_Tbl[[#All],['# POINTS EARNED]])+  SUMIF(Dec_Period_2_Tbl[[#All],[STAFF:]],$A53,Dec_Period_2_Tbl[[#All],['# POINTS EARNED]]))</f>
        <v>0</v>
      </c>
      <c r="S53" s="153">
        <f>(SUMIF(Jan_Period_1_Tbl[[#All],[STAFF:]],$A53,Jan_Period_1_Tbl[[#All],['# POINTS USED]])+
SUMIF(Feb_Period_1_Tbl[[#All],[STAFF:]],$A53,Feb_Period_1_Tbl[[#All],['# POINTS USED]])+SUMIF(Mar_Period_1_Tbl[[#All],[STAFF:]],$A53,Mar_Period_1_Tbl[[#All],['# POINTS USED]])+SUMIF(Apr_Period_1_Tbl[[#All],[STAFF:]],$A53,Apr_Period_1_Tbl[[#All],['# POINTS USED]])+   SUMIF(May_Period_1_Tbl[[#All],[STAFF:]],$A53,May_Period_1_Tbl[[#All],['# POINTS USED]])+   SUMIF(Jun_Period_1_Tbl[[#All],[STAFF:]],$A53,Jun_Period_1_Tbl[[#All],['# POINTS USED]])+  SUMIF(Jul_Period_1_Tbl[[#All],[STAFF:]],$A53,Jul_Period_1_Tbl[[#All],['# POINTS USED]])+  SUMIF(Aug_Period_1_Tbl[[#All],[STAFF:]],$A53,Aug_Period_1_Tbl[[#All],['# POINTS USED]])+  SUMIF(Sep_Period_1_Tbl[[#All],[STAFF:]],$A53,Sep_Period_1_Tbl[[#All],['# POINTS USED]])+  SUMIF(Oct_Period_1_Tbl[[#All],[STAFF:]],$A53,Oct_Period_1_Tbl[[#All],['# POINTS USED]])+     SUMIF(Nov_Period_1_Tbl[[#All],[STAFF:]],$A53,Nov_Period_1_Tbl[[#All],['# POINTS USED]])+  SUMIF(Dec_Period_1_Tbl[[#All],[STAFF:]],$A53,Dec_Period_1_Tbl[[#All],['# POINTS USED]]))+   (SUMIF(Jan_Period_2_Tbl[[#All],[STAFF:]],$A53,Jan_Period_2_Tbl[[#All],['# POINTS USED]])+
SUMIF(Feb_Period_2_Tbl[[#All],[STAFF:]],$A53,Feb_Period_2_Tbl[[#All],['# POINTS USED]])+SUMIF(Mar_Period_2_Tbl[[#All],[STAFF:]],$A53,Mar_Period_2_Tbl[[#All],['# POINTS USED]])+SUMIF(Apr_Period_2_Tbl[[#All],[STAFF:]],$A53,Apr_Period_2_Tbl[[#All],['# POINTS USED]])+   SUMIF(May_Period_2_Tbl[[#All],[STAFF:]],$A53,May_Period_2_Tbl[[#All],['# POINTS USED]])+   SUMIF(Jun_Period_2_Tbl[[#All],[STAFF:]],$A53,Jun_Period_2_Tbl[[#All],['# POINTS USED]])+  SUMIF(Jul_Period_2_Tbl[[#All],[STAFF:]],$A53,Jul_Period_2_Tbl[[#All],['# POINTS USED]])+  SUMIF(Aug_Period_2_Tbl[[#All],[STAFF:]],$A53,Aug_Period_2_Tbl[[#All],['# POINTS USED]])+  SUMIF(Sep_Period_2_Tbl[[#All],[STAFF:]],$A53,Sep_Period_2_Tbl[[#All],['# POINTS USED]])+  SUMIF(Oct_Period_2_Tbl[[#All],[STAFF:]],$A53,Oct_Period_2_Tbl[[#All],['# POINTS USED]])+     SUMIF(Nov_Period_2_Tbl[[#All],[STAFF:]],$A53,Nov_Period_2_Tbl[[#All],['# POINTS USED]])+  SUMIF(Dec_Period_2_Tbl[[#All],[STAFF:]],$A53,Dec_Period_2_Tbl[[#All],['# POINTS USED]]))</f>
        <v>0</v>
      </c>
      <c r="T53" s="153">
        <f>(SUMIF(Jan_Period_1_Tbl[[#All],[STAFF:]],$A53,Jan_Period_1_Tbl[[#All],['# CLASSES LEAD]])+
SUMIF(Feb_Period_1_Tbl[[#All],[STAFF:]],$A53,Feb_Period_1_Tbl[[#All],['# CLASSES LEAD]])+SUMIF(Mar_Period_1_Tbl[[#All],[STAFF:]],$A53,Mar_Period_1_Tbl[[#All],['# CLASSES LEAD]])+SUMIF(Apr_Period_1_Tbl[[#All],[STAFF:]],$A53,Apr_Period_1_Tbl[[#All],['# CLASSES LEAD]])+   SUMIF(May_Period_1_Tbl[[#All],[STAFF:]],$A53,May_Period_1_Tbl[[#All],['# CLASSES LEAD]])+   SUMIF(Jun_Period_1_Tbl[[#All],[STAFF:]],$A53,Jun_Period_1_Tbl[[#All],['# CLASSES LEAD]])+  SUMIF(Jul_Period_1_Tbl[[#All],[STAFF:]],$A53,Jul_Period_1_Tbl[[#All],['# CLASSES LEAD]])+  SUMIF(Aug_Period_1_Tbl[[#All],[STAFF:]],$A53,Aug_Period_1_Tbl[[#All],['# CLASSES LEAD]])+  SUMIF(Sep_Period_1_Tbl[[#All],[STAFF:]],$A53,Sep_Period_1_Tbl[[#All],['# CLASSES LEAD]])+  SUMIF(Oct_Period_1_Tbl[[#All],[STAFF:]],$A53,Oct_Period_1_Tbl[[#All],['# CLASSES LEAD]])+     SUMIF(Nov_Period_1_Tbl[[#All],[STAFF:]],$A53,Nov_Period_1_Tbl[[#All],['# CLASSES LEAD]])+  SUMIF(Dec_Period_1_Tbl[[#All],[STAFF:]],$A53,Dec_Period_1_Tbl[[#All],['# CLASSES LEAD]]))+   (SUMIF(Jan_Period_2_Tbl[[#All],[STAFF:]],$A53,Jan_Period_2_Tbl[[#All],['# CLASSES LEAD]])+
SUMIF(Feb_Period_2_Tbl[[#All],[STAFF:]],$A53,Feb_Period_2_Tbl[[#All],['# CLASSES LEAD]])+SUMIF(Mar_Period_2_Tbl[[#All],[STAFF:]],$A53,Mar_Period_2_Tbl[[#All],['# CLASSES LEAD]])+SUMIF(Apr_Period_2_Tbl[[#All],[STAFF:]],$A53,Apr_Period_2_Tbl[[#All],['# CLASSES LEAD]])+   SUMIF(May_Period_2_Tbl[[#All],[STAFF:]],$A53,May_Period_2_Tbl[[#All],['# CLASSES LEAD]])+   SUMIF(Jun_Period_2_Tbl[[#All],[STAFF:]],$A53,Jun_Period_2_Tbl[[#All],['# CLASSES LEAD]])+  SUMIF(Jul_Period_2_Tbl[[#All],[STAFF:]],$A53,Jul_Period_2_Tbl[[#All],['# CLASSES LEAD]])+  SUMIF(Aug_Period_2_Tbl[[#All],[STAFF:]],$A53,Aug_Period_2_Tbl[[#All],['# CLASSES LEAD]])+  SUMIF(Sep_Period_2_Tbl[[#All],[STAFF:]],$A53,Sep_Period_2_Tbl[[#All],['# CLASSES LEAD]])+  SUMIF(Oct_Period_2_Tbl[[#All],[STAFF:]],$A53,Oct_Period_2_Tbl[[#All],['# CLASSES LEAD]])+     SUMIF(Nov_Period_2_Tbl[[#All],[STAFF:]],$A53,Nov_Period_2_Tbl[[#All],['# CLASSES LEAD]])+  SUMIF(Dec_Period_2_Tbl[[#All],[STAFF:]],$A53,Dec_Period_2_Tbl[[#All],['# CLASSES LEAD]]))</f>
        <v>0</v>
      </c>
      <c r="U53" s="153">
        <f>(SUMIF(Jan_Period_1_Tbl[[#All],[STAFF:]],$A53,Jan_Period_1_Tbl[[#All],['# CLASSES SHOW]])+
SUMIF(Feb_Period_1_Tbl[[#All],[STAFF:]],$A53,Feb_Period_1_Tbl[[#All],['# CLASSES SHOW]])+SUMIF(Mar_Period_1_Tbl[[#All],[STAFF:]],$A53,Mar_Period_1_Tbl[[#All],['# CLASSES SHOW]])+SUMIF(Apr_Period_1_Tbl[[#All],[STAFF:]],$A53,Apr_Period_1_Tbl[[#All],['# CLASSES SHOW]])+   SUMIF(May_Period_1_Tbl[[#All],[STAFF:]],$A53,May_Period_1_Tbl[[#All],['# CLASSES SHOW]])+   SUMIF(Jun_Period_1_Tbl[[#All],[STAFF:]],$A53,Jun_Period_1_Tbl[[#All],['# CLASSES SHOW]])+  SUMIF(Jul_Period_1_Tbl[[#All],[STAFF:]],$A53,Jul_Period_1_Tbl[[#All],['# CLASSES SHOW]])+  SUMIF(Aug_Period_1_Tbl[[#All],[STAFF:]],$A53,Aug_Period_1_Tbl[[#All],['# CLASSES SHOW]])+  SUMIF(Sep_Period_1_Tbl[[#All],[STAFF:]],$A53,Sep_Period_1_Tbl[[#All],['# CLASSES SHOW]])+  SUMIF(Oct_Period_1_Tbl[[#All],[STAFF:]],$A53,Oct_Period_1_Tbl[[#All],['# CLASSES SHOW]])+     SUMIF(Nov_Period_1_Tbl[[#All],[STAFF:]],$A53,Nov_Period_1_Tbl[[#All],['# CLASSES SHOW]])+  SUMIF(Dec_Period_1_Tbl[[#All],[STAFF:]],$A53,Dec_Period_1_Tbl[[#All],['# CLASSES SHOW]]))+   (SUMIF(Jan_Period_2_Tbl[[#All],[STAFF:]],$A53,Jan_Period_2_Tbl[[#All],['# CLASSES SHOW]])+
SUMIF(Feb_Period_2_Tbl[[#All],[STAFF:]],$A53,Feb_Period_2_Tbl[[#All],['# CLASSES SHOW]])+SUMIF(Mar_Period_2_Tbl[[#All],[STAFF:]],$A53,Mar_Period_2_Tbl[[#All],['# CLASSES SHOW]])+SUMIF(Apr_Period_2_Tbl[[#All],[STAFF:]],$A53,Apr_Period_2_Tbl[[#All],['# CLASSES SHOW]])+   SUMIF(May_Period_2_Tbl[[#All],[STAFF:]],$A53,May_Period_2_Tbl[[#All],['# CLASSES SHOW]])+   SUMIF(Jun_Period_2_Tbl[[#All],[STAFF:]],$A53,Jun_Period_2_Tbl[[#All],['# CLASSES SHOW]])+  SUMIF(Jul_Period_2_Tbl[[#All],[STAFF:]],$A53,Jul_Period_2_Tbl[[#All],['# CLASSES SHOW]])+  SUMIF(Aug_Period_2_Tbl[[#All],[STAFF:]],$A53,Aug_Period_2_Tbl[[#All],['# CLASSES SHOW]])+  SUMIF(Sep_Period_2_Tbl[[#All],[STAFF:]],$A53,Sep_Period_2_Tbl[[#All],['# CLASSES SHOW]])+  SUMIF(Oct_Period_2_Tbl[[#All],[STAFF:]],$A53,Oct_Period_2_Tbl[[#All],['# CLASSES SHOW]])+     SUMIF(Nov_Period_2_Tbl[[#All],[STAFF:]],$A53,Nov_Period_2_Tbl[[#All],['# CLASSES SHOW]])+  SUMIF(Dec_Period_2_Tbl[[#All],[STAFF:]],$A53,Dec_Period_2_Tbl[[#All],['# CLASSES SHOW]]))</f>
        <v>0</v>
      </c>
      <c r="V53" s="156"/>
      <c r="W53" s="156"/>
      <c r="X53" s="155">
        <f t="shared" si="10"/>
        <v>0</v>
      </c>
      <c r="Y53" s="155">
        <f t="shared" si="11"/>
        <v>0</v>
      </c>
      <c r="Z53" s="155">
        <f t="shared" si="12"/>
        <v>0</v>
      </c>
      <c r="AA53" s="155">
        <f t="shared" si="13"/>
        <v>0</v>
      </c>
      <c r="AB53" s="155">
        <f t="shared" si="14"/>
        <v>0</v>
      </c>
      <c r="AC53" s="155">
        <f t="shared" si="15"/>
        <v>0</v>
      </c>
      <c r="AD53" s="155">
        <f t="shared" si="16"/>
        <v>0</v>
      </c>
      <c r="AE53" s="149"/>
      <c r="AF53" s="149"/>
      <c r="AG53" s="149"/>
      <c r="AH53" s="149"/>
      <c r="AJ53" s="75" t="str">
        <f t="shared" si="17"/>
        <v>zBlank</v>
      </c>
      <c r="AK53" s="210"/>
      <c r="AL53" s="168">
        <f>IFERROR(VLOOKUP(B53,List!$A:$B,2,FALSE),-1)</f>
        <v>-1</v>
      </c>
      <c r="AM53" s="168">
        <f>IFERROR(VLOOKUP(C53,List!$A:$B,2,FALSE),-1)</f>
        <v>-1</v>
      </c>
    </row>
    <row r="54" spans="1:39" ht="15" hidden="1" customHeight="1" x14ac:dyDescent="0.25">
      <c r="A54" s="20"/>
      <c r="B54" s="186"/>
      <c r="C54" s="186"/>
      <c r="D54" s="187"/>
      <c r="E54" s="188">
        <f>(SUMIF(Jan_Period_1_Tbl[[#All],[STAFF:]],$A54,Jan_Period_1_Tbl[[#All],['# PTO USED]])+
SUMIF(Feb_Period_1_Tbl[[#All],[STAFF:]],$A54,Feb_Period_1_Tbl[[#All],['# PTO USED]])+SUMIF(Mar_Period_1_Tbl[[#All],[STAFF:]],$A54,Mar_Period_1_Tbl[[#All],['# PTO USED]])+SUMIF(Apr_Period_1_Tbl[[#All],[STAFF:]],$A54,Apr_Period_1_Tbl[[#All],['# PTO USED]])+   SUMIF(May_Period_1_Tbl[[#All],[STAFF:]],$A54,May_Period_1_Tbl[[#All],['# PTO USED]])+   SUMIF(Jun_Period_1_Tbl[[#All],[STAFF:]],$A54,Jun_Period_1_Tbl[[#All],['# PTO USED]])+  SUMIF(Jul_Period_1_Tbl[[#All],[STAFF:]],$A54,Jul_Period_1_Tbl[[#All],['# PTO USED]])+  SUMIF(Aug_Period_1_Tbl[[#All],[STAFF:]],$A54,Aug_Period_1_Tbl[[#All],['# PTO USED]])+  SUMIF(Sep_Period_1_Tbl[[#All],[STAFF:]],$A54,Sep_Period_1_Tbl[[#All],['# PTO USED]])+  SUMIF(Oct_Period_1_Tbl[[#All],[STAFF:]],$A54,Oct_Period_1_Tbl[[#All],['# PTO USED]])+     SUMIF(Nov_Period_1_Tbl[[#All],[STAFF:]],$A54,Nov_Period_1_Tbl[[#All],['# PTO USED]])+  SUMIF(Dec_Period_1_Tbl[[#All],[STAFF:]],$A54,Dec_Period_1_Tbl[[#All],['# PTO USED]]))+   (SUMIF(Jan_Period_2_Tbl[[#All],[STAFF:]],$A54,Jan_Period_2_Tbl[[#All],['# PTO USED]])+
SUMIF(Feb_Period_2_Tbl[[#All],[STAFF:]],$A54,Feb_Period_2_Tbl[[#All],['# PTO USED]])+SUMIF(Mar_Period_2_Tbl[[#All],[STAFF:]],$A54,Mar_Period_2_Tbl[[#All],['# PTO USED]])+SUMIF(Apr_Period_2_Tbl[[#All],[STAFF:]],$A54,Apr_Period_2_Tbl[[#All],['# PTO USED]])+   SUMIF(May_Period_2_Tbl[[#All],[STAFF:]],$A54,May_Period_2_Tbl[[#All],['# PTO USED]])+   SUMIF(Jun_Period_2_Tbl[[#All],[STAFF:]],$A54,Jun_Period_2_Tbl[[#All],['# PTO USED]])+  SUMIF(Jul_Period_2_Tbl[[#All],[STAFF:]],$A54,Jul_Period_2_Tbl[[#All],['# PTO USED]])+  SUMIF(Aug_Period_2_Tbl[[#All],[STAFF:]],$A54,Aug_Period_2_Tbl[[#All],['# PTO USED]])+  SUMIF(Sep_Period_2_Tbl[[#All],[STAFF:]],$A54,Sep_Period_2_Tbl[[#All],['# PTO USED]])+  SUMIF(Oct_Period_2_Tbl[[#All],[STAFF:]],$A54,Oct_Period_2_Tbl[[#All],['# PTO USED]])+     SUMIF(Nov_Period_2_Tbl[[#All],[STAFF:]],$A54,Nov_Period_2_Tbl[[#All],['# PTO USED]])+  SUMIF(Dec_Period_2_Tbl[[#All],[STAFF:]],$A54,Dec_Period_2_Tbl[[#All],['# PTO USED]]))</f>
        <v>0</v>
      </c>
      <c r="F54" s="189">
        <f>(SUMIF(Jan_Period_1_Tbl[[#All],[STAFF:]],$A54,Jan_Period_1_Tbl[[#All],['# HRS WORKED]])+
SUMIF(Feb_Period_1_Tbl[[#All],[STAFF:]],$A54,Feb_Period_1_Tbl[[#All],['# HRS WORKED]])+SUMIF(Mar_Period_1_Tbl[[#All],[STAFF:]],$A54,Mar_Period_1_Tbl[[#All],['# HRS WORKED]])+SUMIF(Apr_Period_1_Tbl[[#All],[STAFF:]],$A54,Apr_Period_1_Tbl[[#All],['# HRS WORKED]])+   SUMIF(May_Period_1_Tbl[[#All],[STAFF:]],$A54,May_Period_1_Tbl[[#All],['# HRS WORKED]])+   SUMIF(Jun_Period_1_Tbl[[#All],[STAFF:]],$A54,Jun_Period_1_Tbl[[#All],['# HRS WORKED]])+  SUMIF(Jul_Period_1_Tbl[[#All],[STAFF:]],$A54,Jul_Period_1_Tbl[[#All],['# HRS WORKED]])+  SUMIF(Aug_Period_1_Tbl[[#All],[STAFF:]],$A54,Aug_Period_1_Tbl[[#All],['# HRS WORKED]])+  SUMIF(Sep_Period_1_Tbl[[#All],[STAFF:]],$A54,Sep_Period_1_Tbl[[#All],['# HRS WORKED]])+  SUMIF(Oct_Period_1_Tbl[[#All],[STAFF:]],$A54,Oct_Period_1_Tbl[[#All],['# HRS WORKED]])+     SUMIF(Nov_Period_1_Tbl[[#All],[STAFF:]],$A54,Nov_Period_1_Tbl[[#All],['# HRS WORKED]])+  SUMIF(Dec_Period_1_Tbl[[#All],[STAFF:]],$A54,Dec_Period_1_Tbl[[#All],['# HRS WORKED]]))+   (SUMIF(Jan_Period_2_Tbl[[#All],[STAFF:]],$A54,Jan_Period_2_Tbl[[#All],['# HRS WORKED]])+
SUMIF(Feb_Period_2_Tbl[[#All],[STAFF:]],$A54,Feb_Period_2_Tbl[[#All],['# HRS WORKED]])+SUMIF(Mar_Period_2_Tbl[[#All],[STAFF:]],$A54,Mar_Period_2_Tbl[[#All],['# HRS WORKED]])+SUMIF(Apr_Period_2_Tbl[[#All],[STAFF:]],$A54,Apr_Period_2_Tbl[[#All],['# HRS WORKED]])+   SUMIF(May_Period_2_Tbl[[#All],[STAFF:]],$A54,May_Period_2_Tbl[[#All],['# HRS WORKED]])+   SUMIF(Jun_Period_2_Tbl[[#All],[STAFF:]],$A54,Jun_Period_2_Tbl[[#All],['# HRS WORKED]])+  SUMIF(Jul_Period_2_Tbl[[#All],[STAFF:]],$A54,Jul_Period_2_Tbl[[#All],['# HRS WORKED]])+  SUMIF(Aug_Period_2_Tbl[[#All],[STAFF:]],$A54,Aug_Period_2_Tbl[[#All],['# HRS WORKED]])+  SUMIF(Sep_Period_2_Tbl[[#All],[STAFF:]],$A54,Sep_Period_2_Tbl[[#All],['# HRS WORKED]])+  SUMIF(Oct_Period_2_Tbl[[#All],[STAFF:]],$A54,Oct_Period_2_Tbl[[#All],['# HRS WORKED]])+     SUMIF(Nov_Period_2_Tbl[[#All],[STAFF:]],$A54,Nov_Period_2_Tbl[[#All],['# HRS WORKED]])+  SUMIF(Dec_Period_2_Tbl[[#All],[STAFF:]],$A54,Dec_Period_2_Tbl[[#All],['# HRS WORKED]]))</f>
        <v>0</v>
      </c>
      <c r="G54" s="190">
        <f>(SUMIF(Jan_Period_1_Tbl[[#All],[STAFF:]],$A54,Jan_Period_1_Tbl[[#All],[$ Hourly WAGES]])+
SUMIF(Feb_Period_1_Tbl[[#All],[STAFF:]],$A54,Feb_Period_1_Tbl[[#All],[$ Hourly WAGES]])+SUMIF(Mar_Period_1_Tbl[[#All],[STAFF:]],$A54,Mar_Period_1_Tbl[[#All],[$ Hourly WAGES]])+SUMIF(Apr_Period_1_Tbl[[#All],[STAFF:]],$A54,Apr_Period_1_Tbl[[#All],[$ Hourly WAGES]])+   SUMIF(May_Period_1_Tbl[[#All],[STAFF:]],$A54,May_Period_1_Tbl[[#All],[$ Hourly WAGES]])+   SUMIF(Jun_Period_1_Tbl[[#All],[STAFF:]],$A54,Jun_Period_1_Tbl[[#All],[$ Hourly WAGES]])+  SUMIF(Jul_Period_1_Tbl[[#All],[STAFF:]],$A54,Jul_Period_1_Tbl[[#All],[$ Hourly WAGES]])+  SUMIF(Aug_Period_1_Tbl[[#All],[STAFF:]],$A54,Aug_Period_1_Tbl[[#All],[$ Hourly WAGES]])+  SUMIF(Sep_Period_1_Tbl[[#All],[STAFF:]],$A54,Sep_Period_1_Tbl[[#All],[$ Hourly WAGES]])+  SUMIF(Oct_Period_1_Tbl[[#All],[STAFF:]],$A54,Oct_Period_1_Tbl[[#All],[$ Hourly WAGES]])+     SUMIF(Nov_Period_1_Tbl[[#All],[STAFF:]],$A54,Nov_Period_1_Tbl[[#All],[$ Hourly WAGES]])+  SUMIF(Dec_Period_1_Tbl[[#All],[STAFF:]],$A54,Dec_Period_1_Tbl[[#All],[$ Hourly WAGES]]))+   (SUMIF(Jan_Period_2_Tbl[[#All],[STAFF:]],$A54,Jan_Period_2_Tbl[[#All],[$ Hourly WAGES]])+
SUMIF(Feb_Period_2_Tbl[[#All],[STAFF:]],$A54,Feb_Period_2_Tbl[[#All],[$ Hourly WAGES]])+SUMIF(Mar_Period_2_Tbl[[#All],[STAFF:]],$A54,Mar_Period_2_Tbl[[#All],[$ Hourly WAGES]])+SUMIF(Apr_Period_2_Tbl[[#All],[STAFF:]],$A54,Apr_Period_2_Tbl[[#All],[$ Hourly WAGES]])+   SUMIF(May_Period_2_Tbl[[#All],[STAFF:]],$A54,May_Period_2_Tbl[[#All],[$ Hourly WAGES]])+   SUMIF(Jun_Period_2_Tbl[[#All],[STAFF:]],$A54,Jun_Period_2_Tbl[[#All],[$ Hourly WAGES]])+  SUMIF(Jul_Period_2_Tbl[[#All],[STAFF:]],$A54,Jul_Period_2_Tbl[[#All],[$ Hourly WAGES]])+  SUMIF(Aug_Period_2_Tbl[[#All],[STAFF:]],$A54,Aug_Period_2_Tbl[[#All],[$ Hourly WAGES]])+  SUMIF(Sep_Period_2_Tbl[[#All],[STAFF:]],$A54,Sep_Period_2_Tbl[[#All],[$ Hourly WAGES]])+  SUMIF(Oct_Period_2_Tbl[[#All],[STAFF:]],$A54,Oct_Period_2_Tbl[[#All],[$ Hourly WAGES]])+     SUMIF(Nov_Period_2_Tbl[[#All],[STAFF:]],$A54,Nov_Period_2_Tbl[[#All],[$ Hourly WAGES]])+  SUMIF(Dec_Period_2_Tbl[[#All],[STAFF:]],$A54,Dec_Period_2_Tbl[[#All],[$ Hourly WAGES]]))</f>
        <v>0</v>
      </c>
      <c r="H54" s="190">
        <f>(SUMIF(Jan_Period_1_Tbl[[#All],[STAFF:]],$A54,Jan_Period_1_Tbl[[#All],[$ SALARY]])+
SUMIF(Feb_Period_1_Tbl[[#All],[STAFF:]],$A54,Feb_Period_1_Tbl[[#All],[$ SALARY]])+SUMIF(Mar_Period_1_Tbl[[#All],[STAFF:]],$A54,Mar_Period_1_Tbl[[#All],[$ SALARY]])+SUMIF(Apr_Period_1_Tbl[[#All],[STAFF:]],$A54,Apr_Period_1_Tbl[[#All],[$ SALARY]])+   SUMIF(May_Period_1_Tbl[[#All],[STAFF:]],$A54,May_Period_1_Tbl[[#All],[$ SALARY]])+   SUMIF(Jun_Period_1_Tbl[[#All],[STAFF:]],$A54,Jun_Period_1_Tbl[[#All],[$ SALARY]])+  SUMIF(Jul_Period_1_Tbl[[#All],[STAFF:]],$A54,Jul_Period_1_Tbl[[#All],[$ SALARY]])+  SUMIF(Aug_Period_1_Tbl[[#All],[STAFF:]],$A54,Aug_Period_1_Tbl[[#All],[$ SALARY]])+  SUMIF(Sep_Period_1_Tbl[[#All],[STAFF:]],$A54,Sep_Period_1_Tbl[[#All],[$ SALARY]])+  SUMIF(Oct_Period_1_Tbl[[#All],[STAFF:]],$A54,Oct_Period_1_Tbl[[#All],[$ SALARY]])+     SUMIF(Nov_Period_1_Tbl[[#All],[STAFF:]],$A54,Nov_Period_1_Tbl[[#All],[$ SALARY]])+  SUMIF(Dec_Period_1_Tbl[[#All],[STAFF:]],$A54,Dec_Period_1_Tbl[[#All],[$ SALARY]]))+   (SUMIF(Jan_Period_2_Tbl[[#All],[STAFF:]],$A54,Jan_Period_2_Tbl[[#All],[$ SALARY]])+
SUMIF(Feb_Period_2_Tbl[[#All],[STAFF:]],$A54,Feb_Period_2_Tbl[[#All],[$ SALARY]])+SUMIF(Mar_Period_2_Tbl[[#All],[STAFF:]],$A54,Mar_Period_2_Tbl[[#All],[$ SALARY]])+SUMIF(Apr_Period_2_Tbl[[#All],[STAFF:]],$A54,Apr_Period_2_Tbl[[#All],[$ SALARY]])+   SUMIF(May_Period_2_Tbl[[#All],[STAFF:]],$A54,May_Period_2_Tbl[[#All],[$ SALARY]])+   SUMIF(Jun_Period_2_Tbl[[#All],[STAFF:]],$A54,Jun_Period_2_Tbl[[#All],[$ SALARY]])+  SUMIF(Jul_Period_2_Tbl[[#All],[STAFF:]],$A54,Jul_Period_2_Tbl[[#All],[$ SALARY]])+  SUMIF(Aug_Period_2_Tbl[[#All],[STAFF:]],$A54,Aug_Period_2_Tbl[[#All],[$ SALARY]])+  SUMIF(Sep_Period_2_Tbl[[#All],[STAFF:]],$A54,Sep_Period_2_Tbl[[#All],[$ SALARY]])+  SUMIF(Oct_Period_2_Tbl[[#All],[STAFF:]],$A54,Oct_Period_2_Tbl[[#All],[$ SALARY]])+     SUMIF(Nov_Period_2_Tbl[[#All],[STAFF:]],$A54,Nov_Period_2_Tbl[[#All],[$ SALARY]])+  SUMIF(Dec_Period_2_Tbl[[#All],[STAFF:]],$A54,Dec_Period_2_Tbl[[#All],[$ SALARY]]))</f>
        <v>0</v>
      </c>
      <c r="I54" s="190">
        <f>(SUMIF(Jan_Period_1_Tbl[[#All],[STAFF:]],$A54,Jan_Period_1_Tbl[[#All],[$ SALARY PT]])+
SUMIF(Feb_Period_1_Tbl[[#All],[STAFF:]],$A54,Feb_Period_1_Tbl[[#All],[$ SALARY PT]])+SUMIF(Mar_Period_1_Tbl[[#All],[STAFF:]],$A54,Mar_Period_1_Tbl[[#All],[$ SALARY PT]])+SUMIF(Apr_Period_1_Tbl[[#All],[STAFF:]],$A54,Apr_Period_1_Tbl[[#All],[$ SALARY PT]])+   SUMIF(May_Period_1_Tbl[[#All],[STAFF:]],$A54,May_Period_1_Tbl[[#All],[$ SALARY PT]])+   SUMIF(Jun_Period_1_Tbl[[#All],[STAFF:]],$A54,Jun_Period_1_Tbl[[#All],[$ SALARY PT]])+  SUMIF(Jul_Period_1_Tbl[[#All],[STAFF:]],$A54,Jul_Period_1_Tbl[[#All],[$ SALARY PT]])+  SUMIF(Aug_Period_1_Tbl[[#All],[STAFF:]],$A54,Aug_Period_1_Tbl[[#All],[$ SALARY PT]])+  SUMIF(Sep_Period_1_Tbl[[#All],[STAFF:]],$A54,Sep_Period_1_Tbl[[#All],[$ SALARY PT]])+  SUMIF(Oct_Period_1_Tbl[[#All],[STAFF:]],$A54,Oct_Period_1_Tbl[[#All],[$ SALARY PT]])+     SUMIF(Nov_Period_1_Tbl[[#All],[STAFF:]],$A54,Nov_Period_1_Tbl[[#All],[$ SALARY PT]])+  SUMIF(Dec_Period_1_Tbl[[#All],[STAFF:]],$A54,Dec_Period_1_Tbl[[#All],[$ SALARY PT]]))+   (SUMIF(Jan_Period_2_Tbl[[#All],[STAFF:]],$A54,Jan_Period_2_Tbl[[#All],[$ SALARY PT]])+
SUMIF(Feb_Period_2_Tbl[[#All],[STAFF:]],$A54,Feb_Period_2_Tbl[[#All],[$ SALARY PT]])+SUMIF(Mar_Period_2_Tbl[[#All],[STAFF:]],$A54,Mar_Period_2_Tbl[[#All],[$ SALARY PT]])+SUMIF(Apr_Period_2_Tbl[[#All],[STAFF:]],$A54,Apr_Period_2_Tbl[[#All],[$ SALARY PT]])+   SUMIF(May_Period_2_Tbl[[#All],[STAFF:]],$A54,May_Period_2_Tbl[[#All],[$ SALARY PT]])+   SUMIF(Jun_Period_2_Tbl[[#All],[STAFF:]],$A54,Jun_Period_2_Tbl[[#All],[$ SALARY PT]])+  SUMIF(Jul_Period_2_Tbl[[#All],[STAFF:]],$A54,Jul_Period_2_Tbl[[#All],[$ SALARY PT]])+  SUMIF(Aug_Period_2_Tbl[[#All],[STAFF:]],$A54,Aug_Period_2_Tbl[[#All],[$ SALARY PT]])+  SUMIF(Sep_Period_2_Tbl[[#All],[STAFF:]],$A54,Sep_Period_2_Tbl[[#All],[$ SALARY PT]])+  SUMIF(Oct_Period_2_Tbl[[#All],[STAFF:]],$A54,Oct_Period_2_Tbl[[#All],[$ SALARY PT]])+     SUMIF(Nov_Period_2_Tbl[[#All],[STAFF:]],$A54,Nov_Period_2_Tbl[[#All],[$ SALARY PT]])+  SUMIF(Dec_Period_2_Tbl[[#All],[STAFF:]],$A54,Dec_Period_2_Tbl[[#All],[$ SALARY PT]]))</f>
        <v>0</v>
      </c>
      <c r="J54" s="190">
        <f>(SUMIF(Jan_Period_1_Tbl[[#All],[STAFF:]],$A54,Jan_Period_1_Tbl[[#All],[$ FREE PT]])+
SUMIF(Feb_Period_1_Tbl[[#All],[STAFF:]],$A54,Feb_Period_1_Tbl[[#All],[$ FREE PT]])+SUMIF(Mar_Period_1_Tbl[[#All],[STAFF:]],$A54,Mar_Period_1_Tbl[[#All],[$ FREE PT]])+SUMIF(Apr_Period_1_Tbl[[#All],[STAFF:]],$A54,Apr_Period_1_Tbl[[#All],[$ FREE PT]])+   SUMIF(May_Period_1_Tbl[[#All],[STAFF:]],$A54,May_Period_1_Tbl[[#All],[$ FREE PT]])+   SUMIF(Jun_Period_1_Tbl[[#All],[STAFF:]],$A54,Jun_Period_1_Tbl[[#All],[$ FREE PT]])+  SUMIF(Jul_Period_1_Tbl[[#All],[STAFF:]],$A54,Jul_Period_1_Tbl[[#All],[$ FREE PT]])+  SUMIF(Aug_Period_1_Tbl[[#All],[STAFF:]],$A54,Aug_Period_1_Tbl[[#All],[$ FREE PT]])+  SUMIF(Sep_Period_1_Tbl[[#All],[STAFF:]],$A54,Sep_Period_1_Tbl[[#All],[$ FREE PT]])+  SUMIF(Oct_Period_1_Tbl[[#All],[STAFF:]],$A54,Oct_Period_1_Tbl[[#All],[$ FREE PT]])+     SUMIF(Nov_Period_1_Tbl[[#All],[STAFF:]],$A54,Nov_Period_1_Tbl[[#All],[$ FREE PT]])+  SUMIF(Dec_Period_1_Tbl[[#All],[STAFF:]],$A54,Dec_Period_1_Tbl[[#All],[$ FREE PT]]))+   (SUMIF(Jan_Period_2_Tbl[[#All],[STAFF:]],$A54,Jan_Period_2_Tbl[[#All],[$ FREE PT]])+
SUMIF(Feb_Period_2_Tbl[[#All],[STAFF:]],$A54,Feb_Period_2_Tbl[[#All],[$ FREE PT]])+SUMIF(Mar_Period_2_Tbl[[#All],[STAFF:]],$A54,Mar_Period_2_Tbl[[#All],[$ FREE PT]])+SUMIF(Apr_Period_2_Tbl[[#All],[STAFF:]],$A54,Apr_Period_2_Tbl[[#All],[$ FREE PT]])+   SUMIF(May_Period_2_Tbl[[#All],[STAFF:]],$A54,May_Period_2_Tbl[[#All],[$ FREE PT]])+   SUMIF(Jun_Period_2_Tbl[[#All],[STAFF:]],$A54,Jun_Period_2_Tbl[[#All],[$ FREE PT]])+  SUMIF(Jul_Period_2_Tbl[[#All],[STAFF:]],$A54,Jul_Period_2_Tbl[[#All],[$ FREE PT]])+  SUMIF(Aug_Period_2_Tbl[[#All],[STAFF:]],$A54,Aug_Period_2_Tbl[[#All],[$ FREE PT]])+  SUMIF(Sep_Period_2_Tbl[[#All],[STAFF:]],$A54,Sep_Period_2_Tbl[[#All],[$ FREE PT]])+  SUMIF(Oct_Period_2_Tbl[[#All],[STAFF:]],$A54,Oct_Period_2_Tbl[[#All],[$ FREE PT]])+     SUMIF(Nov_Period_2_Tbl[[#All],[STAFF:]],$A54,Nov_Period_2_Tbl[[#All],[$ FREE PT]])+  SUMIF(Dec_Period_2_Tbl[[#All],[STAFF:]],$A54,Dec_Period_2_Tbl[[#All],[$ FREE PT]]))</f>
        <v>0</v>
      </c>
      <c r="K54" s="190">
        <f>(SUMIF(Jan_Period_1_Tbl[[#All],[STAFF:]],$A54,Jan_Period_1_Tbl[[#All],[$ PAID PT]])+
SUMIF(Feb_Period_1_Tbl[[#All],[STAFF:]],$A54,Feb_Period_1_Tbl[[#All],[$ PAID PT]])+SUMIF(Mar_Period_1_Tbl[[#All],[STAFF:]],$A54,Mar_Period_1_Tbl[[#All],[$ PAID PT]])+SUMIF(Apr_Period_1_Tbl[[#All],[STAFF:]],$A54,Apr_Period_1_Tbl[[#All],[$ PAID PT]])+   SUMIF(May_Period_1_Tbl[[#All],[STAFF:]],$A54,May_Period_1_Tbl[[#All],[$ PAID PT]])+   SUMIF(Jun_Period_1_Tbl[[#All],[STAFF:]],$A54,Jun_Period_1_Tbl[[#All],[$ PAID PT]])+  SUMIF(Jul_Period_1_Tbl[[#All],[STAFF:]],$A54,Jul_Period_1_Tbl[[#All],[$ PAID PT]])+  SUMIF(Aug_Period_1_Tbl[[#All],[STAFF:]],$A54,Aug_Period_1_Tbl[[#All],[$ PAID PT]])+  SUMIF(Sep_Period_1_Tbl[[#All],[STAFF:]],$A54,Sep_Period_1_Tbl[[#All],[$ PAID PT]])+  SUMIF(Oct_Period_1_Tbl[[#All],[STAFF:]],$A54,Oct_Period_1_Tbl[[#All],[$ PAID PT]])+     SUMIF(Nov_Period_1_Tbl[[#All],[STAFF:]],$A54,Nov_Period_1_Tbl[[#All],[$ PAID PT]])+  SUMIF(Dec_Period_1_Tbl[[#All],[STAFF:]],$A54,Dec_Period_1_Tbl[[#All],[$ PAID PT]]))+   (SUMIF(Jan_Period_2_Tbl[[#All],[STAFF:]],$A54,Jan_Period_2_Tbl[[#All],[$ PAID PT]])+
SUMIF(Feb_Period_2_Tbl[[#All],[STAFF:]],$A54,Feb_Period_2_Tbl[[#All],[$ PAID PT]])+SUMIF(Mar_Period_2_Tbl[[#All],[STAFF:]],$A54,Mar_Period_2_Tbl[[#All],[$ PAID PT]])+SUMIF(Apr_Period_2_Tbl[[#All],[STAFF:]],$A54,Apr_Period_2_Tbl[[#All],[$ PAID PT]])+   SUMIF(May_Period_2_Tbl[[#All],[STAFF:]],$A54,May_Period_2_Tbl[[#All],[$ PAID PT]])+   SUMIF(Jun_Period_2_Tbl[[#All],[STAFF:]],$A54,Jun_Period_2_Tbl[[#All],[$ PAID PT]])+  SUMIF(Jul_Period_2_Tbl[[#All],[STAFF:]],$A54,Jul_Period_2_Tbl[[#All],[$ PAID PT]])+  SUMIF(Aug_Period_2_Tbl[[#All],[STAFF:]],$A54,Aug_Period_2_Tbl[[#All],[$ PAID PT]])+  SUMIF(Sep_Period_2_Tbl[[#All],[STAFF:]],$A54,Sep_Period_2_Tbl[[#All],[$ PAID PT]])+  SUMIF(Oct_Period_2_Tbl[[#All],[STAFF:]],$A54,Oct_Period_2_Tbl[[#All],[$ PAID PT]])+     SUMIF(Nov_Period_2_Tbl[[#All],[STAFF:]],$A54,Nov_Period_2_Tbl[[#All],[$ PAID PT]])+  SUMIF(Dec_Period_2_Tbl[[#All],[STAFF:]],$A54,Dec_Period_2_Tbl[[#All],[$ PAID PT]]))</f>
        <v>0</v>
      </c>
      <c r="L54" s="190">
        <f>(SUMIF(Jan_Period_1_Tbl[[#All],[STAFF:]],$A54,Jan_Period_1_Tbl[[#All],[$ PT COMM]])+
SUMIF(Feb_Period_1_Tbl[[#All],[STAFF:]],$A54,Feb_Period_1_Tbl[[#All],[$ PT COMM]])+SUMIF(Mar_Period_1_Tbl[[#All],[STAFF:]],$A54,Mar_Period_1_Tbl[[#All],[$ PT COMM]])+SUMIF(Apr_Period_1_Tbl[[#All],[STAFF:]],$A54,Apr_Period_1_Tbl[[#All],[$ PT COMM]])+   SUMIF(May_Period_1_Tbl[[#All],[STAFF:]],$A54,May_Period_1_Tbl[[#All],[$ PT COMM]])+   SUMIF(Jun_Period_1_Tbl[[#All],[STAFF:]],$A54,Jun_Period_1_Tbl[[#All],[$ PT COMM]])+  SUMIF(Jul_Period_1_Tbl[[#All],[STAFF:]],$A54,Jul_Period_1_Tbl[[#All],[$ PT COMM]])+  SUMIF(Aug_Period_1_Tbl[[#All],[STAFF:]],$A54,Aug_Period_1_Tbl[[#All],[$ PT COMM]])+  SUMIF(Sep_Period_1_Tbl[[#All],[STAFF:]],$A54,Sep_Period_1_Tbl[[#All],[$ PT COMM]])+  SUMIF(Oct_Period_1_Tbl[[#All],[STAFF:]],$A54,Oct_Period_1_Tbl[[#All],[$ PT COMM]])+     SUMIF(Nov_Period_1_Tbl[[#All],[STAFF:]],$A54,Nov_Period_1_Tbl[[#All],[$ PT COMM]])+  SUMIF(Dec_Period_1_Tbl[[#All],[STAFF:]],$A54,Dec_Period_1_Tbl[[#All],[$ PT COMM]]))+   (SUMIF(Jan_Period_2_Tbl[[#All],[STAFF:]],$A54,Jan_Period_2_Tbl[[#All],[$ PT COMM]])+
SUMIF(Feb_Period_2_Tbl[[#All],[STAFF:]],$A54,Feb_Period_2_Tbl[[#All],[$ PT COMM]])+SUMIF(Mar_Period_2_Tbl[[#All],[STAFF:]],$A54,Mar_Period_2_Tbl[[#All],[$ PT COMM]])+SUMIF(Apr_Period_2_Tbl[[#All],[STAFF:]],$A54,Apr_Period_2_Tbl[[#All],[$ PT COMM]])+   SUMIF(May_Period_2_Tbl[[#All],[STAFF:]],$A54,May_Period_2_Tbl[[#All],[$ PT COMM]])+   SUMIF(Jun_Period_2_Tbl[[#All],[STAFF:]],$A54,Jun_Period_2_Tbl[[#All],[$ PT COMM]])+  SUMIF(Jul_Period_2_Tbl[[#All],[STAFF:]],$A54,Jul_Period_2_Tbl[[#All],[$ PT COMM]])+  SUMIF(Aug_Period_2_Tbl[[#All],[STAFF:]],$A54,Aug_Period_2_Tbl[[#All],[$ PT COMM]])+  SUMIF(Sep_Period_2_Tbl[[#All],[STAFF:]],$A54,Sep_Period_2_Tbl[[#All],[$ PT COMM]])+  SUMIF(Oct_Period_2_Tbl[[#All],[STAFF:]],$A54,Oct_Period_2_Tbl[[#All],[$ PT COMM]])+     SUMIF(Nov_Period_2_Tbl[[#All],[STAFF:]],$A54,Nov_Period_2_Tbl[[#All],[$ PT COMM]])+  SUMIF(Dec_Period_2_Tbl[[#All],[STAFF:]],$A54,Dec_Period_2_Tbl[[#All],[$ PT COMM]]))</f>
        <v>0</v>
      </c>
      <c r="M54" s="190">
        <f>(SUMIF(Jan_Period_1_Tbl[[#All],[STAFF:]],$A54,Jan_Period_1_Tbl[[#All],[$ EFT COMM]])+
SUMIF(Feb_Period_1_Tbl[[#All],[STAFF:]],$A54,Feb_Period_1_Tbl[[#All],[$ EFT COMM]])+SUMIF(Mar_Period_1_Tbl[[#All],[STAFF:]],$A54,Mar_Period_1_Tbl[[#All],[$ EFT COMM]])+SUMIF(Apr_Period_1_Tbl[[#All],[STAFF:]],$A54,Apr_Period_1_Tbl[[#All],[$ EFT COMM]])+   SUMIF(May_Period_1_Tbl[[#All],[STAFF:]],$A54,May_Period_1_Tbl[[#All],[$ EFT COMM]])+   SUMIF(Jun_Period_1_Tbl[[#All],[STAFF:]],$A54,Jun_Period_1_Tbl[[#All],[$ EFT COMM]])+  SUMIF(Jul_Period_1_Tbl[[#All],[STAFF:]],$A54,Jul_Period_1_Tbl[[#All],[$ EFT COMM]])+  SUMIF(Aug_Period_1_Tbl[[#All],[STAFF:]],$A54,Aug_Period_1_Tbl[[#All],[$ EFT COMM]])+  SUMIF(Sep_Period_1_Tbl[[#All],[STAFF:]],$A54,Sep_Period_1_Tbl[[#All],[$ EFT COMM]])+  SUMIF(Oct_Period_1_Tbl[[#All],[STAFF:]],$A54,Oct_Period_1_Tbl[[#All],[$ EFT COMM]])+     SUMIF(Nov_Period_1_Tbl[[#All],[STAFF:]],$A54,Nov_Period_1_Tbl[[#All],[$ EFT COMM]])+  SUMIF(Dec_Period_1_Tbl[[#All],[STAFF:]],$A54,Dec_Period_1_Tbl[[#All],[$ EFT COMM]]))+   (SUMIF(Jan_Period_2_Tbl[[#All],[STAFF:]],$A54,Jan_Period_2_Tbl[[#All],[$ EFT COMM]])+
SUMIF(Feb_Period_2_Tbl[[#All],[STAFF:]],$A54,Feb_Period_2_Tbl[[#All],[$ EFT COMM]])+SUMIF(Mar_Period_2_Tbl[[#All],[STAFF:]],$A54,Mar_Period_2_Tbl[[#All],[$ EFT COMM]])+SUMIF(Apr_Period_2_Tbl[[#All],[STAFF:]],$A54,Apr_Period_2_Tbl[[#All],[$ EFT COMM]])+   SUMIF(May_Period_2_Tbl[[#All],[STAFF:]],$A54,May_Period_2_Tbl[[#All],[$ EFT COMM]])+   SUMIF(Jun_Period_2_Tbl[[#All],[STAFF:]],$A54,Jun_Period_2_Tbl[[#All],[$ EFT COMM]])+  SUMIF(Jul_Period_2_Tbl[[#All],[STAFF:]],$A54,Jul_Period_2_Tbl[[#All],[$ EFT COMM]])+  SUMIF(Aug_Period_2_Tbl[[#All],[STAFF:]],$A54,Aug_Period_2_Tbl[[#All],[$ EFT COMM]])+  SUMIF(Sep_Period_2_Tbl[[#All],[STAFF:]],$A54,Sep_Period_2_Tbl[[#All],[$ EFT COMM]])+  SUMIF(Oct_Period_2_Tbl[[#All],[STAFF:]],$A54,Oct_Period_2_Tbl[[#All],[$ EFT COMM]])+     SUMIF(Nov_Period_2_Tbl[[#All],[STAFF:]],$A54,Nov_Period_2_Tbl[[#All],[$ EFT COMM]])+  SUMIF(Dec_Period_2_Tbl[[#All],[STAFF:]],$A54,Dec_Period_2_Tbl[[#All],[$ EFT COMM]]))</f>
        <v>0</v>
      </c>
      <c r="N54" s="190">
        <f>(SUMIF(Jan_Period_1_Tbl[[#All],[STAFF:]],$A54,Jan_Period_1_Tbl[[#All],[$ CLASS PAY]])+
SUMIF(Feb_Period_1_Tbl[[#All],[STAFF:]],$A54,Feb_Period_1_Tbl[[#All],[$ CLASS PAY]])+SUMIF(Mar_Period_1_Tbl[[#All],[STAFF:]],$A54,Mar_Period_1_Tbl[[#All],[$ CLASS PAY]])+SUMIF(Apr_Period_1_Tbl[[#All],[STAFF:]],$A54,Apr_Period_1_Tbl[[#All],[$ CLASS PAY]])+   SUMIF(May_Period_1_Tbl[[#All],[STAFF:]],$A54,May_Period_1_Tbl[[#All],[$ CLASS PAY]])+   SUMIF(Jun_Period_1_Tbl[[#All],[STAFF:]],$A54,Jun_Period_1_Tbl[[#All],[$ CLASS PAY]])+  SUMIF(Jul_Period_1_Tbl[[#All],[STAFF:]],$A54,Jul_Period_1_Tbl[[#All],[$ CLASS PAY]])+  SUMIF(Aug_Period_1_Tbl[[#All],[STAFF:]],$A54,Aug_Period_1_Tbl[[#All],[$ CLASS PAY]])+  SUMIF(Sep_Period_1_Tbl[[#All],[STAFF:]],$A54,Sep_Period_1_Tbl[[#All],[$ CLASS PAY]])+  SUMIF(Oct_Period_1_Tbl[[#All],[STAFF:]],$A54,Oct_Period_1_Tbl[[#All],[$ CLASS PAY]])+     SUMIF(Nov_Period_1_Tbl[[#All],[STAFF:]],$A54,Nov_Period_1_Tbl[[#All],[$ CLASS PAY]])+  SUMIF(Dec_Period_1_Tbl[[#All],[STAFF:]],$A54,Dec_Period_1_Tbl[[#All],[$ CLASS PAY]]))+   (SUMIF(Jan_Period_2_Tbl[[#All],[STAFF:]],$A54,Jan_Period_2_Tbl[[#All],[$ CLASS PAY]])+
SUMIF(Feb_Period_2_Tbl[[#All],[STAFF:]],$A54,Feb_Period_2_Tbl[[#All],[$ CLASS PAY]])+SUMIF(Mar_Period_2_Tbl[[#All],[STAFF:]],$A54,Mar_Period_2_Tbl[[#All],[$ CLASS PAY]])+SUMIF(Apr_Period_2_Tbl[[#All],[STAFF:]],$A54,Apr_Period_2_Tbl[[#All],[$ CLASS PAY]])+   SUMIF(May_Period_2_Tbl[[#All],[STAFF:]],$A54,May_Period_2_Tbl[[#All],[$ CLASS PAY]])+   SUMIF(Jun_Period_2_Tbl[[#All],[STAFF:]],$A54,Jun_Period_2_Tbl[[#All],[$ CLASS PAY]])+  SUMIF(Jul_Period_2_Tbl[[#All],[STAFF:]],$A54,Jul_Period_2_Tbl[[#All],[$ CLASS PAY]])+  SUMIF(Aug_Period_2_Tbl[[#All],[STAFF:]],$A54,Aug_Period_2_Tbl[[#All],[$ CLASS PAY]])+  SUMIF(Sep_Period_2_Tbl[[#All],[STAFF:]],$A54,Sep_Period_2_Tbl[[#All],[$ CLASS PAY]])+  SUMIF(Oct_Period_2_Tbl[[#All],[STAFF:]],$A54,Oct_Period_2_Tbl[[#All],[$ CLASS PAY]])+     SUMIF(Nov_Period_2_Tbl[[#All],[STAFF:]],$A54,Nov_Period_2_Tbl[[#All],[$ CLASS PAY]])+  SUMIF(Dec_Period_2_Tbl[[#All],[STAFF:]],$A54,Dec_Period_2_Tbl[[#All],[$ CLASS PAY]]))</f>
        <v>0</v>
      </c>
      <c r="O54" s="191">
        <f>(SUMIF(Jan_Period_1_Tbl[[#All],[STAFF:]],$A54,Jan_Period_1_Tbl[[#All],[$ BONUS PAY]])+
SUMIF(Feb_Period_1_Tbl[[#All],[STAFF:]],$A54,Feb_Period_1_Tbl[[#All],[$ BONUS PAY]])+SUMIF(Mar_Period_1_Tbl[[#All],[STAFF:]],$A54,Mar_Period_1_Tbl[[#All],[$ BONUS PAY]])+SUMIF(Apr_Period_1_Tbl[[#All],[STAFF:]],$A54,Apr_Period_1_Tbl[[#All],[$ BONUS PAY]])+   SUMIF(May_Period_1_Tbl[[#All],[STAFF:]],$A54,May_Period_1_Tbl[[#All],[$ BONUS PAY]])+   SUMIF(Jun_Period_1_Tbl[[#All],[STAFF:]],$A54,Jun_Period_1_Tbl[[#All],[$ BONUS PAY]])+  SUMIF(Jul_Period_1_Tbl[[#All],[STAFF:]],$A54,Jul_Period_1_Tbl[[#All],[$ BONUS PAY]])+  SUMIF(Aug_Period_1_Tbl[[#All],[STAFF:]],$A54,Aug_Period_1_Tbl[[#All],[$ BONUS PAY]])+  SUMIF(Sep_Period_1_Tbl[[#All],[STAFF:]],$A54,Sep_Period_1_Tbl[[#All],[$ BONUS PAY]])+  SUMIF(Oct_Period_1_Tbl[[#All],[STAFF:]],$A54,Oct_Period_1_Tbl[[#All],[$ BONUS PAY]])+     SUMIF(Nov_Period_1_Tbl[[#All],[STAFF:]],$A54,Nov_Period_1_Tbl[[#All],[$ BONUS PAY]])+  SUMIF(Dec_Period_1_Tbl[[#All],[STAFF:]],$A54,Dec_Period_1_Tbl[[#All],[$ BONUS PAY]]))+   (SUMIF(Jan_Period_2_Tbl[[#All],[STAFF:]],$A54,Jan_Period_2_Tbl[[#All],[$ BONUS PAY]])+
SUMIF(Feb_Period_2_Tbl[[#All],[STAFF:]],$A54,Feb_Period_2_Tbl[[#All],[$ BONUS PAY]])+SUMIF(Mar_Period_2_Tbl[[#All],[STAFF:]],$A54,Mar_Period_2_Tbl[[#All],[$ BONUS PAY]])+SUMIF(Apr_Period_2_Tbl[[#All],[STAFF:]],$A54,Apr_Period_2_Tbl[[#All],[$ BONUS PAY]])+   SUMIF(May_Period_2_Tbl[[#All],[STAFF:]],$A54,May_Period_2_Tbl[[#All],[$ BONUS PAY]])+   SUMIF(Jun_Period_2_Tbl[[#All],[STAFF:]],$A54,Jun_Period_2_Tbl[[#All],[$ BONUS PAY]])+  SUMIF(Jul_Period_2_Tbl[[#All],[STAFF:]],$A54,Jul_Period_2_Tbl[[#All],[$ BONUS PAY]])+  SUMIF(Aug_Period_2_Tbl[[#All],[STAFF:]],$A54,Aug_Period_2_Tbl[[#All],[$ BONUS PAY]])+  SUMIF(Sep_Period_2_Tbl[[#All],[STAFF:]],$A54,Sep_Period_2_Tbl[[#All],[$ BONUS PAY]])+  SUMIF(Oct_Period_2_Tbl[[#All],[STAFF:]],$A54,Oct_Period_2_Tbl[[#All],[$ BONUS PAY]])+     SUMIF(Nov_Period_2_Tbl[[#All],[STAFF:]],$A54,Nov_Period_2_Tbl[[#All],[$ BONUS PAY]])+  SUMIF(Dec_Period_2_Tbl[[#All],[STAFF:]],$A54,Dec_Period_2_Tbl[[#All],[$ BONUS PAY]]))</f>
        <v>0</v>
      </c>
      <c r="P54" s="179">
        <f t="shared" si="9"/>
        <v>0</v>
      </c>
      <c r="Q54" s="149"/>
      <c r="R54" s="152">
        <f>(SUMIF(Jan_Period_1_Tbl[[#All],[STAFF:]],$A54,Jan_Period_1_Tbl[[#All],['# POINTS EARNED]])+
SUMIF(Feb_Period_1_Tbl[[#All],[STAFF:]],$A54,Feb_Period_1_Tbl[[#All],['# POINTS EARNED]])+SUMIF(Mar_Period_1_Tbl[[#All],[STAFF:]],$A54,Mar_Period_1_Tbl[[#All],['# POINTS EARNED]])+SUMIF(Apr_Period_1_Tbl[[#All],[STAFF:]],$A54,Apr_Period_1_Tbl[[#All],['# POINTS EARNED]])+   SUMIF(May_Period_1_Tbl[[#All],[STAFF:]],$A54,May_Period_1_Tbl[[#All],['# POINTS EARNED]])+   SUMIF(Jun_Period_1_Tbl[[#All],[STAFF:]],$A54,Jun_Period_1_Tbl[[#All],['# POINTS EARNED]])+  SUMIF(Jul_Period_1_Tbl[[#All],[STAFF:]],$A54,Jul_Period_1_Tbl[[#All],['# POINTS EARNED]])+  SUMIF(Aug_Period_1_Tbl[[#All],[STAFF:]],$A54,Aug_Period_1_Tbl[[#All],['# POINTS EARNED]])+  SUMIF(Sep_Period_1_Tbl[[#All],[STAFF:]],$A54,Sep_Period_1_Tbl[[#All],['# POINTS EARNED]])+  SUMIF(Oct_Period_1_Tbl[[#All],[STAFF:]],$A54,Oct_Period_1_Tbl[[#All],['# POINTS EARNED]])+     SUMIF(Nov_Period_1_Tbl[[#All],[STAFF:]],$A54,Nov_Period_1_Tbl[[#All],['# POINTS EARNED]])+  SUMIF(Dec_Period_1_Tbl[[#All],[STAFF:]],$A54,Dec_Period_1_Tbl[[#All],['# POINTS EARNED]]))+   (SUMIF(Jan_Period_2_Tbl[[#All],[STAFF:]],$A54,Jan_Period_2_Tbl[[#All],['# POINTS EARNED]])+
SUMIF(Feb_Period_2_Tbl[[#All],[STAFF:]],$A54,Feb_Period_2_Tbl[[#All],['# POINTS EARNED]])+SUMIF(Mar_Period_2_Tbl[[#All],[STAFF:]],$A54,Mar_Period_2_Tbl[[#All],['# POINTS EARNED]])+SUMIF(Apr_Period_2_Tbl[[#All],[STAFF:]],$A54,Apr_Period_2_Tbl[[#All],['# POINTS EARNED]])+   SUMIF(May_Period_2_Tbl[[#All],[STAFF:]],$A54,May_Period_2_Tbl[[#All],['# POINTS EARNED]])+   SUMIF(Jun_Period_2_Tbl[[#All],[STAFF:]],$A54,Jun_Period_2_Tbl[[#All],['# POINTS EARNED]])+  SUMIF(Jul_Period_2_Tbl[[#All],[STAFF:]],$A54,Jul_Period_2_Tbl[[#All],['# POINTS EARNED]])+  SUMIF(Aug_Period_2_Tbl[[#All],[STAFF:]],$A54,Aug_Period_2_Tbl[[#All],['# POINTS EARNED]])+  SUMIF(Sep_Period_2_Tbl[[#All],[STAFF:]],$A54,Sep_Period_2_Tbl[[#All],['# POINTS EARNED]])+  SUMIF(Oct_Period_2_Tbl[[#All],[STAFF:]],$A54,Oct_Period_2_Tbl[[#All],['# POINTS EARNED]])+     SUMIF(Nov_Period_2_Tbl[[#All],[STAFF:]],$A54,Nov_Period_2_Tbl[[#All],['# POINTS EARNED]])+  SUMIF(Dec_Period_2_Tbl[[#All],[STAFF:]],$A54,Dec_Period_2_Tbl[[#All],['# POINTS EARNED]]))</f>
        <v>0</v>
      </c>
      <c r="S54" s="152">
        <f>(SUMIF(Jan_Period_1_Tbl[[#All],[STAFF:]],$A54,Jan_Period_1_Tbl[[#All],['# POINTS USED]])+
SUMIF(Feb_Period_1_Tbl[[#All],[STAFF:]],$A54,Feb_Period_1_Tbl[[#All],['# POINTS USED]])+SUMIF(Mar_Period_1_Tbl[[#All],[STAFF:]],$A54,Mar_Period_1_Tbl[[#All],['# POINTS USED]])+SUMIF(Apr_Period_1_Tbl[[#All],[STAFF:]],$A54,Apr_Period_1_Tbl[[#All],['# POINTS USED]])+   SUMIF(May_Period_1_Tbl[[#All],[STAFF:]],$A54,May_Period_1_Tbl[[#All],['# POINTS USED]])+   SUMIF(Jun_Period_1_Tbl[[#All],[STAFF:]],$A54,Jun_Period_1_Tbl[[#All],['# POINTS USED]])+  SUMIF(Jul_Period_1_Tbl[[#All],[STAFF:]],$A54,Jul_Period_1_Tbl[[#All],['# POINTS USED]])+  SUMIF(Aug_Period_1_Tbl[[#All],[STAFF:]],$A54,Aug_Period_1_Tbl[[#All],['# POINTS USED]])+  SUMIF(Sep_Period_1_Tbl[[#All],[STAFF:]],$A54,Sep_Period_1_Tbl[[#All],['# POINTS USED]])+  SUMIF(Oct_Period_1_Tbl[[#All],[STAFF:]],$A54,Oct_Period_1_Tbl[[#All],['# POINTS USED]])+     SUMIF(Nov_Period_1_Tbl[[#All],[STAFF:]],$A54,Nov_Period_1_Tbl[[#All],['# POINTS USED]])+  SUMIF(Dec_Period_1_Tbl[[#All],[STAFF:]],$A54,Dec_Period_1_Tbl[[#All],['# POINTS USED]]))+   (SUMIF(Jan_Period_2_Tbl[[#All],[STAFF:]],$A54,Jan_Period_2_Tbl[[#All],['# POINTS USED]])+
SUMIF(Feb_Period_2_Tbl[[#All],[STAFF:]],$A54,Feb_Period_2_Tbl[[#All],['# POINTS USED]])+SUMIF(Mar_Period_2_Tbl[[#All],[STAFF:]],$A54,Mar_Period_2_Tbl[[#All],['# POINTS USED]])+SUMIF(Apr_Period_2_Tbl[[#All],[STAFF:]],$A54,Apr_Period_2_Tbl[[#All],['# POINTS USED]])+   SUMIF(May_Period_2_Tbl[[#All],[STAFF:]],$A54,May_Period_2_Tbl[[#All],['# POINTS USED]])+   SUMIF(Jun_Period_2_Tbl[[#All],[STAFF:]],$A54,Jun_Period_2_Tbl[[#All],['# POINTS USED]])+  SUMIF(Jul_Period_2_Tbl[[#All],[STAFF:]],$A54,Jul_Period_2_Tbl[[#All],['# POINTS USED]])+  SUMIF(Aug_Period_2_Tbl[[#All],[STAFF:]],$A54,Aug_Period_2_Tbl[[#All],['# POINTS USED]])+  SUMIF(Sep_Period_2_Tbl[[#All],[STAFF:]],$A54,Sep_Period_2_Tbl[[#All],['# POINTS USED]])+  SUMIF(Oct_Period_2_Tbl[[#All],[STAFF:]],$A54,Oct_Period_2_Tbl[[#All],['# POINTS USED]])+     SUMIF(Nov_Period_2_Tbl[[#All],[STAFF:]],$A54,Nov_Period_2_Tbl[[#All],['# POINTS USED]])+  SUMIF(Dec_Period_2_Tbl[[#All],[STAFF:]],$A54,Dec_Period_2_Tbl[[#All],['# POINTS USED]]))</f>
        <v>0</v>
      </c>
      <c r="T54" s="152">
        <f>(SUMIF(Jan_Period_1_Tbl[[#All],[STAFF:]],$A54,Jan_Period_1_Tbl[[#All],['# CLASSES LEAD]])+
SUMIF(Feb_Period_1_Tbl[[#All],[STAFF:]],$A54,Feb_Period_1_Tbl[[#All],['# CLASSES LEAD]])+SUMIF(Mar_Period_1_Tbl[[#All],[STAFF:]],$A54,Mar_Period_1_Tbl[[#All],['# CLASSES LEAD]])+SUMIF(Apr_Period_1_Tbl[[#All],[STAFF:]],$A54,Apr_Period_1_Tbl[[#All],['# CLASSES LEAD]])+   SUMIF(May_Period_1_Tbl[[#All],[STAFF:]],$A54,May_Period_1_Tbl[[#All],['# CLASSES LEAD]])+   SUMIF(Jun_Period_1_Tbl[[#All],[STAFF:]],$A54,Jun_Period_1_Tbl[[#All],['# CLASSES LEAD]])+  SUMIF(Jul_Period_1_Tbl[[#All],[STAFF:]],$A54,Jul_Period_1_Tbl[[#All],['# CLASSES LEAD]])+  SUMIF(Aug_Period_1_Tbl[[#All],[STAFF:]],$A54,Aug_Period_1_Tbl[[#All],['# CLASSES LEAD]])+  SUMIF(Sep_Period_1_Tbl[[#All],[STAFF:]],$A54,Sep_Period_1_Tbl[[#All],['# CLASSES LEAD]])+  SUMIF(Oct_Period_1_Tbl[[#All],[STAFF:]],$A54,Oct_Period_1_Tbl[[#All],['# CLASSES LEAD]])+     SUMIF(Nov_Period_1_Tbl[[#All],[STAFF:]],$A54,Nov_Period_1_Tbl[[#All],['# CLASSES LEAD]])+  SUMIF(Dec_Period_1_Tbl[[#All],[STAFF:]],$A54,Dec_Period_1_Tbl[[#All],['# CLASSES LEAD]]))+   (SUMIF(Jan_Period_2_Tbl[[#All],[STAFF:]],$A54,Jan_Period_2_Tbl[[#All],['# CLASSES LEAD]])+
SUMIF(Feb_Period_2_Tbl[[#All],[STAFF:]],$A54,Feb_Period_2_Tbl[[#All],['# CLASSES LEAD]])+SUMIF(Mar_Period_2_Tbl[[#All],[STAFF:]],$A54,Mar_Period_2_Tbl[[#All],['# CLASSES LEAD]])+SUMIF(Apr_Period_2_Tbl[[#All],[STAFF:]],$A54,Apr_Period_2_Tbl[[#All],['# CLASSES LEAD]])+   SUMIF(May_Period_2_Tbl[[#All],[STAFF:]],$A54,May_Period_2_Tbl[[#All],['# CLASSES LEAD]])+   SUMIF(Jun_Period_2_Tbl[[#All],[STAFF:]],$A54,Jun_Period_2_Tbl[[#All],['# CLASSES LEAD]])+  SUMIF(Jul_Period_2_Tbl[[#All],[STAFF:]],$A54,Jul_Period_2_Tbl[[#All],['# CLASSES LEAD]])+  SUMIF(Aug_Period_2_Tbl[[#All],[STAFF:]],$A54,Aug_Period_2_Tbl[[#All],['# CLASSES LEAD]])+  SUMIF(Sep_Period_2_Tbl[[#All],[STAFF:]],$A54,Sep_Period_2_Tbl[[#All],['# CLASSES LEAD]])+  SUMIF(Oct_Period_2_Tbl[[#All],[STAFF:]],$A54,Oct_Period_2_Tbl[[#All],['# CLASSES LEAD]])+     SUMIF(Nov_Period_2_Tbl[[#All],[STAFF:]],$A54,Nov_Period_2_Tbl[[#All],['# CLASSES LEAD]])+  SUMIF(Dec_Period_2_Tbl[[#All],[STAFF:]],$A54,Dec_Period_2_Tbl[[#All],['# CLASSES LEAD]]))</f>
        <v>0</v>
      </c>
      <c r="U54" s="152">
        <f>(SUMIF(Jan_Period_1_Tbl[[#All],[STAFF:]],$A54,Jan_Period_1_Tbl[[#All],['# CLASSES SHOW]])+
SUMIF(Feb_Period_1_Tbl[[#All],[STAFF:]],$A54,Feb_Period_1_Tbl[[#All],['# CLASSES SHOW]])+SUMIF(Mar_Period_1_Tbl[[#All],[STAFF:]],$A54,Mar_Period_1_Tbl[[#All],['# CLASSES SHOW]])+SUMIF(Apr_Period_1_Tbl[[#All],[STAFF:]],$A54,Apr_Period_1_Tbl[[#All],['# CLASSES SHOW]])+   SUMIF(May_Period_1_Tbl[[#All],[STAFF:]],$A54,May_Period_1_Tbl[[#All],['# CLASSES SHOW]])+   SUMIF(Jun_Period_1_Tbl[[#All],[STAFF:]],$A54,Jun_Period_1_Tbl[[#All],['# CLASSES SHOW]])+  SUMIF(Jul_Period_1_Tbl[[#All],[STAFF:]],$A54,Jul_Period_1_Tbl[[#All],['# CLASSES SHOW]])+  SUMIF(Aug_Period_1_Tbl[[#All],[STAFF:]],$A54,Aug_Period_1_Tbl[[#All],['# CLASSES SHOW]])+  SUMIF(Sep_Period_1_Tbl[[#All],[STAFF:]],$A54,Sep_Period_1_Tbl[[#All],['# CLASSES SHOW]])+  SUMIF(Oct_Period_1_Tbl[[#All],[STAFF:]],$A54,Oct_Period_1_Tbl[[#All],['# CLASSES SHOW]])+     SUMIF(Nov_Period_1_Tbl[[#All],[STAFF:]],$A54,Nov_Period_1_Tbl[[#All],['# CLASSES SHOW]])+  SUMIF(Dec_Period_1_Tbl[[#All],[STAFF:]],$A54,Dec_Period_1_Tbl[[#All],['# CLASSES SHOW]]))+   (SUMIF(Jan_Period_2_Tbl[[#All],[STAFF:]],$A54,Jan_Period_2_Tbl[[#All],['# CLASSES SHOW]])+
SUMIF(Feb_Period_2_Tbl[[#All],[STAFF:]],$A54,Feb_Period_2_Tbl[[#All],['# CLASSES SHOW]])+SUMIF(Mar_Period_2_Tbl[[#All],[STAFF:]],$A54,Mar_Period_2_Tbl[[#All],['# CLASSES SHOW]])+SUMIF(Apr_Period_2_Tbl[[#All],[STAFF:]],$A54,Apr_Period_2_Tbl[[#All],['# CLASSES SHOW]])+   SUMIF(May_Period_2_Tbl[[#All],[STAFF:]],$A54,May_Period_2_Tbl[[#All],['# CLASSES SHOW]])+   SUMIF(Jun_Period_2_Tbl[[#All],[STAFF:]],$A54,Jun_Period_2_Tbl[[#All],['# CLASSES SHOW]])+  SUMIF(Jul_Period_2_Tbl[[#All],[STAFF:]],$A54,Jul_Period_2_Tbl[[#All],['# CLASSES SHOW]])+  SUMIF(Aug_Period_2_Tbl[[#All],[STAFF:]],$A54,Aug_Period_2_Tbl[[#All],['# CLASSES SHOW]])+  SUMIF(Sep_Period_2_Tbl[[#All],[STAFF:]],$A54,Sep_Period_2_Tbl[[#All],['# CLASSES SHOW]])+  SUMIF(Oct_Period_2_Tbl[[#All],[STAFF:]],$A54,Oct_Period_2_Tbl[[#All],['# CLASSES SHOW]])+     SUMIF(Nov_Period_2_Tbl[[#All],[STAFF:]],$A54,Nov_Period_2_Tbl[[#All],['# CLASSES SHOW]])+  SUMIF(Dec_Period_2_Tbl[[#All],[STAFF:]],$A54,Dec_Period_2_Tbl[[#All],['# CLASSES SHOW]]))</f>
        <v>0</v>
      </c>
      <c r="V54" s="156"/>
      <c r="W54" s="156"/>
      <c r="X54" s="154">
        <f t="shared" si="10"/>
        <v>0</v>
      </c>
      <c r="Y54" s="154">
        <f t="shared" si="11"/>
        <v>0</v>
      </c>
      <c r="Z54" s="154">
        <f t="shared" si="12"/>
        <v>0</v>
      </c>
      <c r="AA54" s="154">
        <f t="shared" si="13"/>
        <v>0</v>
      </c>
      <c r="AB54" s="154">
        <f t="shared" si="14"/>
        <v>0</v>
      </c>
      <c r="AC54" s="154">
        <f t="shared" si="15"/>
        <v>0</v>
      </c>
      <c r="AD54" s="154">
        <f t="shared" si="16"/>
        <v>0</v>
      </c>
      <c r="AE54" s="149"/>
      <c r="AF54" s="149"/>
      <c r="AG54" s="149"/>
      <c r="AH54" s="149"/>
      <c r="AJ54" s="75" t="str">
        <f t="shared" si="17"/>
        <v>zBlank</v>
      </c>
      <c r="AK54" s="210"/>
      <c r="AL54" s="168">
        <f>IFERROR(VLOOKUP(B54,List!$A:$B,2,FALSE),-1)</f>
        <v>-1</v>
      </c>
      <c r="AM54" s="168">
        <f>IFERROR(VLOOKUP(C54,List!$A:$B,2,FALSE),-1)</f>
        <v>-1</v>
      </c>
    </row>
    <row r="55" spans="1:39" ht="15" hidden="1" customHeight="1" x14ac:dyDescent="0.25">
      <c r="A55" s="20"/>
      <c r="B55" s="186"/>
      <c r="C55" s="186"/>
      <c r="D55" s="187"/>
      <c r="E55" s="188">
        <f>(SUMIF(Jan_Period_1_Tbl[[#All],[STAFF:]],$A55,Jan_Period_1_Tbl[[#All],['# PTO USED]])+
SUMIF(Feb_Period_1_Tbl[[#All],[STAFF:]],$A55,Feb_Period_1_Tbl[[#All],['# PTO USED]])+SUMIF(Mar_Period_1_Tbl[[#All],[STAFF:]],$A55,Mar_Period_1_Tbl[[#All],['# PTO USED]])+SUMIF(Apr_Period_1_Tbl[[#All],[STAFF:]],$A55,Apr_Period_1_Tbl[[#All],['# PTO USED]])+   SUMIF(May_Period_1_Tbl[[#All],[STAFF:]],$A55,May_Period_1_Tbl[[#All],['# PTO USED]])+   SUMIF(Jun_Period_1_Tbl[[#All],[STAFF:]],$A55,Jun_Period_1_Tbl[[#All],['# PTO USED]])+  SUMIF(Jul_Period_1_Tbl[[#All],[STAFF:]],$A55,Jul_Period_1_Tbl[[#All],['# PTO USED]])+  SUMIF(Aug_Period_1_Tbl[[#All],[STAFF:]],$A55,Aug_Period_1_Tbl[[#All],['# PTO USED]])+  SUMIF(Sep_Period_1_Tbl[[#All],[STAFF:]],$A55,Sep_Period_1_Tbl[[#All],['# PTO USED]])+  SUMIF(Oct_Period_1_Tbl[[#All],[STAFF:]],$A55,Oct_Period_1_Tbl[[#All],['# PTO USED]])+     SUMIF(Nov_Period_1_Tbl[[#All],[STAFF:]],$A55,Nov_Period_1_Tbl[[#All],['# PTO USED]])+  SUMIF(Dec_Period_1_Tbl[[#All],[STAFF:]],$A55,Dec_Period_1_Tbl[[#All],['# PTO USED]]))+   (SUMIF(Jan_Period_2_Tbl[[#All],[STAFF:]],$A55,Jan_Period_2_Tbl[[#All],['# PTO USED]])+
SUMIF(Feb_Period_2_Tbl[[#All],[STAFF:]],$A55,Feb_Period_2_Tbl[[#All],['# PTO USED]])+SUMIF(Mar_Period_2_Tbl[[#All],[STAFF:]],$A55,Mar_Period_2_Tbl[[#All],['# PTO USED]])+SUMIF(Apr_Period_2_Tbl[[#All],[STAFF:]],$A55,Apr_Period_2_Tbl[[#All],['# PTO USED]])+   SUMIF(May_Period_2_Tbl[[#All],[STAFF:]],$A55,May_Period_2_Tbl[[#All],['# PTO USED]])+   SUMIF(Jun_Period_2_Tbl[[#All],[STAFF:]],$A55,Jun_Period_2_Tbl[[#All],['# PTO USED]])+  SUMIF(Jul_Period_2_Tbl[[#All],[STAFF:]],$A55,Jul_Period_2_Tbl[[#All],['# PTO USED]])+  SUMIF(Aug_Period_2_Tbl[[#All],[STAFF:]],$A55,Aug_Period_2_Tbl[[#All],['# PTO USED]])+  SUMIF(Sep_Period_2_Tbl[[#All],[STAFF:]],$A55,Sep_Period_2_Tbl[[#All],['# PTO USED]])+  SUMIF(Oct_Period_2_Tbl[[#All],[STAFF:]],$A55,Oct_Period_2_Tbl[[#All],['# PTO USED]])+     SUMIF(Nov_Period_2_Tbl[[#All],[STAFF:]],$A55,Nov_Period_2_Tbl[[#All],['# PTO USED]])+  SUMIF(Dec_Period_2_Tbl[[#All],[STAFF:]],$A55,Dec_Period_2_Tbl[[#All],['# PTO USED]]))</f>
        <v>0</v>
      </c>
      <c r="F55" s="189">
        <f>(SUMIF(Jan_Period_1_Tbl[[#All],[STAFF:]],$A55,Jan_Period_1_Tbl[[#All],['# HRS WORKED]])+
SUMIF(Feb_Period_1_Tbl[[#All],[STAFF:]],$A55,Feb_Period_1_Tbl[[#All],['# HRS WORKED]])+SUMIF(Mar_Period_1_Tbl[[#All],[STAFF:]],$A55,Mar_Period_1_Tbl[[#All],['# HRS WORKED]])+SUMIF(Apr_Period_1_Tbl[[#All],[STAFF:]],$A55,Apr_Period_1_Tbl[[#All],['# HRS WORKED]])+   SUMIF(May_Period_1_Tbl[[#All],[STAFF:]],$A55,May_Period_1_Tbl[[#All],['# HRS WORKED]])+   SUMIF(Jun_Period_1_Tbl[[#All],[STAFF:]],$A55,Jun_Period_1_Tbl[[#All],['# HRS WORKED]])+  SUMIF(Jul_Period_1_Tbl[[#All],[STAFF:]],$A55,Jul_Period_1_Tbl[[#All],['# HRS WORKED]])+  SUMIF(Aug_Period_1_Tbl[[#All],[STAFF:]],$A55,Aug_Period_1_Tbl[[#All],['# HRS WORKED]])+  SUMIF(Sep_Period_1_Tbl[[#All],[STAFF:]],$A55,Sep_Period_1_Tbl[[#All],['# HRS WORKED]])+  SUMIF(Oct_Period_1_Tbl[[#All],[STAFF:]],$A55,Oct_Period_1_Tbl[[#All],['# HRS WORKED]])+     SUMIF(Nov_Period_1_Tbl[[#All],[STAFF:]],$A55,Nov_Period_1_Tbl[[#All],['# HRS WORKED]])+  SUMIF(Dec_Period_1_Tbl[[#All],[STAFF:]],$A55,Dec_Period_1_Tbl[[#All],['# HRS WORKED]]))+   (SUMIF(Jan_Period_2_Tbl[[#All],[STAFF:]],$A55,Jan_Period_2_Tbl[[#All],['# HRS WORKED]])+
SUMIF(Feb_Period_2_Tbl[[#All],[STAFF:]],$A55,Feb_Period_2_Tbl[[#All],['# HRS WORKED]])+SUMIF(Mar_Period_2_Tbl[[#All],[STAFF:]],$A55,Mar_Period_2_Tbl[[#All],['# HRS WORKED]])+SUMIF(Apr_Period_2_Tbl[[#All],[STAFF:]],$A55,Apr_Period_2_Tbl[[#All],['# HRS WORKED]])+   SUMIF(May_Period_2_Tbl[[#All],[STAFF:]],$A55,May_Period_2_Tbl[[#All],['# HRS WORKED]])+   SUMIF(Jun_Period_2_Tbl[[#All],[STAFF:]],$A55,Jun_Period_2_Tbl[[#All],['# HRS WORKED]])+  SUMIF(Jul_Period_2_Tbl[[#All],[STAFF:]],$A55,Jul_Period_2_Tbl[[#All],['# HRS WORKED]])+  SUMIF(Aug_Period_2_Tbl[[#All],[STAFF:]],$A55,Aug_Period_2_Tbl[[#All],['# HRS WORKED]])+  SUMIF(Sep_Period_2_Tbl[[#All],[STAFF:]],$A55,Sep_Period_2_Tbl[[#All],['# HRS WORKED]])+  SUMIF(Oct_Period_2_Tbl[[#All],[STAFF:]],$A55,Oct_Period_2_Tbl[[#All],['# HRS WORKED]])+     SUMIF(Nov_Period_2_Tbl[[#All],[STAFF:]],$A55,Nov_Period_2_Tbl[[#All],['# HRS WORKED]])+  SUMIF(Dec_Period_2_Tbl[[#All],[STAFF:]],$A55,Dec_Period_2_Tbl[[#All],['# HRS WORKED]]))</f>
        <v>0</v>
      </c>
      <c r="G55" s="190">
        <f>(SUMIF(Jan_Period_1_Tbl[[#All],[STAFF:]],$A55,Jan_Period_1_Tbl[[#All],[$ Hourly WAGES]])+
SUMIF(Feb_Period_1_Tbl[[#All],[STAFF:]],$A55,Feb_Period_1_Tbl[[#All],[$ Hourly WAGES]])+SUMIF(Mar_Period_1_Tbl[[#All],[STAFF:]],$A55,Mar_Period_1_Tbl[[#All],[$ Hourly WAGES]])+SUMIF(Apr_Period_1_Tbl[[#All],[STAFF:]],$A55,Apr_Period_1_Tbl[[#All],[$ Hourly WAGES]])+   SUMIF(May_Period_1_Tbl[[#All],[STAFF:]],$A55,May_Period_1_Tbl[[#All],[$ Hourly WAGES]])+   SUMIF(Jun_Period_1_Tbl[[#All],[STAFF:]],$A55,Jun_Period_1_Tbl[[#All],[$ Hourly WAGES]])+  SUMIF(Jul_Period_1_Tbl[[#All],[STAFF:]],$A55,Jul_Period_1_Tbl[[#All],[$ Hourly WAGES]])+  SUMIF(Aug_Period_1_Tbl[[#All],[STAFF:]],$A55,Aug_Period_1_Tbl[[#All],[$ Hourly WAGES]])+  SUMIF(Sep_Period_1_Tbl[[#All],[STAFF:]],$A55,Sep_Period_1_Tbl[[#All],[$ Hourly WAGES]])+  SUMIF(Oct_Period_1_Tbl[[#All],[STAFF:]],$A55,Oct_Period_1_Tbl[[#All],[$ Hourly WAGES]])+     SUMIF(Nov_Period_1_Tbl[[#All],[STAFF:]],$A55,Nov_Period_1_Tbl[[#All],[$ Hourly WAGES]])+  SUMIF(Dec_Period_1_Tbl[[#All],[STAFF:]],$A55,Dec_Period_1_Tbl[[#All],[$ Hourly WAGES]]))+   (SUMIF(Jan_Period_2_Tbl[[#All],[STAFF:]],$A55,Jan_Period_2_Tbl[[#All],[$ Hourly WAGES]])+
SUMIF(Feb_Period_2_Tbl[[#All],[STAFF:]],$A55,Feb_Period_2_Tbl[[#All],[$ Hourly WAGES]])+SUMIF(Mar_Period_2_Tbl[[#All],[STAFF:]],$A55,Mar_Period_2_Tbl[[#All],[$ Hourly WAGES]])+SUMIF(Apr_Period_2_Tbl[[#All],[STAFF:]],$A55,Apr_Period_2_Tbl[[#All],[$ Hourly WAGES]])+   SUMIF(May_Period_2_Tbl[[#All],[STAFF:]],$A55,May_Period_2_Tbl[[#All],[$ Hourly WAGES]])+   SUMIF(Jun_Period_2_Tbl[[#All],[STAFF:]],$A55,Jun_Period_2_Tbl[[#All],[$ Hourly WAGES]])+  SUMIF(Jul_Period_2_Tbl[[#All],[STAFF:]],$A55,Jul_Period_2_Tbl[[#All],[$ Hourly WAGES]])+  SUMIF(Aug_Period_2_Tbl[[#All],[STAFF:]],$A55,Aug_Period_2_Tbl[[#All],[$ Hourly WAGES]])+  SUMIF(Sep_Period_2_Tbl[[#All],[STAFF:]],$A55,Sep_Period_2_Tbl[[#All],[$ Hourly WAGES]])+  SUMIF(Oct_Period_2_Tbl[[#All],[STAFF:]],$A55,Oct_Period_2_Tbl[[#All],[$ Hourly WAGES]])+     SUMIF(Nov_Period_2_Tbl[[#All],[STAFF:]],$A55,Nov_Period_2_Tbl[[#All],[$ Hourly WAGES]])+  SUMIF(Dec_Period_2_Tbl[[#All],[STAFF:]],$A55,Dec_Period_2_Tbl[[#All],[$ Hourly WAGES]]))</f>
        <v>0</v>
      </c>
      <c r="H55" s="190">
        <f>(SUMIF(Jan_Period_1_Tbl[[#All],[STAFF:]],$A55,Jan_Period_1_Tbl[[#All],[$ SALARY]])+
SUMIF(Feb_Period_1_Tbl[[#All],[STAFF:]],$A55,Feb_Period_1_Tbl[[#All],[$ SALARY]])+SUMIF(Mar_Period_1_Tbl[[#All],[STAFF:]],$A55,Mar_Period_1_Tbl[[#All],[$ SALARY]])+SUMIF(Apr_Period_1_Tbl[[#All],[STAFF:]],$A55,Apr_Period_1_Tbl[[#All],[$ SALARY]])+   SUMIF(May_Period_1_Tbl[[#All],[STAFF:]],$A55,May_Period_1_Tbl[[#All],[$ SALARY]])+   SUMIF(Jun_Period_1_Tbl[[#All],[STAFF:]],$A55,Jun_Period_1_Tbl[[#All],[$ SALARY]])+  SUMIF(Jul_Period_1_Tbl[[#All],[STAFF:]],$A55,Jul_Period_1_Tbl[[#All],[$ SALARY]])+  SUMIF(Aug_Period_1_Tbl[[#All],[STAFF:]],$A55,Aug_Period_1_Tbl[[#All],[$ SALARY]])+  SUMIF(Sep_Period_1_Tbl[[#All],[STAFF:]],$A55,Sep_Period_1_Tbl[[#All],[$ SALARY]])+  SUMIF(Oct_Period_1_Tbl[[#All],[STAFF:]],$A55,Oct_Period_1_Tbl[[#All],[$ SALARY]])+     SUMIF(Nov_Period_1_Tbl[[#All],[STAFF:]],$A55,Nov_Period_1_Tbl[[#All],[$ SALARY]])+  SUMIF(Dec_Period_1_Tbl[[#All],[STAFF:]],$A55,Dec_Period_1_Tbl[[#All],[$ SALARY]]))+   (SUMIF(Jan_Period_2_Tbl[[#All],[STAFF:]],$A55,Jan_Period_2_Tbl[[#All],[$ SALARY]])+
SUMIF(Feb_Period_2_Tbl[[#All],[STAFF:]],$A55,Feb_Period_2_Tbl[[#All],[$ SALARY]])+SUMIF(Mar_Period_2_Tbl[[#All],[STAFF:]],$A55,Mar_Period_2_Tbl[[#All],[$ SALARY]])+SUMIF(Apr_Period_2_Tbl[[#All],[STAFF:]],$A55,Apr_Period_2_Tbl[[#All],[$ SALARY]])+   SUMIF(May_Period_2_Tbl[[#All],[STAFF:]],$A55,May_Period_2_Tbl[[#All],[$ SALARY]])+   SUMIF(Jun_Period_2_Tbl[[#All],[STAFF:]],$A55,Jun_Period_2_Tbl[[#All],[$ SALARY]])+  SUMIF(Jul_Period_2_Tbl[[#All],[STAFF:]],$A55,Jul_Period_2_Tbl[[#All],[$ SALARY]])+  SUMIF(Aug_Period_2_Tbl[[#All],[STAFF:]],$A55,Aug_Period_2_Tbl[[#All],[$ SALARY]])+  SUMIF(Sep_Period_2_Tbl[[#All],[STAFF:]],$A55,Sep_Period_2_Tbl[[#All],[$ SALARY]])+  SUMIF(Oct_Period_2_Tbl[[#All],[STAFF:]],$A55,Oct_Period_2_Tbl[[#All],[$ SALARY]])+     SUMIF(Nov_Period_2_Tbl[[#All],[STAFF:]],$A55,Nov_Period_2_Tbl[[#All],[$ SALARY]])+  SUMIF(Dec_Period_2_Tbl[[#All],[STAFF:]],$A55,Dec_Period_2_Tbl[[#All],[$ SALARY]]))</f>
        <v>0</v>
      </c>
      <c r="I55" s="190">
        <f>(SUMIF(Jan_Period_1_Tbl[[#All],[STAFF:]],$A55,Jan_Period_1_Tbl[[#All],[$ SALARY PT]])+
SUMIF(Feb_Period_1_Tbl[[#All],[STAFF:]],$A55,Feb_Period_1_Tbl[[#All],[$ SALARY PT]])+SUMIF(Mar_Period_1_Tbl[[#All],[STAFF:]],$A55,Mar_Period_1_Tbl[[#All],[$ SALARY PT]])+SUMIF(Apr_Period_1_Tbl[[#All],[STAFF:]],$A55,Apr_Period_1_Tbl[[#All],[$ SALARY PT]])+   SUMIF(May_Period_1_Tbl[[#All],[STAFF:]],$A55,May_Period_1_Tbl[[#All],[$ SALARY PT]])+   SUMIF(Jun_Period_1_Tbl[[#All],[STAFF:]],$A55,Jun_Period_1_Tbl[[#All],[$ SALARY PT]])+  SUMIF(Jul_Period_1_Tbl[[#All],[STAFF:]],$A55,Jul_Period_1_Tbl[[#All],[$ SALARY PT]])+  SUMIF(Aug_Period_1_Tbl[[#All],[STAFF:]],$A55,Aug_Period_1_Tbl[[#All],[$ SALARY PT]])+  SUMIF(Sep_Period_1_Tbl[[#All],[STAFF:]],$A55,Sep_Period_1_Tbl[[#All],[$ SALARY PT]])+  SUMIF(Oct_Period_1_Tbl[[#All],[STAFF:]],$A55,Oct_Period_1_Tbl[[#All],[$ SALARY PT]])+     SUMIF(Nov_Period_1_Tbl[[#All],[STAFF:]],$A55,Nov_Period_1_Tbl[[#All],[$ SALARY PT]])+  SUMIF(Dec_Period_1_Tbl[[#All],[STAFF:]],$A55,Dec_Period_1_Tbl[[#All],[$ SALARY PT]]))+   (SUMIF(Jan_Period_2_Tbl[[#All],[STAFF:]],$A55,Jan_Period_2_Tbl[[#All],[$ SALARY PT]])+
SUMIF(Feb_Period_2_Tbl[[#All],[STAFF:]],$A55,Feb_Period_2_Tbl[[#All],[$ SALARY PT]])+SUMIF(Mar_Period_2_Tbl[[#All],[STAFF:]],$A55,Mar_Period_2_Tbl[[#All],[$ SALARY PT]])+SUMIF(Apr_Period_2_Tbl[[#All],[STAFF:]],$A55,Apr_Period_2_Tbl[[#All],[$ SALARY PT]])+   SUMIF(May_Period_2_Tbl[[#All],[STAFF:]],$A55,May_Period_2_Tbl[[#All],[$ SALARY PT]])+   SUMIF(Jun_Period_2_Tbl[[#All],[STAFF:]],$A55,Jun_Period_2_Tbl[[#All],[$ SALARY PT]])+  SUMIF(Jul_Period_2_Tbl[[#All],[STAFF:]],$A55,Jul_Period_2_Tbl[[#All],[$ SALARY PT]])+  SUMIF(Aug_Period_2_Tbl[[#All],[STAFF:]],$A55,Aug_Period_2_Tbl[[#All],[$ SALARY PT]])+  SUMIF(Sep_Period_2_Tbl[[#All],[STAFF:]],$A55,Sep_Period_2_Tbl[[#All],[$ SALARY PT]])+  SUMIF(Oct_Period_2_Tbl[[#All],[STAFF:]],$A55,Oct_Period_2_Tbl[[#All],[$ SALARY PT]])+     SUMIF(Nov_Period_2_Tbl[[#All],[STAFF:]],$A55,Nov_Period_2_Tbl[[#All],[$ SALARY PT]])+  SUMIF(Dec_Period_2_Tbl[[#All],[STAFF:]],$A55,Dec_Period_2_Tbl[[#All],[$ SALARY PT]]))</f>
        <v>0</v>
      </c>
      <c r="J55" s="190">
        <f>(SUMIF(Jan_Period_1_Tbl[[#All],[STAFF:]],$A55,Jan_Period_1_Tbl[[#All],[$ FREE PT]])+
SUMIF(Feb_Period_1_Tbl[[#All],[STAFF:]],$A55,Feb_Period_1_Tbl[[#All],[$ FREE PT]])+SUMIF(Mar_Period_1_Tbl[[#All],[STAFF:]],$A55,Mar_Period_1_Tbl[[#All],[$ FREE PT]])+SUMIF(Apr_Period_1_Tbl[[#All],[STAFF:]],$A55,Apr_Period_1_Tbl[[#All],[$ FREE PT]])+   SUMIF(May_Period_1_Tbl[[#All],[STAFF:]],$A55,May_Period_1_Tbl[[#All],[$ FREE PT]])+   SUMIF(Jun_Period_1_Tbl[[#All],[STAFF:]],$A55,Jun_Period_1_Tbl[[#All],[$ FREE PT]])+  SUMIF(Jul_Period_1_Tbl[[#All],[STAFF:]],$A55,Jul_Period_1_Tbl[[#All],[$ FREE PT]])+  SUMIF(Aug_Period_1_Tbl[[#All],[STAFF:]],$A55,Aug_Period_1_Tbl[[#All],[$ FREE PT]])+  SUMIF(Sep_Period_1_Tbl[[#All],[STAFF:]],$A55,Sep_Period_1_Tbl[[#All],[$ FREE PT]])+  SUMIF(Oct_Period_1_Tbl[[#All],[STAFF:]],$A55,Oct_Period_1_Tbl[[#All],[$ FREE PT]])+     SUMIF(Nov_Period_1_Tbl[[#All],[STAFF:]],$A55,Nov_Period_1_Tbl[[#All],[$ FREE PT]])+  SUMIF(Dec_Period_1_Tbl[[#All],[STAFF:]],$A55,Dec_Period_1_Tbl[[#All],[$ FREE PT]]))+   (SUMIF(Jan_Period_2_Tbl[[#All],[STAFF:]],$A55,Jan_Period_2_Tbl[[#All],[$ FREE PT]])+
SUMIF(Feb_Period_2_Tbl[[#All],[STAFF:]],$A55,Feb_Period_2_Tbl[[#All],[$ FREE PT]])+SUMIF(Mar_Period_2_Tbl[[#All],[STAFF:]],$A55,Mar_Period_2_Tbl[[#All],[$ FREE PT]])+SUMIF(Apr_Period_2_Tbl[[#All],[STAFF:]],$A55,Apr_Period_2_Tbl[[#All],[$ FREE PT]])+   SUMIF(May_Period_2_Tbl[[#All],[STAFF:]],$A55,May_Period_2_Tbl[[#All],[$ FREE PT]])+   SUMIF(Jun_Period_2_Tbl[[#All],[STAFF:]],$A55,Jun_Period_2_Tbl[[#All],[$ FREE PT]])+  SUMIF(Jul_Period_2_Tbl[[#All],[STAFF:]],$A55,Jul_Period_2_Tbl[[#All],[$ FREE PT]])+  SUMIF(Aug_Period_2_Tbl[[#All],[STAFF:]],$A55,Aug_Period_2_Tbl[[#All],[$ FREE PT]])+  SUMIF(Sep_Period_2_Tbl[[#All],[STAFF:]],$A55,Sep_Period_2_Tbl[[#All],[$ FREE PT]])+  SUMIF(Oct_Period_2_Tbl[[#All],[STAFF:]],$A55,Oct_Period_2_Tbl[[#All],[$ FREE PT]])+     SUMIF(Nov_Period_2_Tbl[[#All],[STAFF:]],$A55,Nov_Period_2_Tbl[[#All],[$ FREE PT]])+  SUMIF(Dec_Period_2_Tbl[[#All],[STAFF:]],$A55,Dec_Period_2_Tbl[[#All],[$ FREE PT]]))</f>
        <v>0</v>
      </c>
      <c r="K55" s="190">
        <f>(SUMIF(Jan_Period_1_Tbl[[#All],[STAFF:]],$A55,Jan_Period_1_Tbl[[#All],[$ PAID PT]])+
SUMIF(Feb_Period_1_Tbl[[#All],[STAFF:]],$A55,Feb_Period_1_Tbl[[#All],[$ PAID PT]])+SUMIF(Mar_Period_1_Tbl[[#All],[STAFF:]],$A55,Mar_Period_1_Tbl[[#All],[$ PAID PT]])+SUMIF(Apr_Period_1_Tbl[[#All],[STAFF:]],$A55,Apr_Period_1_Tbl[[#All],[$ PAID PT]])+   SUMIF(May_Period_1_Tbl[[#All],[STAFF:]],$A55,May_Period_1_Tbl[[#All],[$ PAID PT]])+   SUMIF(Jun_Period_1_Tbl[[#All],[STAFF:]],$A55,Jun_Period_1_Tbl[[#All],[$ PAID PT]])+  SUMIF(Jul_Period_1_Tbl[[#All],[STAFF:]],$A55,Jul_Period_1_Tbl[[#All],[$ PAID PT]])+  SUMIF(Aug_Period_1_Tbl[[#All],[STAFF:]],$A55,Aug_Period_1_Tbl[[#All],[$ PAID PT]])+  SUMIF(Sep_Period_1_Tbl[[#All],[STAFF:]],$A55,Sep_Period_1_Tbl[[#All],[$ PAID PT]])+  SUMIF(Oct_Period_1_Tbl[[#All],[STAFF:]],$A55,Oct_Period_1_Tbl[[#All],[$ PAID PT]])+     SUMIF(Nov_Period_1_Tbl[[#All],[STAFF:]],$A55,Nov_Period_1_Tbl[[#All],[$ PAID PT]])+  SUMIF(Dec_Period_1_Tbl[[#All],[STAFF:]],$A55,Dec_Period_1_Tbl[[#All],[$ PAID PT]]))+   (SUMIF(Jan_Period_2_Tbl[[#All],[STAFF:]],$A55,Jan_Period_2_Tbl[[#All],[$ PAID PT]])+
SUMIF(Feb_Period_2_Tbl[[#All],[STAFF:]],$A55,Feb_Period_2_Tbl[[#All],[$ PAID PT]])+SUMIF(Mar_Period_2_Tbl[[#All],[STAFF:]],$A55,Mar_Period_2_Tbl[[#All],[$ PAID PT]])+SUMIF(Apr_Period_2_Tbl[[#All],[STAFF:]],$A55,Apr_Period_2_Tbl[[#All],[$ PAID PT]])+   SUMIF(May_Period_2_Tbl[[#All],[STAFF:]],$A55,May_Period_2_Tbl[[#All],[$ PAID PT]])+   SUMIF(Jun_Period_2_Tbl[[#All],[STAFF:]],$A55,Jun_Period_2_Tbl[[#All],[$ PAID PT]])+  SUMIF(Jul_Period_2_Tbl[[#All],[STAFF:]],$A55,Jul_Period_2_Tbl[[#All],[$ PAID PT]])+  SUMIF(Aug_Period_2_Tbl[[#All],[STAFF:]],$A55,Aug_Period_2_Tbl[[#All],[$ PAID PT]])+  SUMIF(Sep_Period_2_Tbl[[#All],[STAFF:]],$A55,Sep_Period_2_Tbl[[#All],[$ PAID PT]])+  SUMIF(Oct_Period_2_Tbl[[#All],[STAFF:]],$A55,Oct_Period_2_Tbl[[#All],[$ PAID PT]])+     SUMIF(Nov_Period_2_Tbl[[#All],[STAFF:]],$A55,Nov_Period_2_Tbl[[#All],[$ PAID PT]])+  SUMIF(Dec_Period_2_Tbl[[#All],[STAFF:]],$A55,Dec_Period_2_Tbl[[#All],[$ PAID PT]]))</f>
        <v>0</v>
      </c>
      <c r="L55" s="190">
        <f>(SUMIF(Jan_Period_1_Tbl[[#All],[STAFF:]],$A55,Jan_Period_1_Tbl[[#All],[$ PT COMM]])+
SUMIF(Feb_Period_1_Tbl[[#All],[STAFF:]],$A55,Feb_Period_1_Tbl[[#All],[$ PT COMM]])+SUMIF(Mar_Period_1_Tbl[[#All],[STAFF:]],$A55,Mar_Period_1_Tbl[[#All],[$ PT COMM]])+SUMIF(Apr_Period_1_Tbl[[#All],[STAFF:]],$A55,Apr_Period_1_Tbl[[#All],[$ PT COMM]])+   SUMIF(May_Period_1_Tbl[[#All],[STAFF:]],$A55,May_Period_1_Tbl[[#All],[$ PT COMM]])+   SUMIF(Jun_Period_1_Tbl[[#All],[STAFF:]],$A55,Jun_Period_1_Tbl[[#All],[$ PT COMM]])+  SUMIF(Jul_Period_1_Tbl[[#All],[STAFF:]],$A55,Jul_Period_1_Tbl[[#All],[$ PT COMM]])+  SUMIF(Aug_Period_1_Tbl[[#All],[STAFF:]],$A55,Aug_Period_1_Tbl[[#All],[$ PT COMM]])+  SUMIF(Sep_Period_1_Tbl[[#All],[STAFF:]],$A55,Sep_Period_1_Tbl[[#All],[$ PT COMM]])+  SUMIF(Oct_Period_1_Tbl[[#All],[STAFF:]],$A55,Oct_Period_1_Tbl[[#All],[$ PT COMM]])+     SUMIF(Nov_Period_1_Tbl[[#All],[STAFF:]],$A55,Nov_Period_1_Tbl[[#All],[$ PT COMM]])+  SUMIF(Dec_Period_1_Tbl[[#All],[STAFF:]],$A55,Dec_Period_1_Tbl[[#All],[$ PT COMM]]))+   (SUMIF(Jan_Period_2_Tbl[[#All],[STAFF:]],$A55,Jan_Period_2_Tbl[[#All],[$ PT COMM]])+
SUMIF(Feb_Period_2_Tbl[[#All],[STAFF:]],$A55,Feb_Period_2_Tbl[[#All],[$ PT COMM]])+SUMIF(Mar_Period_2_Tbl[[#All],[STAFF:]],$A55,Mar_Period_2_Tbl[[#All],[$ PT COMM]])+SUMIF(Apr_Period_2_Tbl[[#All],[STAFF:]],$A55,Apr_Period_2_Tbl[[#All],[$ PT COMM]])+   SUMIF(May_Period_2_Tbl[[#All],[STAFF:]],$A55,May_Period_2_Tbl[[#All],[$ PT COMM]])+   SUMIF(Jun_Period_2_Tbl[[#All],[STAFF:]],$A55,Jun_Period_2_Tbl[[#All],[$ PT COMM]])+  SUMIF(Jul_Period_2_Tbl[[#All],[STAFF:]],$A55,Jul_Period_2_Tbl[[#All],[$ PT COMM]])+  SUMIF(Aug_Period_2_Tbl[[#All],[STAFF:]],$A55,Aug_Period_2_Tbl[[#All],[$ PT COMM]])+  SUMIF(Sep_Period_2_Tbl[[#All],[STAFF:]],$A55,Sep_Period_2_Tbl[[#All],[$ PT COMM]])+  SUMIF(Oct_Period_2_Tbl[[#All],[STAFF:]],$A55,Oct_Period_2_Tbl[[#All],[$ PT COMM]])+     SUMIF(Nov_Period_2_Tbl[[#All],[STAFF:]],$A55,Nov_Period_2_Tbl[[#All],[$ PT COMM]])+  SUMIF(Dec_Period_2_Tbl[[#All],[STAFF:]],$A55,Dec_Period_2_Tbl[[#All],[$ PT COMM]]))</f>
        <v>0</v>
      </c>
      <c r="M55" s="190">
        <f>(SUMIF(Jan_Period_1_Tbl[[#All],[STAFF:]],$A55,Jan_Period_1_Tbl[[#All],[$ EFT COMM]])+
SUMIF(Feb_Period_1_Tbl[[#All],[STAFF:]],$A55,Feb_Period_1_Tbl[[#All],[$ EFT COMM]])+SUMIF(Mar_Period_1_Tbl[[#All],[STAFF:]],$A55,Mar_Period_1_Tbl[[#All],[$ EFT COMM]])+SUMIF(Apr_Period_1_Tbl[[#All],[STAFF:]],$A55,Apr_Period_1_Tbl[[#All],[$ EFT COMM]])+   SUMIF(May_Period_1_Tbl[[#All],[STAFF:]],$A55,May_Period_1_Tbl[[#All],[$ EFT COMM]])+   SUMIF(Jun_Period_1_Tbl[[#All],[STAFF:]],$A55,Jun_Period_1_Tbl[[#All],[$ EFT COMM]])+  SUMIF(Jul_Period_1_Tbl[[#All],[STAFF:]],$A55,Jul_Period_1_Tbl[[#All],[$ EFT COMM]])+  SUMIF(Aug_Period_1_Tbl[[#All],[STAFF:]],$A55,Aug_Period_1_Tbl[[#All],[$ EFT COMM]])+  SUMIF(Sep_Period_1_Tbl[[#All],[STAFF:]],$A55,Sep_Period_1_Tbl[[#All],[$ EFT COMM]])+  SUMIF(Oct_Period_1_Tbl[[#All],[STAFF:]],$A55,Oct_Period_1_Tbl[[#All],[$ EFT COMM]])+     SUMIF(Nov_Period_1_Tbl[[#All],[STAFF:]],$A55,Nov_Period_1_Tbl[[#All],[$ EFT COMM]])+  SUMIF(Dec_Period_1_Tbl[[#All],[STAFF:]],$A55,Dec_Period_1_Tbl[[#All],[$ EFT COMM]]))+   (SUMIF(Jan_Period_2_Tbl[[#All],[STAFF:]],$A55,Jan_Period_2_Tbl[[#All],[$ EFT COMM]])+
SUMIF(Feb_Period_2_Tbl[[#All],[STAFF:]],$A55,Feb_Period_2_Tbl[[#All],[$ EFT COMM]])+SUMIF(Mar_Period_2_Tbl[[#All],[STAFF:]],$A55,Mar_Period_2_Tbl[[#All],[$ EFT COMM]])+SUMIF(Apr_Period_2_Tbl[[#All],[STAFF:]],$A55,Apr_Period_2_Tbl[[#All],[$ EFT COMM]])+   SUMIF(May_Period_2_Tbl[[#All],[STAFF:]],$A55,May_Period_2_Tbl[[#All],[$ EFT COMM]])+   SUMIF(Jun_Period_2_Tbl[[#All],[STAFF:]],$A55,Jun_Period_2_Tbl[[#All],[$ EFT COMM]])+  SUMIF(Jul_Period_2_Tbl[[#All],[STAFF:]],$A55,Jul_Period_2_Tbl[[#All],[$ EFT COMM]])+  SUMIF(Aug_Period_2_Tbl[[#All],[STAFF:]],$A55,Aug_Period_2_Tbl[[#All],[$ EFT COMM]])+  SUMIF(Sep_Period_2_Tbl[[#All],[STAFF:]],$A55,Sep_Period_2_Tbl[[#All],[$ EFT COMM]])+  SUMIF(Oct_Period_2_Tbl[[#All],[STAFF:]],$A55,Oct_Period_2_Tbl[[#All],[$ EFT COMM]])+     SUMIF(Nov_Period_2_Tbl[[#All],[STAFF:]],$A55,Nov_Period_2_Tbl[[#All],[$ EFT COMM]])+  SUMIF(Dec_Period_2_Tbl[[#All],[STAFF:]],$A55,Dec_Period_2_Tbl[[#All],[$ EFT COMM]]))</f>
        <v>0</v>
      </c>
      <c r="N55" s="190">
        <f>(SUMIF(Jan_Period_1_Tbl[[#All],[STAFF:]],$A55,Jan_Period_1_Tbl[[#All],[$ CLASS PAY]])+
SUMIF(Feb_Period_1_Tbl[[#All],[STAFF:]],$A55,Feb_Period_1_Tbl[[#All],[$ CLASS PAY]])+SUMIF(Mar_Period_1_Tbl[[#All],[STAFF:]],$A55,Mar_Period_1_Tbl[[#All],[$ CLASS PAY]])+SUMIF(Apr_Period_1_Tbl[[#All],[STAFF:]],$A55,Apr_Period_1_Tbl[[#All],[$ CLASS PAY]])+   SUMIF(May_Period_1_Tbl[[#All],[STAFF:]],$A55,May_Period_1_Tbl[[#All],[$ CLASS PAY]])+   SUMIF(Jun_Period_1_Tbl[[#All],[STAFF:]],$A55,Jun_Period_1_Tbl[[#All],[$ CLASS PAY]])+  SUMIF(Jul_Period_1_Tbl[[#All],[STAFF:]],$A55,Jul_Period_1_Tbl[[#All],[$ CLASS PAY]])+  SUMIF(Aug_Period_1_Tbl[[#All],[STAFF:]],$A55,Aug_Period_1_Tbl[[#All],[$ CLASS PAY]])+  SUMIF(Sep_Period_1_Tbl[[#All],[STAFF:]],$A55,Sep_Period_1_Tbl[[#All],[$ CLASS PAY]])+  SUMIF(Oct_Period_1_Tbl[[#All],[STAFF:]],$A55,Oct_Period_1_Tbl[[#All],[$ CLASS PAY]])+     SUMIF(Nov_Period_1_Tbl[[#All],[STAFF:]],$A55,Nov_Period_1_Tbl[[#All],[$ CLASS PAY]])+  SUMIF(Dec_Period_1_Tbl[[#All],[STAFF:]],$A55,Dec_Period_1_Tbl[[#All],[$ CLASS PAY]]))+   (SUMIF(Jan_Period_2_Tbl[[#All],[STAFF:]],$A55,Jan_Period_2_Tbl[[#All],[$ CLASS PAY]])+
SUMIF(Feb_Period_2_Tbl[[#All],[STAFF:]],$A55,Feb_Period_2_Tbl[[#All],[$ CLASS PAY]])+SUMIF(Mar_Period_2_Tbl[[#All],[STAFF:]],$A55,Mar_Period_2_Tbl[[#All],[$ CLASS PAY]])+SUMIF(Apr_Period_2_Tbl[[#All],[STAFF:]],$A55,Apr_Period_2_Tbl[[#All],[$ CLASS PAY]])+   SUMIF(May_Period_2_Tbl[[#All],[STAFF:]],$A55,May_Period_2_Tbl[[#All],[$ CLASS PAY]])+   SUMIF(Jun_Period_2_Tbl[[#All],[STAFF:]],$A55,Jun_Period_2_Tbl[[#All],[$ CLASS PAY]])+  SUMIF(Jul_Period_2_Tbl[[#All],[STAFF:]],$A55,Jul_Period_2_Tbl[[#All],[$ CLASS PAY]])+  SUMIF(Aug_Period_2_Tbl[[#All],[STAFF:]],$A55,Aug_Period_2_Tbl[[#All],[$ CLASS PAY]])+  SUMIF(Sep_Period_2_Tbl[[#All],[STAFF:]],$A55,Sep_Period_2_Tbl[[#All],[$ CLASS PAY]])+  SUMIF(Oct_Period_2_Tbl[[#All],[STAFF:]],$A55,Oct_Period_2_Tbl[[#All],[$ CLASS PAY]])+     SUMIF(Nov_Period_2_Tbl[[#All],[STAFF:]],$A55,Nov_Period_2_Tbl[[#All],[$ CLASS PAY]])+  SUMIF(Dec_Period_2_Tbl[[#All],[STAFF:]],$A55,Dec_Period_2_Tbl[[#All],[$ CLASS PAY]]))</f>
        <v>0</v>
      </c>
      <c r="O55" s="191">
        <f>(SUMIF(Jan_Period_1_Tbl[[#All],[STAFF:]],$A55,Jan_Period_1_Tbl[[#All],[$ BONUS PAY]])+
SUMIF(Feb_Period_1_Tbl[[#All],[STAFF:]],$A55,Feb_Period_1_Tbl[[#All],[$ BONUS PAY]])+SUMIF(Mar_Period_1_Tbl[[#All],[STAFF:]],$A55,Mar_Period_1_Tbl[[#All],[$ BONUS PAY]])+SUMIF(Apr_Period_1_Tbl[[#All],[STAFF:]],$A55,Apr_Period_1_Tbl[[#All],[$ BONUS PAY]])+   SUMIF(May_Period_1_Tbl[[#All],[STAFF:]],$A55,May_Period_1_Tbl[[#All],[$ BONUS PAY]])+   SUMIF(Jun_Period_1_Tbl[[#All],[STAFF:]],$A55,Jun_Period_1_Tbl[[#All],[$ BONUS PAY]])+  SUMIF(Jul_Period_1_Tbl[[#All],[STAFF:]],$A55,Jul_Period_1_Tbl[[#All],[$ BONUS PAY]])+  SUMIF(Aug_Period_1_Tbl[[#All],[STAFF:]],$A55,Aug_Period_1_Tbl[[#All],[$ BONUS PAY]])+  SUMIF(Sep_Period_1_Tbl[[#All],[STAFF:]],$A55,Sep_Period_1_Tbl[[#All],[$ BONUS PAY]])+  SUMIF(Oct_Period_1_Tbl[[#All],[STAFF:]],$A55,Oct_Period_1_Tbl[[#All],[$ BONUS PAY]])+     SUMIF(Nov_Period_1_Tbl[[#All],[STAFF:]],$A55,Nov_Period_1_Tbl[[#All],[$ BONUS PAY]])+  SUMIF(Dec_Period_1_Tbl[[#All],[STAFF:]],$A55,Dec_Period_1_Tbl[[#All],[$ BONUS PAY]]))+   (SUMIF(Jan_Period_2_Tbl[[#All],[STAFF:]],$A55,Jan_Period_2_Tbl[[#All],[$ BONUS PAY]])+
SUMIF(Feb_Period_2_Tbl[[#All],[STAFF:]],$A55,Feb_Period_2_Tbl[[#All],[$ BONUS PAY]])+SUMIF(Mar_Period_2_Tbl[[#All],[STAFF:]],$A55,Mar_Period_2_Tbl[[#All],[$ BONUS PAY]])+SUMIF(Apr_Period_2_Tbl[[#All],[STAFF:]],$A55,Apr_Period_2_Tbl[[#All],[$ BONUS PAY]])+   SUMIF(May_Period_2_Tbl[[#All],[STAFF:]],$A55,May_Period_2_Tbl[[#All],[$ BONUS PAY]])+   SUMIF(Jun_Period_2_Tbl[[#All],[STAFF:]],$A55,Jun_Period_2_Tbl[[#All],[$ BONUS PAY]])+  SUMIF(Jul_Period_2_Tbl[[#All],[STAFF:]],$A55,Jul_Period_2_Tbl[[#All],[$ BONUS PAY]])+  SUMIF(Aug_Period_2_Tbl[[#All],[STAFF:]],$A55,Aug_Period_2_Tbl[[#All],[$ BONUS PAY]])+  SUMIF(Sep_Period_2_Tbl[[#All],[STAFF:]],$A55,Sep_Period_2_Tbl[[#All],[$ BONUS PAY]])+  SUMIF(Oct_Period_2_Tbl[[#All],[STAFF:]],$A55,Oct_Period_2_Tbl[[#All],[$ BONUS PAY]])+     SUMIF(Nov_Period_2_Tbl[[#All],[STAFF:]],$A55,Nov_Period_2_Tbl[[#All],[$ BONUS PAY]])+  SUMIF(Dec_Period_2_Tbl[[#All],[STAFF:]],$A55,Dec_Period_2_Tbl[[#All],[$ BONUS PAY]]))</f>
        <v>0</v>
      </c>
      <c r="P55" s="179">
        <f t="shared" si="9"/>
        <v>0</v>
      </c>
      <c r="Q55" s="149"/>
      <c r="R55" s="153">
        <f>(SUMIF(Jan_Period_1_Tbl[[#All],[STAFF:]],$A55,Jan_Period_1_Tbl[[#All],['# POINTS EARNED]])+
SUMIF(Feb_Period_1_Tbl[[#All],[STAFF:]],$A55,Feb_Period_1_Tbl[[#All],['# POINTS EARNED]])+SUMIF(Mar_Period_1_Tbl[[#All],[STAFF:]],$A55,Mar_Period_1_Tbl[[#All],['# POINTS EARNED]])+SUMIF(Apr_Period_1_Tbl[[#All],[STAFF:]],$A55,Apr_Period_1_Tbl[[#All],['# POINTS EARNED]])+   SUMIF(May_Period_1_Tbl[[#All],[STAFF:]],$A55,May_Period_1_Tbl[[#All],['# POINTS EARNED]])+   SUMIF(Jun_Period_1_Tbl[[#All],[STAFF:]],$A55,Jun_Period_1_Tbl[[#All],['# POINTS EARNED]])+  SUMIF(Jul_Period_1_Tbl[[#All],[STAFF:]],$A55,Jul_Period_1_Tbl[[#All],['# POINTS EARNED]])+  SUMIF(Aug_Period_1_Tbl[[#All],[STAFF:]],$A55,Aug_Period_1_Tbl[[#All],['# POINTS EARNED]])+  SUMIF(Sep_Period_1_Tbl[[#All],[STAFF:]],$A55,Sep_Period_1_Tbl[[#All],['# POINTS EARNED]])+  SUMIF(Oct_Period_1_Tbl[[#All],[STAFF:]],$A55,Oct_Period_1_Tbl[[#All],['# POINTS EARNED]])+     SUMIF(Nov_Period_1_Tbl[[#All],[STAFF:]],$A55,Nov_Period_1_Tbl[[#All],['# POINTS EARNED]])+  SUMIF(Dec_Period_1_Tbl[[#All],[STAFF:]],$A55,Dec_Period_1_Tbl[[#All],['# POINTS EARNED]]))+   (SUMIF(Jan_Period_2_Tbl[[#All],[STAFF:]],$A55,Jan_Period_2_Tbl[[#All],['# POINTS EARNED]])+
SUMIF(Feb_Period_2_Tbl[[#All],[STAFF:]],$A55,Feb_Period_2_Tbl[[#All],['# POINTS EARNED]])+SUMIF(Mar_Period_2_Tbl[[#All],[STAFF:]],$A55,Mar_Period_2_Tbl[[#All],['# POINTS EARNED]])+SUMIF(Apr_Period_2_Tbl[[#All],[STAFF:]],$A55,Apr_Period_2_Tbl[[#All],['# POINTS EARNED]])+   SUMIF(May_Period_2_Tbl[[#All],[STAFF:]],$A55,May_Period_2_Tbl[[#All],['# POINTS EARNED]])+   SUMIF(Jun_Period_2_Tbl[[#All],[STAFF:]],$A55,Jun_Period_2_Tbl[[#All],['# POINTS EARNED]])+  SUMIF(Jul_Period_2_Tbl[[#All],[STAFF:]],$A55,Jul_Period_2_Tbl[[#All],['# POINTS EARNED]])+  SUMIF(Aug_Period_2_Tbl[[#All],[STAFF:]],$A55,Aug_Period_2_Tbl[[#All],['# POINTS EARNED]])+  SUMIF(Sep_Period_2_Tbl[[#All],[STAFF:]],$A55,Sep_Period_2_Tbl[[#All],['# POINTS EARNED]])+  SUMIF(Oct_Period_2_Tbl[[#All],[STAFF:]],$A55,Oct_Period_2_Tbl[[#All],['# POINTS EARNED]])+     SUMIF(Nov_Period_2_Tbl[[#All],[STAFF:]],$A55,Nov_Period_2_Tbl[[#All],['# POINTS EARNED]])+  SUMIF(Dec_Period_2_Tbl[[#All],[STAFF:]],$A55,Dec_Period_2_Tbl[[#All],['# POINTS EARNED]]))</f>
        <v>0</v>
      </c>
      <c r="S55" s="153">
        <f>(SUMIF(Jan_Period_1_Tbl[[#All],[STAFF:]],$A55,Jan_Period_1_Tbl[[#All],['# POINTS USED]])+
SUMIF(Feb_Period_1_Tbl[[#All],[STAFF:]],$A55,Feb_Period_1_Tbl[[#All],['# POINTS USED]])+SUMIF(Mar_Period_1_Tbl[[#All],[STAFF:]],$A55,Mar_Period_1_Tbl[[#All],['# POINTS USED]])+SUMIF(Apr_Period_1_Tbl[[#All],[STAFF:]],$A55,Apr_Period_1_Tbl[[#All],['# POINTS USED]])+   SUMIF(May_Period_1_Tbl[[#All],[STAFF:]],$A55,May_Period_1_Tbl[[#All],['# POINTS USED]])+   SUMIF(Jun_Period_1_Tbl[[#All],[STAFF:]],$A55,Jun_Period_1_Tbl[[#All],['# POINTS USED]])+  SUMIF(Jul_Period_1_Tbl[[#All],[STAFF:]],$A55,Jul_Period_1_Tbl[[#All],['# POINTS USED]])+  SUMIF(Aug_Period_1_Tbl[[#All],[STAFF:]],$A55,Aug_Period_1_Tbl[[#All],['# POINTS USED]])+  SUMIF(Sep_Period_1_Tbl[[#All],[STAFF:]],$A55,Sep_Period_1_Tbl[[#All],['# POINTS USED]])+  SUMIF(Oct_Period_1_Tbl[[#All],[STAFF:]],$A55,Oct_Period_1_Tbl[[#All],['# POINTS USED]])+     SUMIF(Nov_Period_1_Tbl[[#All],[STAFF:]],$A55,Nov_Period_1_Tbl[[#All],['# POINTS USED]])+  SUMIF(Dec_Period_1_Tbl[[#All],[STAFF:]],$A55,Dec_Period_1_Tbl[[#All],['# POINTS USED]]))+   (SUMIF(Jan_Period_2_Tbl[[#All],[STAFF:]],$A55,Jan_Period_2_Tbl[[#All],['# POINTS USED]])+
SUMIF(Feb_Period_2_Tbl[[#All],[STAFF:]],$A55,Feb_Period_2_Tbl[[#All],['# POINTS USED]])+SUMIF(Mar_Period_2_Tbl[[#All],[STAFF:]],$A55,Mar_Period_2_Tbl[[#All],['# POINTS USED]])+SUMIF(Apr_Period_2_Tbl[[#All],[STAFF:]],$A55,Apr_Period_2_Tbl[[#All],['# POINTS USED]])+   SUMIF(May_Period_2_Tbl[[#All],[STAFF:]],$A55,May_Period_2_Tbl[[#All],['# POINTS USED]])+   SUMIF(Jun_Period_2_Tbl[[#All],[STAFF:]],$A55,Jun_Period_2_Tbl[[#All],['# POINTS USED]])+  SUMIF(Jul_Period_2_Tbl[[#All],[STAFF:]],$A55,Jul_Period_2_Tbl[[#All],['# POINTS USED]])+  SUMIF(Aug_Period_2_Tbl[[#All],[STAFF:]],$A55,Aug_Period_2_Tbl[[#All],['# POINTS USED]])+  SUMIF(Sep_Period_2_Tbl[[#All],[STAFF:]],$A55,Sep_Period_2_Tbl[[#All],['# POINTS USED]])+  SUMIF(Oct_Period_2_Tbl[[#All],[STAFF:]],$A55,Oct_Period_2_Tbl[[#All],['# POINTS USED]])+     SUMIF(Nov_Period_2_Tbl[[#All],[STAFF:]],$A55,Nov_Period_2_Tbl[[#All],['# POINTS USED]])+  SUMIF(Dec_Period_2_Tbl[[#All],[STAFF:]],$A55,Dec_Period_2_Tbl[[#All],['# POINTS USED]]))</f>
        <v>0</v>
      </c>
      <c r="T55" s="153">
        <f>(SUMIF(Jan_Period_1_Tbl[[#All],[STAFF:]],$A55,Jan_Period_1_Tbl[[#All],['# CLASSES LEAD]])+
SUMIF(Feb_Period_1_Tbl[[#All],[STAFF:]],$A55,Feb_Period_1_Tbl[[#All],['# CLASSES LEAD]])+SUMIF(Mar_Period_1_Tbl[[#All],[STAFF:]],$A55,Mar_Period_1_Tbl[[#All],['# CLASSES LEAD]])+SUMIF(Apr_Period_1_Tbl[[#All],[STAFF:]],$A55,Apr_Period_1_Tbl[[#All],['# CLASSES LEAD]])+   SUMIF(May_Period_1_Tbl[[#All],[STAFF:]],$A55,May_Period_1_Tbl[[#All],['# CLASSES LEAD]])+   SUMIF(Jun_Period_1_Tbl[[#All],[STAFF:]],$A55,Jun_Period_1_Tbl[[#All],['# CLASSES LEAD]])+  SUMIF(Jul_Period_1_Tbl[[#All],[STAFF:]],$A55,Jul_Period_1_Tbl[[#All],['# CLASSES LEAD]])+  SUMIF(Aug_Period_1_Tbl[[#All],[STAFF:]],$A55,Aug_Period_1_Tbl[[#All],['# CLASSES LEAD]])+  SUMIF(Sep_Period_1_Tbl[[#All],[STAFF:]],$A55,Sep_Period_1_Tbl[[#All],['# CLASSES LEAD]])+  SUMIF(Oct_Period_1_Tbl[[#All],[STAFF:]],$A55,Oct_Period_1_Tbl[[#All],['# CLASSES LEAD]])+     SUMIF(Nov_Period_1_Tbl[[#All],[STAFF:]],$A55,Nov_Period_1_Tbl[[#All],['# CLASSES LEAD]])+  SUMIF(Dec_Period_1_Tbl[[#All],[STAFF:]],$A55,Dec_Period_1_Tbl[[#All],['# CLASSES LEAD]]))+   (SUMIF(Jan_Period_2_Tbl[[#All],[STAFF:]],$A55,Jan_Period_2_Tbl[[#All],['# CLASSES LEAD]])+
SUMIF(Feb_Period_2_Tbl[[#All],[STAFF:]],$A55,Feb_Period_2_Tbl[[#All],['# CLASSES LEAD]])+SUMIF(Mar_Period_2_Tbl[[#All],[STAFF:]],$A55,Mar_Period_2_Tbl[[#All],['# CLASSES LEAD]])+SUMIF(Apr_Period_2_Tbl[[#All],[STAFF:]],$A55,Apr_Period_2_Tbl[[#All],['# CLASSES LEAD]])+   SUMIF(May_Period_2_Tbl[[#All],[STAFF:]],$A55,May_Period_2_Tbl[[#All],['# CLASSES LEAD]])+   SUMIF(Jun_Period_2_Tbl[[#All],[STAFF:]],$A55,Jun_Period_2_Tbl[[#All],['# CLASSES LEAD]])+  SUMIF(Jul_Period_2_Tbl[[#All],[STAFF:]],$A55,Jul_Period_2_Tbl[[#All],['# CLASSES LEAD]])+  SUMIF(Aug_Period_2_Tbl[[#All],[STAFF:]],$A55,Aug_Period_2_Tbl[[#All],['# CLASSES LEAD]])+  SUMIF(Sep_Period_2_Tbl[[#All],[STAFF:]],$A55,Sep_Period_2_Tbl[[#All],['# CLASSES LEAD]])+  SUMIF(Oct_Period_2_Tbl[[#All],[STAFF:]],$A55,Oct_Period_2_Tbl[[#All],['# CLASSES LEAD]])+     SUMIF(Nov_Period_2_Tbl[[#All],[STAFF:]],$A55,Nov_Period_2_Tbl[[#All],['# CLASSES LEAD]])+  SUMIF(Dec_Period_2_Tbl[[#All],[STAFF:]],$A55,Dec_Period_2_Tbl[[#All],['# CLASSES LEAD]]))</f>
        <v>0</v>
      </c>
      <c r="U55" s="153">
        <f>(SUMIF(Jan_Period_1_Tbl[[#All],[STAFF:]],$A55,Jan_Period_1_Tbl[[#All],['# CLASSES SHOW]])+
SUMIF(Feb_Period_1_Tbl[[#All],[STAFF:]],$A55,Feb_Period_1_Tbl[[#All],['# CLASSES SHOW]])+SUMIF(Mar_Period_1_Tbl[[#All],[STAFF:]],$A55,Mar_Period_1_Tbl[[#All],['# CLASSES SHOW]])+SUMIF(Apr_Period_1_Tbl[[#All],[STAFF:]],$A55,Apr_Period_1_Tbl[[#All],['# CLASSES SHOW]])+   SUMIF(May_Period_1_Tbl[[#All],[STAFF:]],$A55,May_Period_1_Tbl[[#All],['# CLASSES SHOW]])+   SUMIF(Jun_Period_1_Tbl[[#All],[STAFF:]],$A55,Jun_Period_1_Tbl[[#All],['# CLASSES SHOW]])+  SUMIF(Jul_Period_1_Tbl[[#All],[STAFF:]],$A55,Jul_Period_1_Tbl[[#All],['# CLASSES SHOW]])+  SUMIF(Aug_Period_1_Tbl[[#All],[STAFF:]],$A55,Aug_Period_1_Tbl[[#All],['# CLASSES SHOW]])+  SUMIF(Sep_Period_1_Tbl[[#All],[STAFF:]],$A55,Sep_Period_1_Tbl[[#All],['# CLASSES SHOW]])+  SUMIF(Oct_Period_1_Tbl[[#All],[STAFF:]],$A55,Oct_Period_1_Tbl[[#All],['# CLASSES SHOW]])+     SUMIF(Nov_Period_1_Tbl[[#All],[STAFF:]],$A55,Nov_Period_1_Tbl[[#All],['# CLASSES SHOW]])+  SUMIF(Dec_Period_1_Tbl[[#All],[STAFF:]],$A55,Dec_Period_1_Tbl[[#All],['# CLASSES SHOW]]))+   (SUMIF(Jan_Period_2_Tbl[[#All],[STAFF:]],$A55,Jan_Period_2_Tbl[[#All],['# CLASSES SHOW]])+
SUMIF(Feb_Period_2_Tbl[[#All],[STAFF:]],$A55,Feb_Period_2_Tbl[[#All],['# CLASSES SHOW]])+SUMIF(Mar_Period_2_Tbl[[#All],[STAFF:]],$A55,Mar_Period_2_Tbl[[#All],['# CLASSES SHOW]])+SUMIF(Apr_Period_2_Tbl[[#All],[STAFF:]],$A55,Apr_Period_2_Tbl[[#All],['# CLASSES SHOW]])+   SUMIF(May_Period_2_Tbl[[#All],[STAFF:]],$A55,May_Period_2_Tbl[[#All],['# CLASSES SHOW]])+   SUMIF(Jun_Period_2_Tbl[[#All],[STAFF:]],$A55,Jun_Period_2_Tbl[[#All],['# CLASSES SHOW]])+  SUMIF(Jul_Period_2_Tbl[[#All],[STAFF:]],$A55,Jul_Period_2_Tbl[[#All],['# CLASSES SHOW]])+  SUMIF(Aug_Period_2_Tbl[[#All],[STAFF:]],$A55,Aug_Period_2_Tbl[[#All],['# CLASSES SHOW]])+  SUMIF(Sep_Period_2_Tbl[[#All],[STAFF:]],$A55,Sep_Period_2_Tbl[[#All],['# CLASSES SHOW]])+  SUMIF(Oct_Period_2_Tbl[[#All],[STAFF:]],$A55,Oct_Period_2_Tbl[[#All],['# CLASSES SHOW]])+     SUMIF(Nov_Period_2_Tbl[[#All],[STAFF:]],$A55,Nov_Period_2_Tbl[[#All],['# CLASSES SHOW]])+  SUMIF(Dec_Period_2_Tbl[[#All],[STAFF:]],$A55,Dec_Period_2_Tbl[[#All],['# CLASSES SHOW]]))</f>
        <v>0</v>
      </c>
      <c r="V55" s="156"/>
      <c r="W55" s="156"/>
      <c r="X55" s="155">
        <f t="shared" si="10"/>
        <v>0</v>
      </c>
      <c r="Y55" s="155">
        <f t="shared" si="11"/>
        <v>0</v>
      </c>
      <c r="Z55" s="155">
        <f t="shared" si="12"/>
        <v>0</v>
      </c>
      <c r="AA55" s="155">
        <f t="shared" si="13"/>
        <v>0</v>
      </c>
      <c r="AB55" s="155">
        <f t="shared" si="14"/>
        <v>0</v>
      </c>
      <c r="AC55" s="155">
        <f t="shared" si="15"/>
        <v>0</v>
      </c>
      <c r="AD55" s="155">
        <f t="shared" si="16"/>
        <v>0</v>
      </c>
      <c r="AE55" s="149"/>
      <c r="AF55" s="149"/>
      <c r="AG55" s="149"/>
      <c r="AH55" s="149"/>
      <c r="AJ55" s="75" t="str">
        <f t="shared" si="17"/>
        <v>zBlank</v>
      </c>
      <c r="AK55" s="210"/>
      <c r="AL55" s="168">
        <f>IFERROR(VLOOKUP(B55,List!$A:$B,2,FALSE),-1)</f>
        <v>-1</v>
      </c>
      <c r="AM55" s="168">
        <f>IFERROR(VLOOKUP(C55,List!$A:$B,2,FALSE),-1)</f>
        <v>-1</v>
      </c>
    </row>
    <row r="56" spans="1:39" ht="15" hidden="1" customHeight="1" x14ac:dyDescent="0.25">
      <c r="A56" s="20"/>
      <c r="B56" s="186"/>
      <c r="C56" s="186"/>
      <c r="D56" s="187"/>
      <c r="E56" s="188">
        <f>(SUMIF(Jan_Period_1_Tbl[[#All],[STAFF:]],$A56,Jan_Period_1_Tbl[[#All],['# PTO USED]])+
SUMIF(Feb_Period_1_Tbl[[#All],[STAFF:]],$A56,Feb_Period_1_Tbl[[#All],['# PTO USED]])+SUMIF(Mar_Period_1_Tbl[[#All],[STAFF:]],$A56,Mar_Period_1_Tbl[[#All],['# PTO USED]])+SUMIF(Apr_Period_1_Tbl[[#All],[STAFF:]],$A56,Apr_Period_1_Tbl[[#All],['# PTO USED]])+   SUMIF(May_Period_1_Tbl[[#All],[STAFF:]],$A56,May_Period_1_Tbl[[#All],['# PTO USED]])+   SUMIF(Jun_Period_1_Tbl[[#All],[STAFF:]],$A56,Jun_Period_1_Tbl[[#All],['# PTO USED]])+  SUMIF(Jul_Period_1_Tbl[[#All],[STAFF:]],$A56,Jul_Period_1_Tbl[[#All],['# PTO USED]])+  SUMIF(Aug_Period_1_Tbl[[#All],[STAFF:]],$A56,Aug_Period_1_Tbl[[#All],['# PTO USED]])+  SUMIF(Sep_Period_1_Tbl[[#All],[STAFF:]],$A56,Sep_Period_1_Tbl[[#All],['# PTO USED]])+  SUMIF(Oct_Period_1_Tbl[[#All],[STAFF:]],$A56,Oct_Period_1_Tbl[[#All],['# PTO USED]])+     SUMIF(Nov_Period_1_Tbl[[#All],[STAFF:]],$A56,Nov_Period_1_Tbl[[#All],['# PTO USED]])+  SUMIF(Dec_Period_1_Tbl[[#All],[STAFF:]],$A56,Dec_Period_1_Tbl[[#All],['# PTO USED]]))+   (SUMIF(Jan_Period_2_Tbl[[#All],[STAFF:]],$A56,Jan_Period_2_Tbl[[#All],['# PTO USED]])+
SUMIF(Feb_Period_2_Tbl[[#All],[STAFF:]],$A56,Feb_Period_2_Tbl[[#All],['# PTO USED]])+SUMIF(Mar_Period_2_Tbl[[#All],[STAFF:]],$A56,Mar_Period_2_Tbl[[#All],['# PTO USED]])+SUMIF(Apr_Period_2_Tbl[[#All],[STAFF:]],$A56,Apr_Period_2_Tbl[[#All],['# PTO USED]])+   SUMIF(May_Period_2_Tbl[[#All],[STAFF:]],$A56,May_Period_2_Tbl[[#All],['# PTO USED]])+   SUMIF(Jun_Period_2_Tbl[[#All],[STAFF:]],$A56,Jun_Period_2_Tbl[[#All],['# PTO USED]])+  SUMIF(Jul_Period_2_Tbl[[#All],[STAFF:]],$A56,Jul_Period_2_Tbl[[#All],['# PTO USED]])+  SUMIF(Aug_Period_2_Tbl[[#All],[STAFF:]],$A56,Aug_Period_2_Tbl[[#All],['# PTO USED]])+  SUMIF(Sep_Period_2_Tbl[[#All],[STAFF:]],$A56,Sep_Period_2_Tbl[[#All],['# PTO USED]])+  SUMIF(Oct_Period_2_Tbl[[#All],[STAFF:]],$A56,Oct_Period_2_Tbl[[#All],['# PTO USED]])+     SUMIF(Nov_Period_2_Tbl[[#All],[STAFF:]],$A56,Nov_Period_2_Tbl[[#All],['# PTO USED]])+  SUMIF(Dec_Period_2_Tbl[[#All],[STAFF:]],$A56,Dec_Period_2_Tbl[[#All],['# PTO USED]]))</f>
        <v>0</v>
      </c>
      <c r="F56" s="189">
        <f>(SUMIF(Jan_Period_1_Tbl[[#All],[STAFF:]],$A56,Jan_Period_1_Tbl[[#All],['# HRS WORKED]])+
SUMIF(Feb_Period_1_Tbl[[#All],[STAFF:]],$A56,Feb_Period_1_Tbl[[#All],['# HRS WORKED]])+SUMIF(Mar_Period_1_Tbl[[#All],[STAFF:]],$A56,Mar_Period_1_Tbl[[#All],['# HRS WORKED]])+SUMIF(Apr_Period_1_Tbl[[#All],[STAFF:]],$A56,Apr_Period_1_Tbl[[#All],['# HRS WORKED]])+   SUMIF(May_Period_1_Tbl[[#All],[STAFF:]],$A56,May_Period_1_Tbl[[#All],['# HRS WORKED]])+   SUMIF(Jun_Period_1_Tbl[[#All],[STAFF:]],$A56,Jun_Period_1_Tbl[[#All],['# HRS WORKED]])+  SUMIF(Jul_Period_1_Tbl[[#All],[STAFF:]],$A56,Jul_Period_1_Tbl[[#All],['# HRS WORKED]])+  SUMIF(Aug_Period_1_Tbl[[#All],[STAFF:]],$A56,Aug_Period_1_Tbl[[#All],['# HRS WORKED]])+  SUMIF(Sep_Period_1_Tbl[[#All],[STAFF:]],$A56,Sep_Period_1_Tbl[[#All],['# HRS WORKED]])+  SUMIF(Oct_Period_1_Tbl[[#All],[STAFF:]],$A56,Oct_Period_1_Tbl[[#All],['# HRS WORKED]])+     SUMIF(Nov_Period_1_Tbl[[#All],[STAFF:]],$A56,Nov_Period_1_Tbl[[#All],['# HRS WORKED]])+  SUMIF(Dec_Period_1_Tbl[[#All],[STAFF:]],$A56,Dec_Period_1_Tbl[[#All],['# HRS WORKED]]))+   (SUMIF(Jan_Period_2_Tbl[[#All],[STAFF:]],$A56,Jan_Period_2_Tbl[[#All],['# HRS WORKED]])+
SUMIF(Feb_Period_2_Tbl[[#All],[STAFF:]],$A56,Feb_Period_2_Tbl[[#All],['# HRS WORKED]])+SUMIF(Mar_Period_2_Tbl[[#All],[STAFF:]],$A56,Mar_Period_2_Tbl[[#All],['# HRS WORKED]])+SUMIF(Apr_Period_2_Tbl[[#All],[STAFF:]],$A56,Apr_Period_2_Tbl[[#All],['# HRS WORKED]])+   SUMIF(May_Period_2_Tbl[[#All],[STAFF:]],$A56,May_Period_2_Tbl[[#All],['# HRS WORKED]])+   SUMIF(Jun_Period_2_Tbl[[#All],[STAFF:]],$A56,Jun_Period_2_Tbl[[#All],['# HRS WORKED]])+  SUMIF(Jul_Period_2_Tbl[[#All],[STAFF:]],$A56,Jul_Period_2_Tbl[[#All],['# HRS WORKED]])+  SUMIF(Aug_Period_2_Tbl[[#All],[STAFF:]],$A56,Aug_Period_2_Tbl[[#All],['# HRS WORKED]])+  SUMIF(Sep_Period_2_Tbl[[#All],[STAFF:]],$A56,Sep_Period_2_Tbl[[#All],['# HRS WORKED]])+  SUMIF(Oct_Period_2_Tbl[[#All],[STAFF:]],$A56,Oct_Period_2_Tbl[[#All],['# HRS WORKED]])+     SUMIF(Nov_Period_2_Tbl[[#All],[STAFF:]],$A56,Nov_Period_2_Tbl[[#All],['# HRS WORKED]])+  SUMIF(Dec_Period_2_Tbl[[#All],[STAFF:]],$A56,Dec_Period_2_Tbl[[#All],['# HRS WORKED]]))</f>
        <v>0</v>
      </c>
      <c r="G56" s="190">
        <f>(SUMIF(Jan_Period_1_Tbl[[#All],[STAFF:]],$A56,Jan_Period_1_Tbl[[#All],[$ Hourly WAGES]])+
SUMIF(Feb_Period_1_Tbl[[#All],[STAFF:]],$A56,Feb_Period_1_Tbl[[#All],[$ Hourly WAGES]])+SUMIF(Mar_Period_1_Tbl[[#All],[STAFF:]],$A56,Mar_Period_1_Tbl[[#All],[$ Hourly WAGES]])+SUMIF(Apr_Period_1_Tbl[[#All],[STAFF:]],$A56,Apr_Period_1_Tbl[[#All],[$ Hourly WAGES]])+   SUMIF(May_Period_1_Tbl[[#All],[STAFF:]],$A56,May_Period_1_Tbl[[#All],[$ Hourly WAGES]])+   SUMIF(Jun_Period_1_Tbl[[#All],[STAFF:]],$A56,Jun_Period_1_Tbl[[#All],[$ Hourly WAGES]])+  SUMIF(Jul_Period_1_Tbl[[#All],[STAFF:]],$A56,Jul_Period_1_Tbl[[#All],[$ Hourly WAGES]])+  SUMIF(Aug_Period_1_Tbl[[#All],[STAFF:]],$A56,Aug_Period_1_Tbl[[#All],[$ Hourly WAGES]])+  SUMIF(Sep_Period_1_Tbl[[#All],[STAFF:]],$A56,Sep_Period_1_Tbl[[#All],[$ Hourly WAGES]])+  SUMIF(Oct_Period_1_Tbl[[#All],[STAFF:]],$A56,Oct_Period_1_Tbl[[#All],[$ Hourly WAGES]])+     SUMIF(Nov_Period_1_Tbl[[#All],[STAFF:]],$A56,Nov_Period_1_Tbl[[#All],[$ Hourly WAGES]])+  SUMIF(Dec_Period_1_Tbl[[#All],[STAFF:]],$A56,Dec_Period_1_Tbl[[#All],[$ Hourly WAGES]]))+   (SUMIF(Jan_Period_2_Tbl[[#All],[STAFF:]],$A56,Jan_Period_2_Tbl[[#All],[$ Hourly WAGES]])+
SUMIF(Feb_Period_2_Tbl[[#All],[STAFF:]],$A56,Feb_Period_2_Tbl[[#All],[$ Hourly WAGES]])+SUMIF(Mar_Period_2_Tbl[[#All],[STAFF:]],$A56,Mar_Period_2_Tbl[[#All],[$ Hourly WAGES]])+SUMIF(Apr_Period_2_Tbl[[#All],[STAFF:]],$A56,Apr_Period_2_Tbl[[#All],[$ Hourly WAGES]])+   SUMIF(May_Period_2_Tbl[[#All],[STAFF:]],$A56,May_Period_2_Tbl[[#All],[$ Hourly WAGES]])+   SUMIF(Jun_Period_2_Tbl[[#All],[STAFF:]],$A56,Jun_Period_2_Tbl[[#All],[$ Hourly WAGES]])+  SUMIF(Jul_Period_2_Tbl[[#All],[STAFF:]],$A56,Jul_Period_2_Tbl[[#All],[$ Hourly WAGES]])+  SUMIF(Aug_Period_2_Tbl[[#All],[STAFF:]],$A56,Aug_Period_2_Tbl[[#All],[$ Hourly WAGES]])+  SUMIF(Sep_Period_2_Tbl[[#All],[STAFF:]],$A56,Sep_Period_2_Tbl[[#All],[$ Hourly WAGES]])+  SUMIF(Oct_Period_2_Tbl[[#All],[STAFF:]],$A56,Oct_Period_2_Tbl[[#All],[$ Hourly WAGES]])+     SUMIF(Nov_Period_2_Tbl[[#All],[STAFF:]],$A56,Nov_Period_2_Tbl[[#All],[$ Hourly WAGES]])+  SUMIF(Dec_Period_2_Tbl[[#All],[STAFF:]],$A56,Dec_Period_2_Tbl[[#All],[$ Hourly WAGES]]))</f>
        <v>0</v>
      </c>
      <c r="H56" s="190">
        <f>(SUMIF(Jan_Period_1_Tbl[[#All],[STAFF:]],$A56,Jan_Period_1_Tbl[[#All],[$ SALARY]])+
SUMIF(Feb_Period_1_Tbl[[#All],[STAFF:]],$A56,Feb_Period_1_Tbl[[#All],[$ SALARY]])+SUMIF(Mar_Period_1_Tbl[[#All],[STAFF:]],$A56,Mar_Period_1_Tbl[[#All],[$ SALARY]])+SUMIF(Apr_Period_1_Tbl[[#All],[STAFF:]],$A56,Apr_Period_1_Tbl[[#All],[$ SALARY]])+   SUMIF(May_Period_1_Tbl[[#All],[STAFF:]],$A56,May_Period_1_Tbl[[#All],[$ SALARY]])+   SUMIF(Jun_Period_1_Tbl[[#All],[STAFF:]],$A56,Jun_Period_1_Tbl[[#All],[$ SALARY]])+  SUMIF(Jul_Period_1_Tbl[[#All],[STAFF:]],$A56,Jul_Period_1_Tbl[[#All],[$ SALARY]])+  SUMIF(Aug_Period_1_Tbl[[#All],[STAFF:]],$A56,Aug_Period_1_Tbl[[#All],[$ SALARY]])+  SUMIF(Sep_Period_1_Tbl[[#All],[STAFF:]],$A56,Sep_Period_1_Tbl[[#All],[$ SALARY]])+  SUMIF(Oct_Period_1_Tbl[[#All],[STAFF:]],$A56,Oct_Period_1_Tbl[[#All],[$ SALARY]])+     SUMIF(Nov_Period_1_Tbl[[#All],[STAFF:]],$A56,Nov_Period_1_Tbl[[#All],[$ SALARY]])+  SUMIF(Dec_Period_1_Tbl[[#All],[STAFF:]],$A56,Dec_Period_1_Tbl[[#All],[$ SALARY]]))+   (SUMIF(Jan_Period_2_Tbl[[#All],[STAFF:]],$A56,Jan_Period_2_Tbl[[#All],[$ SALARY]])+
SUMIF(Feb_Period_2_Tbl[[#All],[STAFF:]],$A56,Feb_Period_2_Tbl[[#All],[$ SALARY]])+SUMIF(Mar_Period_2_Tbl[[#All],[STAFF:]],$A56,Mar_Period_2_Tbl[[#All],[$ SALARY]])+SUMIF(Apr_Period_2_Tbl[[#All],[STAFF:]],$A56,Apr_Period_2_Tbl[[#All],[$ SALARY]])+   SUMIF(May_Period_2_Tbl[[#All],[STAFF:]],$A56,May_Period_2_Tbl[[#All],[$ SALARY]])+   SUMIF(Jun_Period_2_Tbl[[#All],[STAFF:]],$A56,Jun_Period_2_Tbl[[#All],[$ SALARY]])+  SUMIF(Jul_Period_2_Tbl[[#All],[STAFF:]],$A56,Jul_Period_2_Tbl[[#All],[$ SALARY]])+  SUMIF(Aug_Period_2_Tbl[[#All],[STAFF:]],$A56,Aug_Period_2_Tbl[[#All],[$ SALARY]])+  SUMIF(Sep_Period_2_Tbl[[#All],[STAFF:]],$A56,Sep_Period_2_Tbl[[#All],[$ SALARY]])+  SUMIF(Oct_Period_2_Tbl[[#All],[STAFF:]],$A56,Oct_Period_2_Tbl[[#All],[$ SALARY]])+     SUMIF(Nov_Period_2_Tbl[[#All],[STAFF:]],$A56,Nov_Period_2_Tbl[[#All],[$ SALARY]])+  SUMIF(Dec_Period_2_Tbl[[#All],[STAFF:]],$A56,Dec_Period_2_Tbl[[#All],[$ SALARY]]))</f>
        <v>0</v>
      </c>
      <c r="I56" s="190">
        <f>(SUMIF(Jan_Period_1_Tbl[[#All],[STAFF:]],$A56,Jan_Period_1_Tbl[[#All],[$ SALARY PT]])+
SUMIF(Feb_Period_1_Tbl[[#All],[STAFF:]],$A56,Feb_Period_1_Tbl[[#All],[$ SALARY PT]])+SUMIF(Mar_Period_1_Tbl[[#All],[STAFF:]],$A56,Mar_Period_1_Tbl[[#All],[$ SALARY PT]])+SUMIF(Apr_Period_1_Tbl[[#All],[STAFF:]],$A56,Apr_Period_1_Tbl[[#All],[$ SALARY PT]])+   SUMIF(May_Period_1_Tbl[[#All],[STAFF:]],$A56,May_Period_1_Tbl[[#All],[$ SALARY PT]])+   SUMIF(Jun_Period_1_Tbl[[#All],[STAFF:]],$A56,Jun_Period_1_Tbl[[#All],[$ SALARY PT]])+  SUMIF(Jul_Period_1_Tbl[[#All],[STAFF:]],$A56,Jul_Period_1_Tbl[[#All],[$ SALARY PT]])+  SUMIF(Aug_Period_1_Tbl[[#All],[STAFF:]],$A56,Aug_Period_1_Tbl[[#All],[$ SALARY PT]])+  SUMIF(Sep_Period_1_Tbl[[#All],[STAFF:]],$A56,Sep_Period_1_Tbl[[#All],[$ SALARY PT]])+  SUMIF(Oct_Period_1_Tbl[[#All],[STAFF:]],$A56,Oct_Period_1_Tbl[[#All],[$ SALARY PT]])+     SUMIF(Nov_Period_1_Tbl[[#All],[STAFF:]],$A56,Nov_Period_1_Tbl[[#All],[$ SALARY PT]])+  SUMIF(Dec_Period_1_Tbl[[#All],[STAFF:]],$A56,Dec_Period_1_Tbl[[#All],[$ SALARY PT]]))+   (SUMIF(Jan_Period_2_Tbl[[#All],[STAFF:]],$A56,Jan_Period_2_Tbl[[#All],[$ SALARY PT]])+
SUMIF(Feb_Period_2_Tbl[[#All],[STAFF:]],$A56,Feb_Period_2_Tbl[[#All],[$ SALARY PT]])+SUMIF(Mar_Period_2_Tbl[[#All],[STAFF:]],$A56,Mar_Period_2_Tbl[[#All],[$ SALARY PT]])+SUMIF(Apr_Period_2_Tbl[[#All],[STAFF:]],$A56,Apr_Period_2_Tbl[[#All],[$ SALARY PT]])+   SUMIF(May_Period_2_Tbl[[#All],[STAFF:]],$A56,May_Period_2_Tbl[[#All],[$ SALARY PT]])+   SUMIF(Jun_Period_2_Tbl[[#All],[STAFF:]],$A56,Jun_Period_2_Tbl[[#All],[$ SALARY PT]])+  SUMIF(Jul_Period_2_Tbl[[#All],[STAFF:]],$A56,Jul_Period_2_Tbl[[#All],[$ SALARY PT]])+  SUMIF(Aug_Period_2_Tbl[[#All],[STAFF:]],$A56,Aug_Period_2_Tbl[[#All],[$ SALARY PT]])+  SUMIF(Sep_Period_2_Tbl[[#All],[STAFF:]],$A56,Sep_Period_2_Tbl[[#All],[$ SALARY PT]])+  SUMIF(Oct_Period_2_Tbl[[#All],[STAFF:]],$A56,Oct_Period_2_Tbl[[#All],[$ SALARY PT]])+     SUMIF(Nov_Period_2_Tbl[[#All],[STAFF:]],$A56,Nov_Period_2_Tbl[[#All],[$ SALARY PT]])+  SUMIF(Dec_Period_2_Tbl[[#All],[STAFF:]],$A56,Dec_Period_2_Tbl[[#All],[$ SALARY PT]]))</f>
        <v>0</v>
      </c>
      <c r="J56" s="190">
        <f>(SUMIF(Jan_Period_1_Tbl[[#All],[STAFF:]],$A56,Jan_Period_1_Tbl[[#All],[$ FREE PT]])+
SUMIF(Feb_Period_1_Tbl[[#All],[STAFF:]],$A56,Feb_Period_1_Tbl[[#All],[$ FREE PT]])+SUMIF(Mar_Period_1_Tbl[[#All],[STAFF:]],$A56,Mar_Period_1_Tbl[[#All],[$ FREE PT]])+SUMIF(Apr_Period_1_Tbl[[#All],[STAFF:]],$A56,Apr_Period_1_Tbl[[#All],[$ FREE PT]])+   SUMIF(May_Period_1_Tbl[[#All],[STAFF:]],$A56,May_Period_1_Tbl[[#All],[$ FREE PT]])+   SUMIF(Jun_Period_1_Tbl[[#All],[STAFF:]],$A56,Jun_Period_1_Tbl[[#All],[$ FREE PT]])+  SUMIF(Jul_Period_1_Tbl[[#All],[STAFF:]],$A56,Jul_Period_1_Tbl[[#All],[$ FREE PT]])+  SUMIF(Aug_Period_1_Tbl[[#All],[STAFF:]],$A56,Aug_Period_1_Tbl[[#All],[$ FREE PT]])+  SUMIF(Sep_Period_1_Tbl[[#All],[STAFF:]],$A56,Sep_Period_1_Tbl[[#All],[$ FREE PT]])+  SUMIF(Oct_Period_1_Tbl[[#All],[STAFF:]],$A56,Oct_Period_1_Tbl[[#All],[$ FREE PT]])+     SUMIF(Nov_Period_1_Tbl[[#All],[STAFF:]],$A56,Nov_Period_1_Tbl[[#All],[$ FREE PT]])+  SUMIF(Dec_Period_1_Tbl[[#All],[STAFF:]],$A56,Dec_Period_1_Tbl[[#All],[$ FREE PT]]))+   (SUMIF(Jan_Period_2_Tbl[[#All],[STAFF:]],$A56,Jan_Period_2_Tbl[[#All],[$ FREE PT]])+
SUMIF(Feb_Period_2_Tbl[[#All],[STAFF:]],$A56,Feb_Period_2_Tbl[[#All],[$ FREE PT]])+SUMIF(Mar_Period_2_Tbl[[#All],[STAFF:]],$A56,Mar_Period_2_Tbl[[#All],[$ FREE PT]])+SUMIF(Apr_Period_2_Tbl[[#All],[STAFF:]],$A56,Apr_Period_2_Tbl[[#All],[$ FREE PT]])+   SUMIF(May_Period_2_Tbl[[#All],[STAFF:]],$A56,May_Period_2_Tbl[[#All],[$ FREE PT]])+   SUMIF(Jun_Period_2_Tbl[[#All],[STAFF:]],$A56,Jun_Period_2_Tbl[[#All],[$ FREE PT]])+  SUMIF(Jul_Period_2_Tbl[[#All],[STAFF:]],$A56,Jul_Period_2_Tbl[[#All],[$ FREE PT]])+  SUMIF(Aug_Period_2_Tbl[[#All],[STAFF:]],$A56,Aug_Period_2_Tbl[[#All],[$ FREE PT]])+  SUMIF(Sep_Period_2_Tbl[[#All],[STAFF:]],$A56,Sep_Period_2_Tbl[[#All],[$ FREE PT]])+  SUMIF(Oct_Period_2_Tbl[[#All],[STAFF:]],$A56,Oct_Period_2_Tbl[[#All],[$ FREE PT]])+     SUMIF(Nov_Period_2_Tbl[[#All],[STAFF:]],$A56,Nov_Period_2_Tbl[[#All],[$ FREE PT]])+  SUMIF(Dec_Period_2_Tbl[[#All],[STAFF:]],$A56,Dec_Period_2_Tbl[[#All],[$ FREE PT]]))</f>
        <v>0</v>
      </c>
      <c r="K56" s="190">
        <f>(SUMIF(Jan_Period_1_Tbl[[#All],[STAFF:]],$A56,Jan_Period_1_Tbl[[#All],[$ PAID PT]])+
SUMIF(Feb_Period_1_Tbl[[#All],[STAFF:]],$A56,Feb_Period_1_Tbl[[#All],[$ PAID PT]])+SUMIF(Mar_Period_1_Tbl[[#All],[STAFF:]],$A56,Mar_Period_1_Tbl[[#All],[$ PAID PT]])+SUMIF(Apr_Period_1_Tbl[[#All],[STAFF:]],$A56,Apr_Period_1_Tbl[[#All],[$ PAID PT]])+   SUMIF(May_Period_1_Tbl[[#All],[STAFF:]],$A56,May_Period_1_Tbl[[#All],[$ PAID PT]])+   SUMIF(Jun_Period_1_Tbl[[#All],[STAFF:]],$A56,Jun_Period_1_Tbl[[#All],[$ PAID PT]])+  SUMIF(Jul_Period_1_Tbl[[#All],[STAFF:]],$A56,Jul_Period_1_Tbl[[#All],[$ PAID PT]])+  SUMIF(Aug_Period_1_Tbl[[#All],[STAFF:]],$A56,Aug_Period_1_Tbl[[#All],[$ PAID PT]])+  SUMIF(Sep_Period_1_Tbl[[#All],[STAFF:]],$A56,Sep_Period_1_Tbl[[#All],[$ PAID PT]])+  SUMIF(Oct_Period_1_Tbl[[#All],[STAFF:]],$A56,Oct_Period_1_Tbl[[#All],[$ PAID PT]])+     SUMIF(Nov_Period_1_Tbl[[#All],[STAFF:]],$A56,Nov_Period_1_Tbl[[#All],[$ PAID PT]])+  SUMIF(Dec_Period_1_Tbl[[#All],[STAFF:]],$A56,Dec_Period_1_Tbl[[#All],[$ PAID PT]]))+   (SUMIF(Jan_Period_2_Tbl[[#All],[STAFF:]],$A56,Jan_Period_2_Tbl[[#All],[$ PAID PT]])+
SUMIF(Feb_Period_2_Tbl[[#All],[STAFF:]],$A56,Feb_Period_2_Tbl[[#All],[$ PAID PT]])+SUMIF(Mar_Period_2_Tbl[[#All],[STAFF:]],$A56,Mar_Period_2_Tbl[[#All],[$ PAID PT]])+SUMIF(Apr_Period_2_Tbl[[#All],[STAFF:]],$A56,Apr_Period_2_Tbl[[#All],[$ PAID PT]])+   SUMIF(May_Period_2_Tbl[[#All],[STAFF:]],$A56,May_Period_2_Tbl[[#All],[$ PAID PT]])+   SUMIF(Jun_Period_2_Tbl[[#All],[STAFF:]],$A56,Jun_Period_2_Tbl[[#All],[$ PAID PT]])+  SUMIF(Jul_Period_2_Tbl[[#All],[STAFF:]],$A56,Jul_Period_2_Tbl[[#All],[$ PAID PT]])+  SUMIF(Aug_Period_2_Tbl[[#All],[STAFF:]],$A56,Aug_Period_2_Tbl[[#All],[$ PAID PT]])+  SUMIF(Sep_Period_2_Tbl[[#All],[STAFF:]],$A56,Sep_Period_2_Tbl[[#All],[$ PAID PT]])+  SUMIF(Oct_Period_2_Tbl[[#All],[STAFF:]],$A56,Oct_Period_2_Tbl[[#All],[$ PAID PT]])+     SUMIF(Nov_Period_2_Tbl[[#All],[STAFF:]],$A56,Nov_Period_2_Tbl[[#All],[$ PAID PT]])+  SUMIF(Dec_Period_2_Tbl[[#All],[STAFF:]],$A56,Dec_Period_2_Tbl[[#All],[$ PAID PT]]))</f>
        <v>0</v>
      </c>
      <c r="L56" s="190">
        <f>(SUMIF(Jan_Period_1_Tbl[[#All],[STAFF:]],$A56,Jan_Period_1_Tbl[[#All],[$ PT COMM]])+
SUMIF(Feb_Period_1_Tbl[[#All],[STAFF:]],$A56,Feb_Period_1_Tbl[[#All],[$ PT COMM]])+SUMIF(Mar_Period_1_Tbl[[#All],[STAFF:]],$A56,Mar_Period_1_Tbl[[#All],[$ PT COMM]])+SUMIF(Apr_Period_1_Tbl[[#All],[STAFF:]],$A56,Apr_Period_1_Tbl[[#All],[$ PT COMM]])+   SUMIF(May_Period_1_Tbl[[#All],[STAFF:]],$A56,May_Period_1_Tbl[[#All],[$ PT COMM]])+   SUMIF(Jun_Period_1_Tbl[[#All],[STAFF:]],$A56,Jun_Period_1_Tbl[[#All],[$ PT COMM]])+  SUMIF(Jul_Period_1_Tbl[[#All],[STAFF:]],$A56,Jul_Period_1_Tbl[[#All],[$ PT COMM]])+  SUMIF(Aug_Period_1_Tbl[[#All],[STAFF:]],$A56,Aug_Period_1_Tbl[[#All],[$ PT COMM]])+  SUMIF(Sep_Period_1_Tbl[[#All],[STAFF:]],$A56,Sep_Period_1_Tbl[[#All],[$ PT COMM]])+  SUMIF(Oct_Period_1_Tbl[[#All],[STAFF:]],$A56,Oct_Period_1_Tbl[[#All],[$ PT COMM]])+     SUMIF(Nov_Period_1_Tbl[[#All],[STAFF:]],$A56,Nov_Period_1_Tbl[[#All],[$ PT COMM]])+  SUMIF(Dec_Period_1_Tbl[[#All],[STAFF:]],$A56,Dec_Period_1_Tbl[[#All],[$ PT COMM]]))+   (SUMIF(Jan_Period_2_Tbl[[#All],[STAFF:]],$A56,Jan_Period_2_Tbl[[#All],[$ PT COMM]])+
SUMIF(Feb_Period_2_Tbl[[#All],[STAFF:]],$A56,Feb_Period_2_Tbl[[#All],[$ PT COMM]])+SUMIF(Mar_Period_2_Tbl[[#All],[STAFF:]],$A56,Mar_Period_2_Tbl[[#All],[$ PT COMM]])+SUMIF(Apr_Period_2_Tbl[[#All],[STAFF:]],$A56,Apr_Period_2_Tbl[[#All],[$ PT COMM]])+   SUMIF(May_Period_2_Tbl[[#All],[STAFF:]],$A56,May_Period_2_Tbl[[#All],[$ PT COMM]])+   SUMIF(Jun_Period_2_Tbl[[#All],[STAFF:]],$A56,Jun_Period_2_Tbl[[#All],[$ PT COMM]])+  SUMIF(Jul_Period_2_Tbl[[#All],[STAFF:]],$A56,Jul_Period_2_Tbl[[#All],[$ PT COMM]])+  SUMIF(Aug_Period_2_Tbl[[#All],[STAFF:]],$A56,Aug_Period_2_Tbl[[#All],[$ PT COMM]])+  SUMIF(Sep_Period_2_Tbl[[#All],[STAFF:]],$A56,Sep_Period_2_Tbl[[#All],[$ PT COMM]])+  SUMIF(Oct_Period_2_Tbl[[#All],[STAFF:]],$A56,Oct_Period_2_Tbl[[#All],[$ PT COMM]])+     SUMIF(Nov_Period_2_Tbl[[#All],[STAFF:]],$A56,Nov_Period_2_Tbl[[#All],[$ PT COMM]])+  SUMIF(Dec_Period_2_Tbl[[#All],[STAFF:]],$A56,Dec_Period_2_Tbl[[#All],[$ PT COMM]]))</f>
        <v>0</v>
      </c>
      <c r="M56" s="190">
        <f>(SUMIF(Jan_Period_1_Tbl[[#All],[STAFF:]],$A56,Jan_Period_1_Tbl[[#All],[$ EFT COMM]])+
SUMIF(Feb_Period_1_Tbl[[#All],[STAFF:]],$A56,Feb_Period_1_Tbl[[#All],[$ EFT COMM]])+SUMIF(Mar_Period_1_Tbl[[#All],[STAFF:]],$A56,Mar_Period_1_Tbl[[#All],[$ EFT COMM]])+SUMIF(Apr_Period_1_Tbl[[#All],[STAFF:]],$A56,Apr_Period_1_Tbl[[#All],[$ EFT COMM]])+   SUMIF(May_Period_1_Tbl[[#All],[STAFF:]],$A56,May_Period_1_Tbl[[#All],[$ EFT COMM]])+   SUMIF(Jun_Period_1_Tbl[[#All],[STAFF:]],$A56,Jun_Period_1_Tbl[[#All],[$ EFT COMM]])+  SUMIF(Jul_Period_1_Tbl[[#All],[STAFF:]],$A56,Jul_Period_1_Tbl[[#All],[$ EFT COMM]])+  SUMIF(Aug_Period_1_Tbl[[#All],[STAFF:]],$A56,Aug_Period_1_Tbl[[#All],[$ EFT COMM]])+  SUMIF(Sep_Period_1_Tbl[[#All],[STAFF:]],$A56,Sep_Period_1_Tbl[[#All],[$ EFT COMM]])+  SUMIF(Oct_Period_1_Tbl[[#All],[STAFF:]],$A56,Oct_Period_1_Tbl[[#All],[$ EFT COMM]])+     SUMIF(Nov_Period_1_Tbl[[#All],[STAFF:]],$A56,Nov_Period_1_Tbl[[#All],[$ EFT COMM]])+  SUMIF(Dec_Period_1_Tbl[[#All],[STAFF:]],$A56,Dec_Period_1_Tbl[[#All],[$ EFT COMM]]))+   (SUMIF(Jan_Period_2_Tbl[[#All],[STAFF:]],$A56,Jan_Period_2_Tbl[[#All],[$ EFT COMM]])+
SUMIF(Feb_Period_2_Tbl[[#All],[STAFF:]],$A56,Feb_Period_2_Tbl[[#All],[$ EFT COMM]])+SUMIF(Mar_Period_2_Tbl[[#All],[STAFF:]],$A56,Mar_Period_2_Tbl[[#All],[$ EFT COMM]])+SUMIF(Apr_Period_2_Tbl[[#All],[STAFF:]],$A56,Apr_Period_2_Tbl[[#All],[$ EFT COMM]])+   SUMIF(May_Period_2_Tbl[[#All],[STAFF:]],$A56,May_Period_2_Tbl[[#All],[$ EFT COMM]])+   SUMIF(Jun_Period_2_Tbl[[#All],[STAFF:]],$A56,Jun_Period_2_Tbl[[#All],[$ EFT COMM]])+  SUMIF(Jul_Period_2_Tbl[[#All],[STAFF:]],$A56,Jul_Period_2_Tbl[[#All],[$ EFT COMM]])+  SUMIF(Aug_Period_2_Tbl[[#All],[STAFF:]],$A56,Aug_Period_2_Tbl[[#All],[$ EFT COMM]])+  SUMIF(Sep_Period_2_Tbl[[#All],[STAFF:]],$A56,Sep_Period_2_Tbl[[#All],[$ EFT COMM]])+  SUMIF(Oct_Period_2_Tbl[[#All],[STAFF:]],$A56,Oct_Period_2_Tbl[[#All],[$ EFT COMM]])+     SUMIF(Nov_Period_2_Tbl[[#All],[STAFF:]],$A56,Nov_Period_2_Tbl[[#All],[$ EFT COMM]])+  SUMIF(Dec_Period_2_Tbl[[#All],[STAFF:]],$A56,Dec_Period_2_Tbl[[#All],[$ EFT COMM]]))</f>
        <v>0</v>
      </c>
      <c r="N56" s="190">
        <f>(SUMIF(Jan_Period_1_Tbl[[#All],[STAFF:]],$A56,Jan_Period_1_Tbl[[#All],[$ CLASS PAY]])+
SUMIF(Feb_Period_1_Tbl[[#All],[STAFF:]],$A56,Feb_Period_1_Tbl[[#All],[$ CLASS PAY]])+SUMIF(Mar_Period_1_Tbl[[#All],[STAFF:]],$A56,Mar_Period_1_Tbl[[#All],[$ CLASS PAY]])+SUMIF(Apr_Period_1_Tbl[[#All],[STAFF:]],$A56,Apr_Period_1_Tbl[[#All],[$ CLASS PAY]])+   SUMIF(May_Period_1_Tbl[[#All],[STAFF:]],$A56,May_Period_1_Tbl[[#All],[$ CLASS PAY]])+   SUMIF(Jun_Period_1_Tbl[[#All],[STAFF:]],$A56,Jun_Period_1_Tbl[[#All],[$ CLASS PAY]])+  SUMIF(Jul_Period_1_Tbl[[#All],[STAFF:]],$A56,Jul_Period_1_Tbl[[#All],[$ CLASS PAY]])+  SUMIF(Aug_Period_1_Tbl[[#All],[STAFF:]],$A56,Aug_Period_1_Tbl[[#All],[$ CLASS PAY]])+  SUMIF(Sep_Period_1_Tbl[[#All],[STAFF:]],$A56,Sep_Period_1_Tbl[[#All],[$ CLASS PAY]])+  SUMIF(Oct_Period_1_Tbl[[#All],[STAFF:]],$A56,Oct_Period_1_Tbl[[#All],[$ CLASS PAY]])+     SUMIF(Nov_Period_1_Tbl[[#All],[STAFF:]],$A56,Nov_Period_1_Tbl[[#All],[$ CLASS PAY]])+  SUMIF(Dec_Period_1_Tbl[[#All],[STAFF:]],$A56,Dec_Period_1_Tbl[[#All],[$ CLASS PAY]]))+   (SUMIF(Jan_Period_2_Tbl[[#All],[STAFF:]],$A56,Jan_Period_2_Tbl[[#All],[$ CLASS PAY]])+
SUMIF(Feb_Period_2_Tbl[[#All],[STAFF:]],$A56,Feb_Period_2_Tbl[[#All],[$ CLASS PAY]])+SUMIF(Mar_Period_2_Tbl[[#All],[STAFF:]],$A56,Mar_Period_2_Tbl[[#All],[$ CLASS PAY]])+SUMIF(Apr_Period_2_Tbl[[#All],[STAFF:]],$A56,Apr_Period_2_Tbl[[#All],[$ CLASS PAY]])+   SUMIF(May_Period_2_Tbl[[#All],[STAFF:]],$A56,May_Period_2_Tbl[[#All],[$ CLASS PAY]])+   SUMIF(Jun_Period_2_Tbl[[#All],[STAFF:]],$A56,Jun_Period_2_Tbl[[#All],[$ CLASS PAY]])+  SUMIF(Jul_Period_2_Tbl[[#All],[STAFF:]],$A56,Jul_Period_2_Tbl[[#All],[$ CLASS PAY]])+  SUMIF(Aug_Period_2_Tbl[[#All],[STAFF:]],$A56,Aug_Period_2_Tbl[[#All],[$ CLASS PAY]])+  SUMIF(Sep_Period_2_Tbl[[#All],[STAFF:]],$A56,Sep_Period_2_Tbl[[#All],[$ CLASS PAY]])+  SUMIF(Oct_Period_2_Tbl[[#All],[STAFF:]],$A56,Oct_Period_2_Tbl[[#All],[$ CLASS PAY]])+     SUMIF(Nov_Period_2_Tbl[[#All],[STAFF:]],$A56,Nov_Period_2_Tbl[[#All],[$ CLASS PAY]])+  SUMIF(Dec_Period_2_Tbl[[#All],[STAFF:]],$A56,Dec_Period_2_Tbl[[#All],[$ CLASS PAY]]))</f>
        <v>0</v>
      </c>
      <c r="O56" s="191">
        <f>(SUMIF(Jan_Period_1_Tbl[[#All],[STAFF:]],$A56,Jan_Period_1_Tbl[[#All],[$ BONUS PAY]])+
SUMIF(Feb_Period_1_Tbl[[#All],[STAFF:]],$A56,Feb_Period_1_Tbl[[#All],[$ BONUS PAY]])+SUMIF(Mar_Period_1_Tbl[[#All],[STAFF:]],$A56,Mar_Period_1_Tbl[[#All],[$ BONUS PAY]])+SUMIF(Apr_Period_1_Tbl[[#All],[STAFF:]],$A56,Apr_Period_1_Tbl[[#All],[$ BONUS PAY]])+   SUMIF(May_Period_1_Tbl[[#All],[STAFF:]],$A56,May_Period_1_Tbl[[#All],[$ BONUS PAY]])+   SUMIF(Jun_Period_1_Tbl[[#All],[STAFF:]],$A56,Jun_Period_1_Tbl[[#All],[$ BONUS PAY]])+  SUMIF(Jul_Period_1_Tbl[[#All],[STAFF:]],$A56,Jul_Period_1_Tbl[[#All],[$ BONUS PAY]])+  SUMIF(Aug_Period_1_Tbl[[#All],[STAFF:]],$A56,Aug_Period_1_Tbl[[#All],[$ BONUS PAY]])+  SUMIF(Sep_Period_1_Tbl[[#All],[STAFF:]],$A56,Sep_Period_1_Tbl[[#All],[$ BONUS PAY]])+  SUMIF(Oct_Period_1_Tbl[[#All],[STAFF:]],$A56,Oct_Period_1_Tbl[[#All],[$ BONUS PAY]])+     SUMIF(Nov_Period_1_Tbl[[#All],[STAFF:]],$A56,Nov_Period_1_Tbl[[#All],[$ BONUS PAY]])+  SUMIF(Dec_Period_1_Tbl[[#All],[STAFF:]],$A56,Dec_Period_1_Tbl[[#All],[$ BONUS PAY]]))+   (SUMIF(Jan_Period_2_Tbl[[#All],[STAFF:]],$A56,Jan_Period_2_Tbl[[#All],[$ BONUS PAY]])+
SUMIF(Feb_Period_2_Tbl[[#All],[STAFF:]],$A56,Feb_Period_2_Tbl[[#All],[$ BONUS PAY]])+SUMIF(Mar_Period_2_Tbl[[#All],[STAFF:]],$A56,Mar_Period_2_Tbl[[#All],[$ BONUS PAY]])+SUMIF(Apr_Period_2_Tbl[[#All],[STAFF:]],$A56,Apr_Period_2_Tbl[[#All],[$ BONUS PAY]])+   SUMIF(May_Period_2_Tbl[[#All],[STAFF:]],$A56,May_Period_2_Tbl[[#All],[$ BONUS PAY]])+   SUMIF(Jun_Period_2_Tbl[[#All],[STAFF:]],$A56,Jun_Period_2_Tbl[[#All],[$ BONUS PAY]])+  SUMIF(Jul_Period_2_Tbl[[#All],[STAFF:]],$A56,Jul_Period_2_Tbl[[#All],[$ BONUS PAY]])+  SUMIF(Aug_Period_2_Tbl[[#All],[STAFF:]],$A56,Aug_Period_2_Tbl[[#All],[$ BONUS PAY]])+  SUMIF(Sep_Period_2_Tbl[[#All],[STAFF:]],$A56,Sep_Period_2_Tbl[[#All],[$ BONUS PAY]])+  SUMIF(Oct_Period_2_Tbl[[#All],[STAFF:]],$A56,Oct_Period_2_Tbl[[#All],[$ BONUS PAY]])+     SUMIF(Nov_Period_2_Tbl[[#All],[STAFF:]],$A56,Nov_Period_2_Tbl[[#All],[$ BONUS PAY]])+  SUMIF(Dec_Period_2_Tbl[[#All],[STAFF:]],$A56,Dec_Period_2_Tbl[[#All],[$ BONUS PAY]]))</f>
        <v>0</v>
      </c>
      <c r="P56" s="179">
        <f t="shared" si="9"/>
        <v>0</v>
      </c>
      <c r="Q56" s="149"/>
      <c r="R56" s="152">
        <f>(SUMIF(Jan_Period_1_Tbl[[#All],[STAFF:]],$A56,Jan_Period_1_Tbl[[#All],['# POINTS EARNED]])+
SUMIF(Feb_Period_1_Tbl[[#All],[STAFF:]],$A56,Feb_Period_1_Tbl[[#All],['# POINTS EARNED]])+SUMIF(Mar_Period_1_Tbl[[#All],[STAFF:]],$A56,Mar_Period_1_Tbl[[#All],['# POINTS EARNED]])+SUMIF(Apr_Period_1_Tbl[[#All],[STAFF:]],$A56,Apr_Period_1_Tbl[[#All],['# POINTS EARNED]])+   SUMIF(May_Period_1_Tbl[[#All],[STAFF:]],$A56,May_Period_1_Tbl[[#All],['# POINTS EARNED]])+   SUMIF(Jun_Period_1_Tbl[[#All],[STAFF:]],$A56,Jun_Period_1_Tbl[[#All],['# POINTS EARNED]])+  SUMIF(Jul_Period_1_Tbl[[#All],[STAFF:]],$A56,Jul_Period_1_Tbl[[#All],['# POINTS EARNED]])+  SUMIF(Aug_Period_1_Tbl[[#All],[STAFF:]],$A56,Aug_Period_1_Tbl[[#All],['# POINTS EARNED]])+  SUMIF(Sep_Period_1_Tbl[[#All],[STAFF:]],$A56,Sep_Period_1_Tbl[[#All],['# POINTS EARNED]])+  SUMIF(Oct_Period_1_Tbl[[#All],[STAFF:]],$A56,Oct_Period_1_Tbl[[#All],['# POINTS EARNED]])+     SUMIF(Nov_Period_1_Tbl[[#All],[STAFF:]],$A56,Nov_Period_1_Tbl[[#All],['# POINTS EARNED]])+  SUMIF(Dec_Period_1_Tbl[[#All],[STAFF:]],$A56,Dec_Period_1_Tbl[[#All],['# POINTS EARNED]]))+   (SUMIF(Jan_Period_2_Tbl[[#All],[STAFF:]],$A56,Jan_Period_2_Tbl[[#All],['# POINTS EARNED]])+
SUMIF(Feb_Period_2_Tbl[[#All],[STAFF:]],$A56,Feb_Period_2_Tbl[[#All],['# POINTS EARNED]])+SUMIF(Mar_Period_2_Tbl[[#All],[STAFF:]],$A56,Mar_Period_2_Tbl[[#All],['# POINTS EARNED]])+SUMIF(Apr_Period_2_Tbl[[#All],[STAFF:]],$A56,Apr_Period_2_Tbl[[#All],['# POINTS EARNED]])+   SUMIF(May_Period_2_Tbl[[#All],[STAFF:]],$A56,May_Period_2_Tbl[[#All],['# POINTS EARNED]])+   SUMIF(Jun_Period_2_Tbl[[#All],[STAFF:]],$A56,Jun_Period_2_Tbl[[#All],['# POINTS EARNED]])+  SUMIF(Jul_Period_2_Tbl[[#All],[STAFF:]],$A56,Jul_Period_2_Tbl[[#All],['# POINTS EARNED]])+  SUMIF(Aug_Period_2_Tbl[[#All],[STAFF:]],$A56,Aug_Period_2_Tbl[[#All],['# POINTS EARNED]])+  SUMIF(Sep_Period_2_Tbl[[#All],[STAFF:]],$A56,Sep_Period_2_Tbl[[#All],['# POINTS EARNED]])+  SUMIF(Oct_Period_2_Tbl[[#All],[STAFF:]],$A56,Oct_Period_2_Tbl[[#All],['# POINTS EARNED]])+     SUMIF(Nov_Period_2_Tbl[[#All],[STAFF:]],$A56,Nov_Period_2_Tbl[[#All],['# POINTS EARNED]])+  SUMIF(Dec_Period_2_Tbl[[#All],[STAFF:]],$A56,Dec_Period_2_Tbl[[#All],['# POINTS EARNED]]))</f>
        <v>0</v>
      </c>
      <c r="S56" s="152">
        <f>(SUMIF(Jan_Period_1_Tbl[[#All],[STAFF:]],$A56,Jan_Period_1_Tbl[[#All],['# POINTS USED]])+
SUMIF(Feb_Period_1_Tbl[[#All],[STAFF:]],$A56,Feb_Period_1_Tbl[[#All],['# POINTS USED]])+SUMIF(Mar_Period_1_Tbl[[#All],[STAFF:]],$A56,Mar_Period_1_Tbl[[#All],['# POINTS USED]])+SUMIF(Apr_Period_1_Tbl[[#All],[STAFF:]],$A56,Apr_Period_1_Tbl[[#All],['# POINTS USED]])+   SUMIF(May_Period_1_Tbl[[#All],[STAFF:]],$A56,May_Period_1_Tbl[[#All],['# POINTS USED]])+   SUMIF(Jun_Period_1_Tbl[[#All],[STAFF:]],$A56,Jun_Period_1_Tbl[[#All],['# POINTS USED]])+  SUMIF(Jul_Period_1_Tbl[[#All],[STAFF:]],$A56,Jul_Period_1_Tbl[[#All],['# POINTS USED]])+  SUMIF(Aug_Period_1_Tbl[[#All],[STAFF:]],$A56,Aug_Period_1_Tbl[[#All],['# POINTS USED]])+  SUMIF(Sep_Period_1_Tbl[[#All],[STAFF:]],$A56,Sep_Period_1_Tbl[[#All],['# POINTS USED]])+  SUMIF(Oct_Period_1_Tbl[[#All],[STAFF:]],$A56,Oct_Period_1_Tbl[[#All],['# POINTS USED]])+     SUMIF(Nov_Period_1_Tbl[[#All],[STAFF:]],$A56,Nov_Period_1_Tbl[[#All],['# POINTS USED]])+  SUMIF(Dec_Period_1_Tbl[[#All],[STAFF:]],$A56,Dec_Period_1_Tbl[[#All],['# POINTS USED]]))+   (SUMIF(Jan_Period_2_Tbl[[#All],[STAFF:]],$A56,Jan_Period_2_Tbl[[#All],['# POINTS USED]])+
SUMIF(Feb_Period_2_Tbl[[#All],[STAFF:]],$A56,Feb_Period_2_Tbl[[#All],['# POINTS USED]])+SUMIF(Mar_Period_2_Tbl[[#All],[STAFF:]],$A56,Mar_Period_2_Tbl[[#All],['# POINTS USED]])+SUMIF(Apr_Period_2_Tbl[[#All],[STAFF:]],$A56,Apr_Period_2_Tbl[[#All],['# POINTS USED]])+   SUMIF(May_Period_2_Tbl[[#All],[STAFF:]],$A56,May_Period_2_Tbl[[#All],['# POINTS USED]])+   SUMIF(Jun_Period_2_Tbl[[#All],[STAFF:]],$A56,Jun_Period_2_Tbl[[#All],['# POINTS USED]])+  SUMIF(Jul_Period_2_Tbl[[#All],[STAFF:]],$A56,Jul_Period_2_Tbl[[#All],['# POINTS USED]])+  SUMIF(Aug_Period_2_Tbl[[#All],[STAFF:]],$A56,Aug_Period_2_Tbl[[#All],['# POINTS USED]])+  SUMIF(Sep_Period_2_Tbl[[#All],[STAFF:]],$A56,Sep_Period_2_Tbl[[#All],['# POINTS USED]])+  SUMIF(Oct_Period_2_Tbl[[#All],[STAFF:]],$A56,Oct_Period_2_Tbl[[#All],['# POINTS USED]])+     SUMIF(Nov_Period_2_Tbl[[#All],[STAFF:]],$A56,Nov_Period_2_Tbl[[#All],['# POINTS USED]])+  SUMIF(Dec_Period_2_Tbl[[#All],[STAFF:]],$A56,Dec_Period_2_Tbl[[#All],['# POINTS USED]]))</f>
        <v>0</v>
      </c>
      <c r="T56" s="152">
        <f>(SUMIF(Jan_Period_1_Tbl[[#All],[STAFF:]],$A56,Jan_Period_1_Tbl[[#All],['# CLASSES LEAD]])+
SUMIF(Feb_Period_1_Tbl[[#All],[STAFF:]],$A56,Feb_Period_1_Tbl[[#All],['# CLASSES LEAD]])+SUMIF(Mar_Period_1_Tbl[[#All],[STAFF:]],$A56,Mar_Period_1_Tbl[[#All],['# CLASSES LEAD]])+SUMIF(Apr_Period_1_Tbl[[#All],[STAFF:]],$A56,Apr_Period_1_Tbl[[#All],['# CLASSES LEAD]])+   SUMIF(May_Period_1_Tbl[[#All],[STAFF:]],$A56,May_Period_1_Tbl[[#All],['# CLASSES LEAD]])+   SUMIF(Jun_Period_1_Tbl[[#All],[STAFF:]],$A56,Jun_Period_1_Tbl[[#All],['# CLASSES LEAD]])+  SUMIF(Jul_Period_1_Tbl[[#All],[STAFF:]],$A56,Jul_Period_1_Tbl[[#All],['# CLASSES LEAD]])+  SUMIF(Aug_Period_1_Tbl[[#All],[STAFF:]],$A56,Aug_Period_1_Tbl[[#All],['# CLASSES LEAD]])+  SUMIF(Sep_Period_1_Tbl[[#All],[STAFF:]],$A56,Sep_Period_1_Tbl[[#All],['# CLASSES LEAD]])+  SUMIF(Oct_Period_1_Tbl[[#All],[STAFF:]],$A56,Oct_Period_1_Tbl[[#All],['# CLASSES LEAD]])+     SUMIF(Nov_Period_1_Tbl[[#All],[STAFF:]],$A56,Nov_Period_1_Tbl[[#All],['# CLASSES LEAD]])+  SUMIF(Dec_Period_1_Tbl[[#All],[STAFF:]],$A56,Dec_Period_1_Tbl[[#All],['# CLASSES LEAD]]))+   (SUMIF(Jan_Period_2_Tbl[[#All],[STAFF:]],$A56,Jan_Period_2_Tbl[[#All],['# CLASSES LEAD]])+
SUMIF(Feb_Period_2_Tbl[[#All],[STAFF:]],$A56,Feb_Period_2_Tbl[[#All],['# CLASSES LEAD]])+SUMIF(Mar_Period_2_Tbl[[#All],[STAFF:]],$A56,Mar_Period_2_Tbl[[#All],['# CLASSES LEAD]])+SUMIF(Apr_Period_2_Tbl[[#All],[STAFF:]],$A56,Apr_Period_2_Tbl[[#All],['# CLASSES LEAD]])+   SUMIF(May_Period_2_Tbl[[#All],[STAFF:]],$A56,May_Period_2_Tbl[[#All],['# CLASSES LEAD]])+   SUMIF(Jun_Period_2_Tbl[[#All],[STAFF:]],$A56,Jun_Period_2_Tbl[[#All],['# CLASSES LEAD]])+  SUMIF(Jul_Period_2_Tbl[[#All],[STAFF:]],$A56,Jul_Period_2_Tbl[[#All],['# CLASSES LEAD]])+  SUMIF(Aug_Period_2_Tbl[[#All],[STAFF:]],$A56,Aug_Period_2_Tbl[[#All],['# CLASSES LEAD]])+  SUMIF(Sep_Period_2_Tbl[[#All],[STAFF:]],$A56,Sep_Period_2_Tbl[[#All],['# CLASSES LEAD]])+  SUMIF(Oct_Period_2_Tbl[[#All],[STAFF:]],$A56,Oct_Period_2_Tbl[[#All],['# CLASSES LEAD]])+     SUMIF(Nov_Period_2_Tbl[[#All],[STAFF:]],$A56,Nov_Period_2_Tbl[[#All],['# CLASSES LEAD]])+  SUMIF(Dec_Period_2_Tbl[[#All],[STAFF:]],$A56,Dec_Period_2_Tbl[[#All],['# CLASSES LEAD]]))</f>
        <v>0</v>
      </c>
      <c r="U56" s="152">
        <f>(SUMIF(Jan_Period_1_Tbl[[#All],[STAFF:]],$A56,Jan_Period_1_Tbl[[#All],['# CLASSES SHOW]])+
SUMIF(Feb_Period_1_Tbl[[#All],[STAFF:]],$A56,Feb_Period_1_Tbl[[#All],['# CLASSES SHOW]])+SUMIF(Mar_Period_1_Tbl[[#All],[STAFF:]],$A56,Mar_Period_1_Tbl[[#All],['# CLASSES SHOW]])+SUMIF(Apr_Period_1_Tbl[[#All],[STAFF:]],$A56,Apr_Period_1_Tbl[[#All],['# CLASSES SHOW]])+   SUMIF(May_Period_1_Tbl[[#All],[STAFF:]],$A56,May_Period_1_Tbl[[#All],['# CLASSES SHOW]])+   SUMIF(Jun_Period_1_Tbl[[#All],[STAFF:]],$A56,Jun_Period_1_Tbl[[#All],['# CLASSES SHOW]])+  SUMIF(Jul_Period_1_Tbl[[#All],[STAFF:]],$A56,Jul_Period_1_Tbl[[#All],['# CLASSES SHOW]])+  SUMIF(Aug_Period_1_Tbl[[#All],[STAFF:]],$A56,Aug_Period_1_Tbl[[#All],['# CLASSES SHOW]])+  SUMIF(Sep_Period_1_Tbl[[#All],[STAFF:]],$A56,Sep_Period_1_Tbl[[#All],['# CLASSES SHOW]])+  SUMIF(Oct_Period_1_Tbl[[#All],[STAFF:]],$A56,Oct_Period_1_Tbl[[#All],['# CLASSES SHOW]])+     SUMIF(Nov_Period_1_Tbl[[#All],[STAFF:]],$A56,Nov_Period_1_Tbl[[#All],['# CLASSES SHOW]])+  SUMIF(Dec_Period_1_Tbl[[#All],[STAFF:]],$A56,Dec_Period_1_Tbl[[#All],['# CLASSES SHOW]]))+   (SUMIF(Jan_Period_2_Tbl[[#All],[STAFF:]],$A56,Jan_Period_2_Tbl[[#All],['# CLASSES SHOW]])+
SUMIF(Feb_Period_2_Tbl[[#All],[STAFF:]],$A56,Feb_Period_2_Tbl[[#All],['# CLASSES SHOW]])+SUMIF(Mar_Period_2_Tbl[[#All],[STAFF:]],$A56,Mar_Period_2_Tbl[[#All],['# CLASSES SHOW]])+SUMIF(Apr_Period_2_Tbl[[#All],[STAFF:]],$A56,Apr_Period_2_Tbl[[#All],['# CLASSES SHOW]])+   SUMIF(May_Period_2_Tbl[[#All],[STAFF:]],$A56,May_Period_2_Tbl[[#All],['# CLASSES SHOW]])+   SUMIF(Jun_Period_2_Tbl[[#All],[STAFF:]],$A56,Jun_Period_2_Tbl[[#All],['# CLASSES SHOW]])+  SUMIF(Jul_Period_2_Tbl[[#All],[STAFF:]],$A56,Jul_Period_2_Tbl[[#All],['# CLASSES SHOW]])+  SUMIF(Aug_Period_2_Tbl[[#All],[STAFF:]],$A56,Aug_Period_2_Tbl[[#All],['# CLASSES SHOW]])+  SUMIF(Sep_Period_2_Tbl[[#All],[STAFF:]],$A56,Sep_Period_2_Tbl[[#All],['# CLASSES SHOW]])+  SUMIF(Oct_Period_2_Tbl[[#All],[STAFF:]],$A56,Oct_Period_2_Tbl[[#All],['# CLASSES SHOW]])+     SUMIF(Nov_Period_2_Tbl[[#All],[STAFF:]],$A56,Nov_Period_2_Tbl[[#All],['# CLASSES SHOW]])+  SUMIF(Dec_Period_2_Tbl[[#All],[STAFF:]],$A56,Dec_Period_2_Tbl[[#All],['# CLASSES SHOW]]))</f>
        <v>0</v>
      </c>
      <c r="V56" s="156"/>
      <c r="W56" s="156"/>
      <c r="X56" s="154">
        <f t="shared" si="10"/>
        <v>0</v>
      </c>
      <c r="Y56" s="154">
        <f t="shared" si="11"/>
        <v>0</v>
      </c>
      <c r="Z56" s="154">
        <f t="shared" si="12"/>
        <v>0</v>
      </c>
      <c r="AA56" s="154">
        <f t="shared" si="13"/>
        <v>0</v>
      </c>
      <c r="AB56" s="154">
        <f t="shared" si="14"/>
        <v>0</v>
      </c>
      <c r="AC56" s="154">
        <f t="shared" si="15"/>
        <v>0</v>
      </c>
      <c r="AD56" s="154">
        <f t="shared" si="16"/>
        <v>0</v>
      </c>
      <c r="AE56" s="149"/>
      <c r="AF56" s="149"/>
      <c r="AG56" s="149"/>
      <c r="AH56" s="149"/>
      <c r="AJ56" s="75" t="str">
        <f t="shared" si="17"/>
        <v>zBlank</v>
      </c>
      <c r="AK56" s="210"/>
      <c r="AL56" s="168">
        <f>IFERROR(VLOOKUP(B56,List!$A:$B,2,FALSE),-1)</f>
        <v>-1</v>
      </c>
      <c r="AM56" s="168">
        <f>IFERROR(VLOOKUP(C56,List!$A:$B,2,FALSE),-1)</f>
        <v>-1</v>
      </c>
    </row>
    <row r="57" spans="1:39" ht="15" hidden="1" customHeight="1" x14ac:dyDescent="0.25">
      <c r="A57" s="20"/>
      <c r="B57" s="186"/>
      <c r="C57" s="186"/>
      <c r="D57" s="187"/>
      <c r="E57" s="188">
        <f>(SUMIF(Jan_Period_1_Tbl[[#All],[STAFF:]],$A57,Jan_Period_1_Tbl[[#All],['# PTO USED]])+
SUMIF(Feb_Period_1_Tbl[[#All],[STAFF:]],$A57,Feb_Period_1_Tbl[[#All],['# PTO USED]])+SUMIF(Mar_Period_1_Tbl[[#All],[STAFF:]],$A57,Mar_Period_1_Tbl[[#All],['# PTO USED]])+SUMIF(Apr_Period_1_Tbl[[#All],[STAFF:]],$A57,Apr_Period_1_Tbl[[#All],['# PTO USED]])+   SUMIF(May_Period_1_Tbl[[#All],[STAFF:]],$A57,May_Period_1_Tbl[[#All],['# PTO USED]])+   SUMIF(Jun_Period_1_Tbl[[#All],[STAFF:]],$A57,Jun_Period_1_Tbl[[#All],['# PTO USED]])+  SUMIF(Jul_Period_1_Tbl[[#All],[STAFF:]],$A57,Jul_Period_1_Tbl[[#All],['# PTO USED]])+  SUMIF(Aug_Period_1_Tbl[[#All],[STAFF:]],$A57,Aug_Period_1_Tbl[[#All],['# PTO USED]])+  SUMIF(Sep_Period_1_Tbl[[#All],[STAFF:]],$A57,Sep_Period_1_Tbl[[#All],['# PTO USED]])+  SUMIF(Oct_Period_1_Tbl[[#All],[STAFF:]],$A57,Oct_Period_1_Tbl[[#All],['# PTO USED]])+     SUMIF(Nov_Period_1_Tbl[[#All],[STAFF:]],$A57,Nov_Period_1_Tbl[[#All],['# PTO USED]])+  SUMIF(Dec_Period_1_Tbl[[#All],[STAFF:]],$A57,Dec_Period_1_Tbl[[#All],['# PTO USED]]))+   (SUMIF(Jan_Period_2_Tbl[[#All],[STAFF:]],$A57,Jan_Period_2_Tbl[[#All],['# PTO USED]])+
SUMIF(Feb_Period_2_Tbl[[#All],[STAFF:]],$A57,Feb_Period_2_Tbl[[#All],['# PTO USED]])+SUMIF(Mar_Period_2_Tbl[[#All],[STAFF:]],$A57,Mar_Period_2_Tbl[[#All],['# PTO USED]])+SUMIF(Apr_Period_2_Tbl[[#All],[STAFF:]],$A57,Apr_Period_2_Tbl[[#All],['# PTO USED]])+   SUMIF(May_Period_2_Tbl[[#All],[STAFF:]],$A57,May_Period_2_Tbl[[#All],['# PTO USED]])+   SUMIF(Jun_Period_2_Tbl[[#All],[STAFF:]],$A57,Jun_Period_2_Tbl[[#All],['# PTO USED]])+  SUMIF(Jul_Period_2_Tbl[[#All],[STAFF:]],$A57,Jul_Period_2_Tbl[[#All],['# PTO USED]])+  SUMIF(Aug_Period_2_Tbl[[#All],[STAFF:]],$A57,Aug_Period_2_Tbl[[#All],['# PTO USED]])+  SUMIF(Sep_Period_2_Tbl[[#All],[STAFF:]],$A57,Sep_Period_2_Tbl[[#All],['# PTO USED]])+  SUMIF(Oct_Period_2_Tbl[[#All],[STAFF:]],$A57,Oct_Period_2_Tbl[[#All],['# PTO USED]])+     SUMIF(Nov_Period_2_Tbl[[#All],[STAFF:]],$A57,Nov_Period_2_Tbl[[#All],['# PTO USED]])+  SUMIF(Dec_Period_2_Tbl[[#All],[STAFF:]],$A57,Dec_Period_2_Tbl[[#All],['# PTO USED]]))</f>
        <v>0</v>
      </c>
      <c r="F57" s="189">
        <f>(SUMIF(Jan_Period_1_Tbl[[#All],[STAFF:]],$A57,Jan_Period_1_Tbl[[#All],['# HRS WORKED]])+
SUMIF(Feb_Period_1_Tbl[[#All],[STAFF:]],$A57,Feb_Period_1_Tbl[[#All],['# HRS WORKED]])+SUMIF(Mar_Period_1_Tbl[[#All],[STAFF:]],$A57,Mar_Period_1_Tbl[[#All],['# HRS WORKED]])+SUMIF(Apr_Period_1_Tbl[[#All],[STAFF:]],$A57,Apr_Period_1_Tbl[[#All],['# HRS WORKED]])+   SUMIF(May_Period_1_Tbl[[#All],[STAFF:]],$A57,May_Period_1_Tbl[[#All],['# HRS WORKED]])+   SUMIF(Jun_Period_1_Tbl[[#All],[STAFF:]],$A57,Jun_Period_1_Tbl[[#All],['# HRS WORKED]])+  SUMIF(Jul_Period_1_Tbl[[#All],[STAFF:]],$A57,Jul_Period_1_Tbl[[#All],['# HRS WORKED]])+  SUMIF(Aug_Period_1_Tbl[[#All],[STAFF:]],$A57,Aug_Period_1_Tbl[[#All],['# HRS WORKED]])+  SUMIF(Sep_Period_1_Tbl[[#All],[STAFF:]],$A57,Sep_Period_1_Tbl[[#All],['# HRS WORKED]])+  SUMIF(Oct_Period_1_Tbl[[#All],[STAFF:]],$A57,Oct_Period_1_Tbl[[#All],['# HRS WORKED]])+     SUMIF(Nov_Period_1_Tbl[[#All],[STAFF:]],$A57,Nov_Period_1_Tbl[[#All],['# HRS WORKED]])+  SUMIF(Dec_Period_1_Tbl[[#All],[STAFF:]],$A57,Dec_Period_1_Tbl[[#All],['# HRS WORKED]]))+   (SUMIF(Jan_Period_2_Tbl[[#All],[STAFF:]],$A57,Jan_Period_2_Tbl[[#All],['# HRS WORKED]])+
SUMIF(Feb_Period_2_Tbl[[#All],[STAFF:]],$A57,Feb_Period_2_Tbl[[#All],['# HRS WORKED]])+SUMIF(Mar_Period_2_Tbl[[#All],[STAFF:]],$A57,Mar_Period_2_Tbl[[#All],['# HRS WORKED]])+SUMIF(Apr_Period_2_Tbl[[#All],[STAFF:]],$A57,Apr_Period_2_Tbl[[#All],['# HRS WORKED]])+   SUMIF(May_Period_2_Tbl[[#All],[STAFF:]],$A57,May_Period_2_Tbl[[#All],['# HRS WORKED]])+   SUMIF(Jun_Period_2_Tbl[[#All],[STAFF:]],$A57,Jun_Period_2_Tbl[[#All],['# HRS WORKED]])+  SUMIF(Jul_Period_2_Tbl[[#All],[STAFF:]],$A57,Jul_Period_2_Tbl[[#All],['# HRS WORKED]])+  SUMIF(Aug_Period_2_Tbl[[#All],[STAFF:]],$A57,Aug_Period_2_Tbl[[#All],['# HRS WORKED]])+  SUMIF(Sep_Period_2_Tbl[[#All],[STAFF:]],$A57,Sep_Period_2_Tbl[[#All],['# HRS WORKED]])+  SUMIF(Oct_Period_2_Tbl[[#All],[STAFF:]],$A57,Oct_Period_2_Tbl[[#All],['# HRS WORKED]])+     SUMIF(Nov_Period_2_Tbl[[#All],[STAFF:]],$A57,Nov_Period_2_Tbl[[#All],['# HRS WORKED]])+  SUMIF(Dec_Period_2_Tbl[[#All],[STAFF:]],$A57,Dec_Period_2_Tbl[[#All],['# HRS WORKED]]))</f>
        <v>0</v>
      </c>
      <c r="G57" s="190">
        <f>(SUMIF(Jan_Period_1_Tbl[[#All],[STAFF:]],$A57,Jan_Period_1_Tbl[[#All],[$ Hourly WAGES]])+
SUMIF(Feb_Period_1_Tbl[[#All],[STAFF:]],$A57,Feb_Period_1_Tbl[[#All],[$ Hourly WAGES]])+SUMIF(Mar_Period_1_Tbl[[#All],[STAFF:]],$A57,Mar_Period_1_Tbl[[#All],[$ Hourly WAGES]])+SUMIF(Apr_Period_1_Tbl[[#All],[STAFF:]],$A57,Apr_Period_1_Tbl[[#All],[$ Hourly WAGES]])+   SUMIF(May_Period_1_Tbl[[#All],[STAFF:]],$A57,May_Period_1_Tbl[[#All],[$ Hourly WAGES]])+   SUMIF(Jun_Period_1_Tbl[[#All],[STAFF:]],$A57,Jun_Period_1_Tbl[[#All],[$ Hourly WAGES]])+  SUMIF(Jul_Period_1_Tbl[[#All],[STAFF:]],$A57,Jul_Period_1_Tbl[[#All],[$ Hourly WAGES]])+  SUMIF(Aug_Period_1_Tbl[[#All],[STAFF:]],$A57,Aug_Period_1_Tbl[[#All],[$ Hourly WAGES]])+  SUMIF(Sep_Period_1_Tbl[[#All],[STAFF:]],$A57,Sep_Period_1_Tbl[[#All],[$ Hourly WAGES]])+  SUMIF(Oct_Period_1_Tbl[[#All],[STAFF:]],$A57,Oct_Period_1_Tbl[[#All],[$ Hourly WAGES]])+     SUMIF(Nov_Period_1_Tbl[[#All],[STAFF:]],$A57,Nov_Period_1_Tbl[[#All],[$ Hourly WAGES]])+  SUMIF(Dec_Period_1_Tbl[[#All],[STAFF:]],$A57,Dec_Period_1_Tbl[[#All],[$ Hourly WAGES]]))+   (SUMIF(Jan_Period_2_Tbl[[#All],[STAFF:]],$A57,Jan_Period_2_Tbl[[#All],[$ Hourly WAGES]])+
SUMIF(Feb_Period_2_Tbl[[#All],[STAFF:]],$A57,Feb_Period_2_Tbl[[#All],[$ Hourly WAGES]])+SUMIF(Mar_Period_2_Tbl[[#All],[STAFF:]],$A57,Mar_Period_2_Tbl[[#All],[$ Hourly WAGES]])+SUMIF(Apr_Period_2_Tbl[[#All],[STAFF:]],$A57,Apr_Period_2_Tbl[[#All],[$ Hourly WAGES]])+   SUMIF(May_Period_2_Tbl[[#All],[STAFF:]],$A57,May_Period_2_Tbl[[#All],[$ Hourly WAGES]])+   SUMIF(Jun_Period_2_Tbl[[#All],[STAFF:]],$A57,Jun_Period_2_Tbl[[#All],[$ Hourly WAGES]])+  SUMIF(Jul_Period_2_Tbl[[#All],[STAFF:]],$A57,Jul_Period_2_Tbl[[#All],[$ Hourly WAGES]])+  SUMIF(Aug_Period_2_Tbl[[#All],[STAFF:]],$A57,Aug_Period_2_Tbl[[#All],[$ Hourly WAGES]])+  SUMIF(Sep_Period_2_Tbl[[#All],[STAFF:]],$A57,Sep_Period_2_Tbl[[#All],[$ Hourly WAGES]])+  SUMIF(Oct_Period_2_Tbl[[#All],[STAFF:]],$A57,Oct_Period_2_Tbl[[#All],[$ Hourly WAGES]])+     SUMIF(Nov_Period_2_Tbl[[#All],[STAFF:]],$A57,Nov_Period_2_Tbl[[#All],[$ Hourly WAGES]])+  SUMIF(Dec_Period_2_Tbl[[#All],[STAFF:]],$A57,Dec_Period_2_Tbl[[#All],[$ Hourly WAGES]]))</f>
        <v>0</v>
      </c>
      <c r="H57" s="190">
        <f>(SUMIF(Jan_Period_1_Tbl[[#All],[STAFF:]],$A57,Jan_Period_1_Tbl[[#All],[$ SALARY]])+
SUMIF(Feb_Period_1_Tbl[[#All],[STAFF:]],$A57,Feb_Period_1_Tbl[[#All],[$ SALARY]])+SUMIF(Mar_Period_1_Tbl[[#All],[STAFF:]],$A57,Mar_Period_1_Tbl[[#All],[$ SALARY]])+SUMIF(Apr_Period_1_Tbl[[#All],[STAFF:]],$A57,Apr_Period_1_Tbl[[#All],[$ SALARY]])+   SUMIF(May_Period_1_Tbl[[#All],[STAFF:]],$A57,May_Period_1_Tbl[[#All],[$ SALARY]])+   SUMIF(Jun_Period_1_Tbl[[#All],[STAFF:]],$A57,Jun_Period_1_Tbl[[#All],[$ SALARY]])+  SUMIF(Jul_Period_1_Tbl[[#All],[STAFF:]],$A57,Jul_Period_1_Tbl[[#All],[$ SALARY]])+  SUMIF(Aug_Period_1_Tbl[[#All],[STAFF:]],$A57,Aug_Period_1_Tbl[[#All],[$ SALARY]])+  SUMIF(Sep_Period_1_Tbl[[#All],[STAFF:]],$A57,Sep_Period_1_Tbl[[#All],[$ SALARY]])+  SUMIF(Oct_Period_1_Tbl[[#All],[STAFF:]],$A57,Oct_Period_1_Tbl[[#All],[$ SALARY]])+     SUMIF(Nov_Period_1_Tbl[[#All],[STAFF:]],$A57,Nov_Period_1_Tbl[[#All],[$ SALARY]])+  SUMIF(Dec_Period_1_Tbl[[#All],[STAFF:]],$A57,Dec_Period_1_Tbl[[#All],[$ SALARY]]))+   (SUMIF(Jan_Period_2_Tbl[[#All],[STAFF:]],$A57,Jan_Period_2_Tbl[[#All],[$ SALARY]])+
SUMIF(Feb_Period_2_Tbl[[#All],[STAFF:]],$A57,Feb_Period_2_Tbl[[#All],[$ SALARY]])+SUMIF(Mar_Period_2_Tbl[[#All],[STAFF:]],$A57,Mar_Period_2_Tbl[[#All],[$ SALARY]])+SUMIF(Apr_Period_2_Tbl[[#All],[STAFF:]],$A57,Apr_Period_2_Tbl[[#All],[$ SALARY]])+   SUMIF(May_Period_2_Tbl[[#All],[STAFF:]],$A57,May_Period_2_Tbl[[#All],[$ SALARY]])+   SUMIF(Jun_Period_2_Tbl[[#All],[STAFF:]],$A57,Jun_Period_2_Tbl[[#All],[$ SALARY]])+  SUMIF(Jul_Period_2_Tbl[[#All],[STAFF:]],$A57,Jul_Period_2_Tbl[[#All],[$ SALARY]])+  SUMIF(Aug_Period_2_Tbl[[#All],[STAFF:]],$A57,Aug_Period_2_Tbl[[#All],[$ SALARY]])+  SUMIF(Sep_Period_2_Tbl[[#All],[STAFF:]],$A57,Sep_Period_2_Tbl[[#All],[$ SALARY]])+  SUMIF(Oct_Period_2_Tbl[[#All],[STAFF:]],$A57,Oct_Period_2_Tbl[[#All],[$ SALARY]])+     SUMIF(Nov_Period_2_Tbl[[#All],[STAFF:]],$A57,Nov_Period_2_Tbl[[#All],[$ SALARY]])+  SUMIF(Dec_Period_2_Tbl[[#All],[STAFF:]],$A57,Dec_Period_2_Tbl[[#All],[$ SALARY]]))</f>
        <v>0</v>
      </c>
      <c r="I57" s="190">
        <f>(SUMIF(Jan_Period_1_Tbl[[#All],[STAFF:]],$A57,Jan_Period_1_Tbl[[#All],[$ SALARY PT]])+
SUMIF(Feb_Period_1_Tbl[[#All],[STAFF:]],$A57,Feb_Period_1_Tbl[[#All],[$ SALARY PT]])+SUMIF(Mar_Period_1_Tbl[[#All],[STAFF:]],$A57,Mar_Period_1_Tbl[[#All],[$ SALARY PT]])+SUMIF(Apr_Period_1_Tbl[[#All],[STAFF:]],$A57,Apr_Period_1_Tbl[[#All],[$ SALARY PT]])+   SUMIF(May_Period_1_Tbl[[#All],[STAFF:]],$A57,May_Period_1_Tbl[[#All],[$ SALARY PT]])+   SUMIF(Jun_Period_1_Tbl[[#All],[STAFF:]],$A57,Jun_Period_1_Tbl[[#All],[$ SALARY PT]])+  SUMIF(Jul_Period_1_Tbl[[#All],[STAFF:]],$A57,Jul_Period_1_Tbl[[#All],[$ SALARY PT]])+  SUMIF(Aug_Period_1_Tbl[[#All],[STAFF:]],$A57,Aug_Period_1_Tbl[[#All],[$ SALARY PT]])+  SUMIF(Sep_Period_1_Tbl[[#All],[STAFF:]],$A57,Sep_Period_1_Tbl[[#All],[$ SALARY PT]])+  SUMIF(Oct_Period_1_Tbl[[#All],[STAFF:]],$A57,Oct_Period_1_Tbl[[#All],[$ SALARY PT]])+     SUMIF(Nov_Period_1_Tbl[[#All],[STAFF:]],$A57,Nov_Period_1_Tbl[[#All],[$ SALARY PT]])+  SUMIF(Dec_Period_1_Tbl[[#All],[STAFF:]],$A57,Dec_Period_1_Tbl[[#All],[$ SALARY PT]]))+   (SUMIF(Jan_Period_2_Tbl[[#All],[STAFF:]],$A57,Jan_Period_2_Tbl[[#All],[$ SALARY PT]])+
SUMIF(Feb_Period_2_Tbl[[#All],[STAFF:]],$A57,Feb_Period_2_Tbl[[#All],[$ SALARY PT]])+SUMIF(Mar_Period_2_Tbl[[#All],[STAFF:]],$A57,Mar_Period_2_Tbl[[#All],[$ SALARY PT]])+SUMIF(Apr_Period_2_Tbl[[#All],[STAFF:]],$A57,Apr_Period_2_Tbl[[#All],[$ SALARY PT]])+   SUMIF(May_Period_2_Tbl[[#All],[STAFF:]],$A57,May_Period_2_Tbl[[#All],[$ SALARY PT]])+   SUMIF(Jun_Period_2_Tbl[[#All],[STAFF:]],$A57,Jun_Period_2_Tbl[[#All],[$ SALARY PT]])+  SUMIF(Jul_Period_2_Tbl[[#All],[STAFF:]],$A57,Jul_Period_2_Tbl[[#All],[$ SALARY PT]])+  SUMIF(Aug_Period_2_Tbl[[#All],[STAFF:]],$A57,Aug_Period_2_Tbl[[#All],[$ SALARY PT]])+  SUMIF(Sep_Period_2_Tbl[[#All],[STAFF:]],$A57,Sep_Period_2_Tbl[[#All],[$ SALARY PT]])+  SUMIF(Oct_Period_2_Tbl[[#All],[STAFF:]],$A57,Oct_Period_2_Tbl[[#All],[$ SALARY PT]])+     SUMIF(Nov_Period_2_Tbl[[#All],[STAFF:]],$A57,Nov_Period_2_Tbl[[#All],[$ SALARY PT]])+  SUMIF(Dec_Period_2_Tbl[[#All],[STAFF:]],$A57,Dec_Period_2_Tbl[[#All],[$ SALARY PT]]))</f>
        <v>0</v>
      </c>
      <c r="J57" s="190">
        <f>(SUMIF(Jan_Period_1_Tbl[[#All],[STAFF:]],$A57,Jan_Period_1_Tbl[[#All],[$ FREE PT]])+
SUMIF(Feb_Period_1_Tbl[[#All],[STAFF:]],$A57,Feb_Period_1_Tbl[[#All],[$ FREE PT]])+SUMIF(Mar_Period_1_Tbl[[#All],[STAFF:]],$A57,Mar_Period_1_Tbl[[#All],[$ FREE PT]])+SUMIF(Apr_Period_1_Tbl[[#All],[STAFF:]],$A57,Apr_Period_1_Tbl[[#All],[$ FREE PT]])+   SUMIF(May_Period_1_Tbl[[#All],[STAFF:]],$A57,May_Period_1_Tbl[[#All],[$ FREE PT]])+   SUMIF(Jun_Period_1_Tbl[[#All],[STAFF:]],$A57,Jun_Period_1_Tbl[[#All],[$ FREE PT]])+  SUMIF(Jul_Period_1_Tbl[[#All],[STAFF:]],$A57,Jul_Period_1_Tbl[[#All],[$ FREE PT]])+  SUMIF(Aug_Period_1_Tbl[[#All],[STAFF:]],$A57,Aug_Period_1_Tbl[[#All],[$ FREE PT]])+  SUMIF(Sep_Period_1_Tbl[[#All],[STAFF:]],$A57,Sep_Period_1_Tbl[[#All],[$ FREE PT]])+  SUMIF(Oct_Period_1_Tbl[[#All],[STAFF:]],$A57,Oct_Period_1_Tbl[[#All],[$ FREE PT]])+     SUMIF(Nov_Period_1_Tbl[[#All],[STAFF:]],$A57,Nov_Period_1_Tbl[[#All],[$ FREE PT]])+  SUMIF(Dec_Period_1_Tbl[[#All],[STAFF:]],$A57,Dec_Period_1_Tbl[[#All],[$ FREE PT]]))+   (SUMIF(Jan_Period_2_Tbl[[#All],[STAFF:]],$A57,Jan_Period_2_Tbl[[#All],[$ FREE PT]])+
SUMIF(Feb_Period_2_Tbl[[#All],[STAFF:]],$A57,Feb_Period_2_Tbl[[#All],[$ FREE PT]])+SUMIF(Mar_Period_2_Tbl[[#All],[STAFF:]],$A57,Mar_Period_2_Tbl[[#All],[$ FREE PT]])+SUMIF(Apr_Period_2_Tbl[[#All],[STAFF:]],$A57,Apr_Period_2_Tbl[[#All],[$ FREE PT]])+   SUMIF(May_Period_2_Tbl[[#All],[STAFF:]],$A57,May_Period_2_Tbl[[#All],[$ FREE PT]])+   SUMIF(Jun_Period_2_Tbl[[#All],[STAFF:]],$A57,Jun_Period_2_Tbl[[#All],[$ FREE PT]])+  SUMIF(Jul_Period_2_Tbl[[#All],[STAFF:]],$A57,Jul_Period_2_Tbl[[#All],[$ FREE PT]])+  SUMIF(Aug_Period_2_Tbl[[#All],[STAFF:]],$A57,Aug_Period_2_Tbl[[#All],[$ FREE PT]])+  SUMIF(Sep_Period_2_Tbl[[#All],[STAFF:]],$A57,Sep_Period_2_Tbl[[#All],[$ FREE PT]])+  SUMIF(Oct_Period_2_Tbl[[#All],[STAFF:]],$A57,Oct_Period_2_Tbl[[#All],[$ FREE PT]])+     SUMIF(Nov_Period_2_Tbl[[#All],[STAFF:]],$A57,Nov_Period_2_Tbl[[#All],[$ FREE PT]])+  SUMIF(Dec_Period_2_Tbl[[#All],[STAFF:]],$A57,Dec_Period_2_Tbl[[#All],[$ FREE PT]]))</f>
        <v>0</v>
      </c>
      <c r="K57" s="190">
        <f>(SUMIF(Jan_Period_1_Tbl[[#All],[STAFF:]],$A57,Jan_Period_1_Tbl[[#All],[$ PAID PT]])+
SUMIF(Feb_Period_1_Tbl[[#All],[STAFF:]],$A57,Feb_Period_1_Tbl[[#All],[$ PAID PT]])+SUMIF(Mar_Period_1_Tbl[[#All],[STAFF:]],$A57,Mar_Period_1_Tbl[[#All],[$ PAID PT]])+SUMIF(Apr_Period_1_Tbl[[#All],[STAFF:]],$A57,Apr_Period_1_Tbl[[#All],[$ PAID PT]])+   SUMIF(May_Period_1_Tbl[[#All],[STAFF:]],$A57,May_Period_1_Tbl[[#All],[$ PAID PT]])+   SUMIF(Jun_Period_1_Tbl[[#All],[STAFF:]],$A57,Jun_Period_1_Tbl[[#All],[$ PAID PT]])+  SUMIF(Jul_Period_1_Tbl[[#All],[STAFF:]],$A57,Jul_Period_1_Tbl[[#All],[$ PAID PT]])+  SUMIF(Aug_Period_1_Tbl[[#All],[STAFF:]],$A57,Aug_Period_1_Tbl[[#All],[$ PAID PT]])+  SUMIF(Sep_Period_1_Tbl[[#All],[STAFF:]],$A57,Sep_Period_1_Tbl[[#All],[$ PAID PT]])+  SUMIF(Oct_Period_1_Tbl[[#All],[STAFF:]],$A57,Oct_Period_1_Tbl[[#All],[$ PAID PT]])+     SUMIF(Nov_Period_1_Tbl[[#All],[STAFF:]],$A57,Nov_Period_1_Tbl[[#All],[$ PAID PT]])+  SUMIF(Dec_Period_1_Tbl[[#All],[STAFF:]],$A57,Dec_Period_1_Tbl[[#All],[$ PAID PT]]))+   (SUMIF(Jan_Period_2_Tbl[[#All],[STAFF:]],$A57,Jan_Period_2_Tbl[[#All],[$ PAID PT]])+
SUMIF(Feb_Period_2_Tbl[[#All],[STAFF:]],$A57,Feb_Period_2_Tbl[[#All],[$ PAID PT]])+SUMIF(Mar_Period_2_Tbl[[#All],[STAFF:]],$A57,Mar_Period_2_Tbl[[#All],[$ PAID PT]])+SUMIF(Apr_Period_2_Tbl[[#All],[STAFF:]],$A57,Apr_Period_2_Tbl[[#All],[$ PAID PT]])+   SUMIF(May_Period_2_Tbl[[#All],[STAFF:]],$A57,May_Period_2_Tbl[[#All],[$ PAID PT]])+   SUMIF(Jun_Period_2_Tbl[[#All],[STAFF:]],$A57,Jun_Period_2_Tbl[[#All],[$ PAID PT]])+  SUMIF(Jul_Period_2_Tbl[[#All],[STAFF:]],$A57,Jul_Period_2_Tbl[[#All],[$ PAID PT]])+  SUMIF(Aug_Period_2_Tbl[[#All],[STAFF:]],$A57,Aug_Period_2_Tbl[[#All],[$ PAID PT]])+  SUMIF(Sep_Period_2_Tbl[[#All],[STAFF:]],$A57,Sep_Period_2_Tbl[[#All],[$ PAID PT]])+  SUMIF(Oct_Period_2_Tbl[[#All],[STAFF:]],$A57,Oct_Period_2_Tbl[[#All],[$ PAID PT]])+     SUMIF(Nov_Period_2_Tbl[[#All],[STAFF:]],$A57,Nov_Period_2_Tbl[[#All],[$ PAID PT]])+  SUMIF(Dec_Period_2_Tbl[[#All],[STAFF:]],$A57,Dec_Period_2_Tbl[[#All],[$ PAID PT]]))</f>
        <v>0</v>
      </c>
      <c r="L57" s="190">
        <f>(SUMIF(Jan_Period_1_Tbl[[#All],[STAFF:]],$A57,Jan_Period_1_Tbl[[#All],[$ PT COMM]])+
SUMIF(Feb_Period_1_Tbl[[#All],[STAFF:]],$A57,Feb_Period_1_Tbl[[#All],[$ PT COMM]])+SUMIF(Mar_Period_1_Tbl[[#All],[STAFF:]],$A57,Mar_Period_1_Tbl[[#All],[$ PT COMM]])+SUMIF(Apr_Period_1_Tbl[[#All],[STAFF:]],$A57,Apr_Period_1_Tbl[[#All],[$ PT COMM]])+   SUMIF(May_Period_1_Tbl[[#All],[STAFF:]],$A57,May_Period_1_Tbl[[#All],[$ PT COMM]])+   SUMIF(Jun_Period_1_Tbl[[#All],[STAFF:]],$A57,Jun_Period_1_Tbl[[#All],[$ PT COMM]])+  SUMIF(Jul_Period_1_Tbl[[#All],[STAFF:]],$A57,Jul_Period_1_Tbl[[#All],[$ PT COMM]])+  SUMIF(Aug_Period_1_Tbl[[#All],[STAFF:]],$A57,Aug_Period_1_Tbl[[#All],[$ PT COMM]])+  SUMIF(Sep_Period_1_Tbl[[#All],[STAFF:]],$A57,Sep_Period_1_Tbl[[#All],[$ PT COMM]])+  SUMIF(Oct_Period_1_Tbl[[#All],[STAFF:]],$A57,Oct_Period_1_Tbl[[#All],[$ PT COMM]])+     SUMIF(Nov_Period_1_Tbl[[#All],[STAFF:]],$A57,Nov_Period_1_Tbl[[#All],[$ PT COMM]])+  SUMIF(Dec_Period_1_Tbl[[#All],[STAFF:]],$A57,Dec_Period_1_Tbl[[#All],[$ PT COMM]]))+   (SUMIF(Jan_Period_2_Tbl[[#All],[STAFF:]],$A57,Jan_Period_2_Tbl[[#All],[$ PT COMM]])+
SUMIF(Feb_Period_2_Tbl[[#All],[STAFF:]],$A57,Feb_Period_2_Tbl[[#All],[$ PT COMM]])+SUMIF(Mar_Period_2_Tbl[[#All],[STAFF:]],$A57,Mar_Period_2_Tbl[[#All],[$ PT COMM]])+SUMIF(Apr_Period_2_Tbl[[#All],[STAFF:]],$A57,Apr_Period_2_Tbl[[#All],[$ PT COMM]])+   SUMIF(May_Period_2_Tbl[[#All],[STAFF:]],$A57,May_Period_2_Tbl[[#All],[$ PT COMM]])+   SUMIF(Jun_Period_2_Tbl[[#All],[STAFF:]],$A57,Jun_Period_2_Tbl[[#All],[$ PT COMM]])+  SUMIF(Jul_Period_2_Tbl[[#All],[STAFF:]],$A57,Jul_Period_2_Tbl[[#All],[$ PT COMM]])+  SUMIF(Aug_Period_2_Tbl[[#All],[STAFF:]],$A57,Aug_Period_2_Tbl[[#All],[$ PT COMM]])+  SUMIF(Sep_Period_2_Tbl[[#All],[STAFF:]],$A57,Sep_Period_2_Tbl[[#All],[$ PT COMM]])+  SUMIF(Oct_Period_2_Tbl[[#All],[STAFF:]],$A57,Oct_Period_2_Tbl[[#All],[$ PT COMM]])+     SUMIF(Nov_Period_2_Tbl[[#All],[STAFF:]],$A57,Nov_Period_2_Tbl[[#All],[$ PT COMM]])+  SUMIF(Dec_Period_2_Tbl[[#All],[STAFF:]],$A57,Dec_Period_2_Tbl[[#All],[$ PT COMM]]))</f>
        <v>0</v>
      </c>
      <c r="M57" s="190">
        <f>(SUMIF(Jan_Period_1_Tbl[[#All],[STAFF:]],$A57,Jan_Period_1_Tbl[[#All],[$ EFT COMM]])+
SUMIF(Feb_Period_1_Tbl[[#All],[STAFF:]],$A57,Feb_Period_1_Tbl[[#All],[$ EFT COMM]])+SUMIF(Mar_Period_1_Tbl[[#All],[STAFF:]],$A57,Mar_Period_1_Tbl[[#All],[$ EFT COMM]])+SUMIF(Apr_Period_1_Tbl[[#All],[STAFF:]],$A57,Apr_Period_1_Tbl[[#All],[$ EFT COMM]])+   SUMIF(May_Period_1_Tbl[[#All],[STAFF:]],$A57,May_Period_1_Tbl[[#All],[$ EFT COMM]])+   SUMIF(Jun_Period_1_Tbl[[#All],[STAFF:]],$A57,Jun_Period_1_Tbl[[#All],[$ EFT COMM]])+  SUMIF(Jul_Period_1_Tbl[[#All],[STAFF:]],$A57,Jul_Period_1_Tbl[[#All],[$ EFT COMM]])+  SUMIF(Aug_Period_1_Tbl[[#All],[STAFF:]],$A57,Aug_Period_1_Tbl[[#All],[$ EFT COMM]])+  SUMIF(Sep_Period_1_Tbl[[#All],[STAFF:]],$A57,Sep_Period_1_Tbl[[#All],[$ EFT COMM]])+  SUMIF(Oct_Period_1_Tbl[[#All],[STAFF:]],$A57,Oct_Period_1_Tbl[[#All],[$ EFT COMM]])+     SUMIF(Nov_Period_1_Tbl[[#All],[STAFF:]],$A57,Nov_Period_1_Tbl[[#All],[$ EFT COMM]])+  SUMIF(Dec_Period_1_Tbl[[#All],[STAFF:]],$A57,Dec_Period_1_Tbl[[#All],[$ EFT COMM]]))+   (SUMIF(Jan_Period_2_Tbl[[#All],[STAFF:]],$A57,Jan_Period_2_Tbl[[#All],[$ EFT COMM]])+
SUMIF(Feb_Period_2_Tbl[[#All],[STAFF:]],$A57,Feb_Period_2_Tbl[[#All],[$ EFT COMM]])+SUMIF(Mar_Period_2_Tbl[[#All],[STAFF:]],$A57,Mar_Period_2_Tbl[[#All],[$ EFT COMM]])+SUMIF(Apr_Period_2_Tbl[[#All],[STAFF:]],$A57,Apr_Period_2_Tbl[[#All],[$ EFT COMM]])+   SUMIF(May_Period_2_Tbl[[#All],[STAFF:]],$A57,May_Period_2_Tbl[[#All],[$ EFT COMM]])+   SUMIF(Jun_Period_2_Tbl[[#All],[STAFF:]],$A57,Jun_Period_2_Tbl[[#All],[$ EFT COMM]])+  SUMIF(Jul_Period_2_Tbl[[#All],[STAFF:]],$A57,Jul_Period_2_Tbl[[#All],[$ EFT COMM]])+  SUMIF(Aug_Period_2_Tbl[[#All],[STAFF:]],$A57,Aug_Period_2_Tbl[[#All],[$ EFT COMM]])+  SUMIF(Sep_Period_2_Tbl[[#All],[STAFF:]],$A57,Sep_Period_2_Tbl[[#All],[$ EFT COMM]])+  SUMIF(Oct_Period_2_Tbl[[#All],[STAFF:]],$A57,Oct_Period_2_Tbl[[#All],[$ EFT COMM]])+     SUMIF(Nov_Period_2_Tbl[[#All],[STAFF:]],$A57,Nov_Period_2_Tbl[[#All],[$ EFT COMM]])+  SUMIF(Dec_Period_2_Tbl[[#All],[STAFF:]],$A57,Dec_Period_2_Tbl[[#All],[$ EFT COMM]]))</f>
        <v>0</v>
      </c>
      <c r="N57" s="190">
        <f>(SUMIF(Jan_Period_1_Tbl[[#All],[STAFF:]],$A57,Jan_Period_1_Tbl[[#All],[$ CLASS PAY]])+
SUMIF(Feb_Period_1_Tbl[[#All],[STAFF:]],$A57,Feb_Period_1_Tbl[[#All],[$ CLASS PAY]])+SUMIF(Mar_Period_1_Tbl[[#All],[STAFF:]],$A57,Mar_Period_1_Tbl[[#All],[$ CLASS PAY]])+SUMIF(Apr_Period_1_Tbl[[#All],[STAFF:]],$A57,Apr_Period_1_Tbl[[#All],[$ CLASS PAY]])+   SUMIF(May_Period_1_Tbl[[#All],[STAFF:]],$A57,May_Period_1_Tbl[[#All],[$ CLASS PAY]])+   SUMIF(Jun_Period_1_Tbl[[#All],[STAFF:]],$A57,Jun_Period_1_Tbl[[#All],[$ CLASS PAY]])+  SUMIF(Jul_Period_1_Tbl[[#All],[STAFF:]],$A57,Jul_Period_1_Tbl[[#All],[$ CLASS PAY]])+  SUMIF(Aug_Period_1_Tbl[[#All],[STAFF:]],$A57,Aug_Period_1_Tbl[[#All],[$ CLASS PAY]])+  SUMIF(Sep_Period_1_Tbl[[#All],[STAFF:]],$A57,Sep_Period_1_Tbl[[#All],[$ CLASS PAY]])+  SUMIF(Oct_Period_1_Tbl[[#All],[STAFF:]],$A57,Oct_Period_1_Tbl[[#All],[$ CLASS PAY]])+     SUMIF(Nov_Period_1_Tbl[[#All],[STAFF:]],$A57,Nov_Period_1_Tbl[[#All],[$ CLASS PAY]])+  SUMIF(Dec_Period_1_Tbl[[#All],[STAFF:]],$A57,Dec_Period_1_Tbl[[#All],[$ CLASS PAY]]))+   (SUMIF(Jan_Period_2_Tbl[[#All],[STAFF:]],$A57,Jan_Period_2_Tbl[[#All],[$ CLASS PAY]])+
SUMIF(Feb_Period_2_Tbl[[#All],[STAFF:]],$A57,Feb_Period_2_Tbl[[#All],[$ CLASS PAY]])+SUMIF(Mar_Period_2_Tbl[[#All],[STAFF:]],$A57,Mar_Period_2_Tbl[[#All],[$ CLASS PAY]])+SUMIF(Apr_Period_2_Tbl[[#All],[STAFF:]],$A57,Apr_Period_2_Tbl[[#All],[$ CLASS PAY]])+   SUMIF(May_Period_2_Tbl[[#All],[STAFF:]],$A57,May_Period_2_Tbl[[#All],[$ CLASS PAY]])+   SUMIF(Jun_Period_2_Tbl[[#All],[STAFF:]],$A57,Jun_Period_2_Tbl[[#All],[$ CLASS PAY]])+  SUMIF(Jul_Period_2_Tbl[[#All],[STAFF:]],$A57,Jul_Period_2_Tbl[[#All],[$ CLASS PAY]])+  SUMIF(Aug_Period_2_Tbl[[#All],[STAFF:]],$A57,Aug_Period_2_Tbl[[#All],[$ CLASS PAY]])+  SUMIF(Sep_Period_2_Tbl[[#All],[STAFF:]],$A57,Sep_Period_2_Tbl[[#All],[$ CLASS PAY]])+  SUMIF(Oct_Period_2_Tbl[[#All],[STAFF:]],$A57,Oct_Period_2_Tbl[[#All],[$ CLASS PAY]])+     SUMIF(Nov_Period_2_Tbl[[#All],[STAFF:]],$A57,Nov_Period_2_Tbl[[#All],[$ CLASS PAY]])+  SUMIF(Dec_Period_2_Tbl[[#All],[STAFF:]],$A57,Dec_Period_2_Tbl[[#All],[$ CLASS PAY]]))</f>
        <v>0</v>
      </c>
      <c r="O57" s="191">
        <f>(SUMIF(Jan_Period_1_Tbl[[#All],[STAFF:]],$A57,Jan_Period_1_Tbl[[#All],[$ BONUS PAY]])+
SUMIF(Feb_Period_1_Tbl[[#All],[STAFF:]],$A57,Feb_Period_1_Tbl[[#All],[$ BONUS PAY]])+SUMIF(Mar_Period_1_Tbl[[#All],[STAFF:]],$A57,Mar_Period_1_Tbl[[#All],[$ BONUS PAY]])+SUMIF(Apr_Period_1_Tbl[[#All],[STAFF:]],$A57,Apr_Period_1_Tbl[[#All],[$ BONUS PAY]])+   SUMIF(May_Period_1_Tbl[[#All],[STAFF:]],$A57,May_Period_1_Tbl[[#All],[$ BONUS PAY]])+   SUMIF(Jun_Period_1_Tbl[[#All],[STAFF:]],$A57,Jun_Period_1_Tbl[[#All],[$ BONUS PAY]])+  SUMIF(Jul_Period_1_Tbl[[#All],[STAFF:]],$A57,Jul_Period_1_Tbl[[#All],[$ BONUS PAY]])+  SUMIF(Aug_Period_1_Tbl[[#All],[STAFF:]],$A57,Aug_Period_1_Tbl[[#All],[$ BONUS PAY]])+  SUMIF(Sep_Period_1_Tbl[[#All],[STAFF:]],$A57,Sep_Period_1_Tbl[[#All],[$ BONUS PAY]])+  SUMIF(Oct_Period_1_Tbl[[#All],[STAFF:]],$A57,Oct_Period_1_Tbl[[#All],[$ BONUS PAY]])+     SUMIF(Nov_Period_1_Tbl[[#All],[STAFF:]],$A57,Nov_Period_1_Tbl[[#All],[$ BONUS PAY]])+  SUMIF(Dec_Period_1_Tbl[[#All],[STAFF:]],$A57,Dec_Period_1_Tbl[[#All],[$ BONUS PAY]]))+   (SUMIF(Jan_Period_2_Tbl[[#All],[STAFF:]],$A57,Jan_Period_2_Tbl[[#All],[$ BONUS PAY]])+
SUMIF(Feb_Period_2_Tbl[[#All],[STAFF:]],$A57,Feb_Period_2_Tbl[[#All],[$ BONUS PAY]])+SUMIF(Mar_Period_2_Tbl[[#All],[STAFF:]],$A57,Mar_Period_2_Tbl[[#All],[$ BONUS PAY]])+SUMIF(Apr_Period_2_Tbl[[#All],[STAFF:]],$A57,Apr_Period_2_Tbl[[#All],[$ BONUS PAY]])+   SUMIF(May_Period_2_Tbl[[#All],[STAFF:]],$A57,May_Period_2_Tbl[[#All],[$ BONUS PAY]])+   SUMIF(Jun_Period_2_Tbl[[#All],[STAFF:]],$A57,Jun_Period_2_Tbl[[#All],[$ BONUS PAY]])+  SUMIF(Jul_Period_2_Tbl[[#All],[STAFF:]],$A57,Jul_Period_2_Tbl[[#All],[$ BONUS PAY]])+  SUMIF(Aug_Period_2_Tbl[[#All],[STAFF:]],$A57,Aug_Period_2_Tbl[[#All],[$ BONUS PAY]])+  SUMIF(Sep_Period_2_Tbl[[#All],[STAFF:]],$A57,Sep_Period_2_Tbl[[#All],[$ BONUS PAY]])+  SUMIF(Oct_Period_2_Tbl[[#All],[STAFF:]],$A57,Oct_Period_2_Tbl[[#All],[$ BONUS PAY]])+     SUMIF(Nov_Period_2_Tbl[[#All],[STAFF:]],$A57,Nov_Period_2_Tbl[[#All],[$ BONUS PAY]])+  SUMIF(Dec_Period_2_Tbl[[#All],[STAFF:]],$A57,Dec_Period_2_Tbl[[#All],[$ BONUS PAY]]))</f>
        <v>0</v>
      </c>
      <c r="P57" s="179">
        <f t="shared" si="9"/>
        <v>0</v>
      </c>
      <c r="Q57" s="149"/>
      <c r="R57" s="153">
        <f>(SUMIF(Jan_Period_1_Tbl[[#All],[STAFF:]],$A57,Jan_Period_1_Tbl[[#All],['# POINTS EARNED]])+
SUMIF(Feb_Period_1_Tbl[[#All],[STAFF:]],$A57,Feb_Period_1_Tbl[[#All],['# POINTS EARNED]])+SUMIF(Mar_Period_1_Tbl[[#All],[STAFF:]],$A57,Mar_Period_1_Tbl[[#All],['# POINTS EARNED]])+SUMIF(Apr_Period_1_Tbl[[#All],[STAFF:]],$A57,Apr_Period_1_Tbl[[#All],['# POINTS EARNED]])+   SUMIF(May_Period_1_Tbl[[#All],[STAFF:]],$A57,May_Period_1_Tbl[[#All],['# POINTS EARNED]])+   SUMIF(Jun_Period_1_Tbl[[#All],[STAFF:]],$A57,Jun_Period_1_Tbl[[#All],['# POINTS EARNED]])+  SUMIF(Jul_Period_1_Tbl[[#All],[STAFF:]],$A57,Jul_Period_1_Tbl[[#All],['# POINTS EARNED]])+  SUMIF(Aug_Period_1_Tbl[[#All],[STAFF:]],$A57,Aug_Period_1_Tbl[[#All],['# POINTS EARNED]])+  SUMIF(Sep_Period_1_Tbl[[#All],[STAFF:]],$A57,Sep_Period_1_Tbl[[#All],['# POINTS EARNED]])+  SUMIF(Oct_Period_1_Tbl[[#All],[STAFF:]],$A57,Oct_Period_1_Tbl[[#All],['# POINTS EARNED]])+     SUMIF(Nov_Period_1_Tbl[[#All],[STAFF:]],$A57,Nov_Period_1_Tbl[[#All],['# POINTS EARNED]])+  SUMIF(Dec_Period_1_Tbl[[#All],[STAFF:]],$A57,Dec_Period_1_Tbl[[#All],['# POINTS EARNED]]))+   (SUMIF(Jan_Period_2_Tbl[[#All],[STAFF:]],$A57,Jan_Period_2_Tbl[[#All],['# POINTS EARNED]])+
SUMIF(Feb_Period_2_Tbl[[#All],[STAFF:]],$A57,Feb_Period_2_Tbl[[#All],['# POINTS EARNED]])+SUMIF(Mar_Period_2_Tbl[[#All],[STAFF:]],$A57,Mar_Period_2_Tbl[[#All],['# POINTS EARNED]])+SUMIF(Apr_Period_2_Tbl[[#All],[STAFF:]],$A57,Apr_Period_2_Tbl[[#All],['# POINTS EARNED]])+   SUMIF(May_Period_2_Tbl[[#All],[STAFF:]],$A57,May_Period_2_Tbl[[#All],['# POINTS EARNED]])+   SUMIF(Jun_Period_2_Tbl[[#All],[STAFF:]],$A57,Jun_Period_2_Tbl[[#All],['# POINTS EARNED]])+  SUMIF(Jul_Period_2_Tbl[[#All],[STAFF:]],$A57,Jul_Period_2_Tbl[[#All],['# POINTS EARNED]])+  SUMIF(Aug_Period_2_Tbl[[#All],[STAFF:]],$A57,Aug_Period_2_Tbl[[#All],['# POINTS EARNED]])+  SUMIF(Sep_Period_2_Tbl[[#All],[STAFF:]],$A57,Sep_Period_2_Tbl[[#All],['# POINTS EARNED]])+  SUMIF(Oct_Period_2_Tbl[[#All],[STAFF:]],$A57,Oct_Period_2_Tbl[[#All],['# POINTS EARNED]])+     SUMIF(Nov_Period_2_Tbl[[#All],[STAFF:]],$A57,Nov_Period_2_Tbl[[#All],['# POINTS EARNED]])+  SUMIF(Dec_Period_2_Tbl[[#All],[STAFF:]],$A57,Dec_Period_2_Tbl[[#All],['# POINTS EARNED]]))</f>
        <v>0</v>
      </c>
      <c r="S57" s="153">
        <f>(SUMIF(Jan_Period_1_Tbl[[#All],[STAFF:]],$A57,Jan_Period_1_Tbl[[#All],['# POINTS USED]])+
SUMIF(Feb_Period_1_Tbl[[#All],[STAFF:]],$A57,Feb_Period_1_Tbl[[#All],['# POINTS USED]])+SUMIF(Mar_Period_1_Tbl[[#All],[STAFF:]],$A57,Mar_Period_1_Tbl[[#All],['# POINTS USED]])+SUMIF(Apr_Period_1_Tbl[[#All],[STAFF:]],$A57,Apr_Period_1_Tbl[[#All],['# POINTS USED]])+   SUMIF(May_Period_1_Tbl[[#All],[STAFF:]],$A57,May_Period_1_Tbl[[#All],['# POINTS USED]])+   SUMIF(Jun_Period_1_Tbl[[#All],[STAFF:]],$A57,Jun_Period_1_Tbl[[#All],['# POINTS USED]])+  SUMIF(Jul_Period_1_Tbl[[#All],[STAFF:]],$A57,Jul_Period_1_Tbl[[#All],['# POINTS USED]])+  SUMIF(Aug_Period_1_Tbl[[#All],[STAFF:]],$A57,Aug_Period_1_Tbl[[#All],['# POINTS USED]])+  SUMIF(Sep_Period_1_Tbl[[#All],[STAFF:]],$A57,Sep_Period_1_Tbl[[#All],['# POINTS USED]])+  SUMIF(Oct_Period_1_Tbl[[#All],[STAFF:]],$A57,Oct_Period_1_Tbl[[#All],['# POINTS USED]])+     SUMIF(Nov_Period_1_Tbl[[#All],[STAFF:]],$A57,Nov_Period_1_Tbl[[#All],['# POINTS USED]])+  SUMIF(Dec_Period_1_Tbl[[#All],[STAFF:]],$A57,Dec_Period_1_Tbl[[#All],['# POINTS USED]]))+   (SUMIF(Jan_Period_2_Tbl[[#All],[STAFF:]],$A57,Jan_Period_2_Tbl[[#All],['# POINTS USED]])+
SUMIF(Feb_Period_2_Tbl[[#All],[STAFF:]],$A57,Feb_Period_2_Tbl[[#All],['# POINTS USED]])+SUMIF(Mar_Period_2_Tbl[[#All],[STAFF:]],$A57,Mar_Period_2_Tbl[[#All],['# POINTS USED]])+SUMIF(Apr_Period_2_Tbl[[#All],[STAFF:]],$A57,Apr_Period_2_Tbl[[#All],['# POINTS USED]])+   SUMIF(May_Period_2_Tbl[[#All],[STAFF:]],$A57,May_Period_2_Tbl[[#All],['# POINTS USED]])+   SUMIF(Jun_Period_2_Tbl[[#All],[STAFF:]],$A57,Jun_Period_2_Tbl[[#All],['# POINTS USED]])+  SUMIF(Jul_Period_2_Tbl[[#All],[STAFF:]],$A57,Jul_Period_2_Tbl[[#All],['# POINTS USED]])+  SUMIF(Aug_Period_2_Tbl[[#All],[STAFF:]],$A57,Aug_Period_2_Tbl[[#All],['# POINTS USED]])+  SUMIF(Sep_Period_2_Tbl[[#All],[STAFF:]],$A57,Sep_Period_2_Tbl[[#All],['# POINTS USED]])+  SUMIF(Oct_Period_2_Tbl[[#All],[STAFF:]],$A57,Oct_Period_2_Tbl[[#All],['# POINTS USED]])+     SUMIF(Nov_Period_2_Tbl[[#All],[STAFF:]],$A57,Nov_Period_2_Tbl[[#All],['# POINTS USED]])+  SUMIF(Dec_Period_2_Tbl[[#All],[STAFF:]],$A57,Dec_Period_2_Tbl[[#All],['# POINTS USED]]))</f>
        <v>0</v>
      </c>
      <c r="T57" s="153">
        <f>(SUMIF(Jan_Period_1_Tbl[[#All],[STAFF:]],$A57,Jan_Period_1_Tbl[[#All],['# CLASSES LEAD]])+
SUMIF(Feb_Period_1_Tbl[[#All],[STAFF:]],$A57,Feb_Period_1_Tbl[[#All],['# CLASSES LEAD]])+SUMIF(Mar_Period_1_Tbl[[#All],[STAFF:]],$A57,Mar_Period_1_Tbl[[#All],['# CLASSES LEAD]])+SUMIF(Apr_Period_1_Tbl[[#All],[STAFF:]],$A57,Apr_Period_1_Tbl[[#All],['# CLASSES LEAD]])+   SUMIF(May_Period_1_Tbl[[#All],[STAFF:]],$A57,May_Period_1_Tbl[[#All],['# CLASSES LEAD]])+   SUMIF(Jun_Period_1_Tbl[[#All],[STAFF:]],$A57,Jun_Period_1_Tbl[[#All],['# CLASSES LEAD]])+  SUMIF(Jul_Period_1_Tbl[[#All],[STAFF:]],$A57,Jul_Period_1_Tbl[[#All],['# CLASSES LEAD]])+  SUMIF(Aug_Period_1_Tbl[[#All],[STAFF:]],$A57,Aug_Period_1_Tbl[[#All],['# CLASSES LEAD]])+  SUMIF(Sep_Period_1_Tbl[[#All],[STAFF:]],$A57,Sep_Period_1_Tbl[[#All],['# CLASSES LEAD]])+  SUMIF(Oct_Period_1_Tbl[[#All],[STAFF:]],$A57,Oct_Period_1_Tbl[[#All],['# CLASSES LEAD]])+     SUMIF(Nov_Period_1_Tbl[[#All],[STAFF:]],$A57,Nov_Period_1_Tbl[[#All],['# CLASSES LEAD]])+  SUMIF(Dec_Period_1_Tbl[[#All],[STAFF:]],$A57,Dec_Period_1_Tbl[[#All],['# CLASSES LEAD]]))+   (SUMIF(Jan_Period_2_Tbl[[#All],[STAFF:]],$A57,Jan_Period_2_Tbl[[#All],['# CLASSES LEAD]])+
SUMIF(Feb_Period_2_Tbl[[#All],[STAFF:]],$A57,Feb_Period_2_Tbl[[#All],['# CLASSES LEAD]])+SUMIF(Mar_Period_2_Tbl[[#All],[STAFF:]],$A57,Mar_Period_2_Tbl[[#All],['# CLASSES LEAD]])+SUMIF(Apr_Period_2_Tbl[[#All],[STAFF:]],$A57,Apr_Period_2_Tbl[[#All],['# CLASSES LEAD]])+   SUMIF(May_Period_2_Tbl[[#All],[STAFF:]],$A57,May_Period_2_Tbl[[#All],['# CLASSES LEAD]])+   SUMIF(Jun_Period_2_Tbl[[#All],[STAFF:]],$A57,Jun_Period_2_Tbl[[#All],['# CLASSES LEAD]])+  SUMIF(Jul_Period_2_Tbl[[#All],[STAFF:]],$A57,Jul_Period_2_Tbl[[#All],['# CLASSES LEAD]])+  SUMIF(Aug_Period_2_Tbl[[#All],[STAFF:]],$A57,Aug_Period_2_Tbl[[#All],['# CLASSES LEAD]])+  SUMIF(Sep_Period_2_Tbl[[#All],[STAFF:]],$A57,Sep_Period_2_Tbl[[#All],['# CLASSES LEAD]])+  SUMIF(Oct_Period_2_Tbl[[#All],[STAFF:]],$A57,Oct_Period_2_Tbl[[#All],['# CLASSES LEAD]])+     SUMIF(Nov_Period_2_Tbl[[#All],[STAFF:]],$A57,Nov_Period_2_Tbl[[#All],['# CLASSES LEAD]])+  SUMIF(Dec_Period_2_Tbl[[#All],[STAFF:]],$A57,Dec_Period_2_Tbl[[#All],['# CLASSES LEAD]]))</f>
        <v>0</v>
      </c>
      <c r="U57" s="153">
        <f>(SUMIF(Jan_Period_1_Tbl[[#All],[STAFF:]],$A57,Jan_Period_1_Tbl[[#All],['# CLASSES SHOW]])+
SUMIF(Feb_Period_1_Tbl[[#All],[STAFF:]],$A57,Feb_Period_1_Tbl[[#All],['# CLASSES SHOW]])+SUMIF(Mar_Period_1_Tbl[[#All],[STAFF:]],$A57,Mar_Period_1_Tbl[[#All],['# CLASSES SHOW]])+SUMIF(Apr_Period_1_Tbl[[#All],[STAFF:]],$A57,Apr_Period_1_Tbl[[#All],['# CLASSES SHOW]])+   SUMIF(May_Period_1_Tbl[[#All],[STAFF:]],$A57,May_Period_1_Tbl[[#All],['# CLASSES SHOW]])+   SUMIF(Jun_Period_1_Tbl[[#All],[STAFF:]],$A57,Jun_Period_1_Tbl[[#All],['# CLASSES SHOW]])+  SUMIF(Jul_Period_1_Tbl[[#All],[STAFF:]],$A57,Jul_Period_1_Tbl[[#All],['# CLASSES SHOW]])+  SUMIF(Aug_Period_1_Tbl[[#All],[STAFF:]],$A57,Aug_Period_1_Tbl[[#All],['# CLASSES SHOW]])+  SUMIF(Sep_Period_1_Tbl[[#All],[STAFF:]],$A57,Sep_Period_1_Tbl[[#All],['# CLASSES SHOW]])+  SUMIF(Oct_Period_1_Tbl[[#All],[STAFF:]],$A57,Oct_Period_1_Tbl[[#All],['# CLASSES SHOW]])+     SUMIF(Nov_Period_1_Tbl[[#All],[STAFF:]],$A57,Nov_Period_1_Tbl[[#All],['# CLASSES SHOW]])+  SUMIF(Dec_Period_1_Tbl[[#All],[STAFF:]],$A57,Dec_Period_1_Tbl[[#All],['# CLASSES SHOW]]))+   (SUMIF(Jan_Period_2_Tbl[[#All],[STAFF:]],$A57,Jan_Period_2_Tbl[[#All],['# CLASSES SHOW]])+
SUMIF(Feb_Period_2_Tbl[[#All],[STAFF:]],$A57,Feb_Period_2_Tbl[[#All],['# CLASSES SHOW]])+SUMIF(Mar_Period_2_Tbl[[#All],[STAFF:]],$A57,Mar_Period_2_Tbl[[#All],['# CLASSES SHOW]])+SUMIF(Apr_Period_2_Tbl[[#All],[STAFF:]],$A57,Apr_Period_2_Tbl[[#All],['# CLASSES SHOW]])+   SUMIF(May_Period_2_Tbl[[#All],[STAFF:]],$A57,May_Period_2_Tbl[[#All],['# CLASSES SHOW]])+   SUMIF(Jun_Period_2_Tbl[[#All],[STAFF:]],$A57,Jun_Period_2_Tbl[[#All],['# CLASSES SHOW]])+  SUMIF(Jul_Period_2_Tbl[[#All],[STAFF:]],$A57,Jul_Period_2_Tbl[[#All],['# CLASSES SHOW]])+  SUMIF(Aug_Period_2_Tbl[[#All],[STAFF:]],$A57,Aug_Period_2_Tbl[[#All],['# CLASSES SHOW]])+  SUMIF(Sep_Period_2_Tbl[[#All],[STAFF:]],$A57,Sep_Period_2_Tbl[[#All],['# CLASSES SHOW]])+  SUMIF(Oct_Period_2_Tbl[[#All],[STAFF:]],$A57,Oct_Period_2_Tbl[[#All],['# CLASSES SHOW]])+     SUMIF(Nov_Period_2_Tbl[[#All],[STAFF:]],$A57,Nov_Period_2_Tbl[[#All],['# CLASSES SHOW]])+  SUMIF(Dec_Period_2_Tbl[[#All],[STAFF:]],$A57,Dec_Period_2_Tbl[[#All],['# CLASSES SHOW]]))</f>
        <v>0</v>
      </c>
      <c r="V57" s="156"/>
      <c r="W57" s="156"/>
      <c r="X57" s="155">
        <f t="shared" si="10"/>
        <v>0</v>
      </c>
      <c r="Y57" s="155">
        <f t="shared" si="11"/>
        <v>0</v>
      </c>
      <c r="Z57" s="155">
        <f t="shared" si="12"/>
        <v>0</v>
      </c>
      <c r="AA57" s="155">
        <f t="shared" si="13"/>
        <v>0</v>
      </c>
      <c r="AB57" s="155">
        <f t="shared" si="14"/>
        <v>0</v>
      </c>
      <c r="AC57" s="155">
        <f t="shared" si="15"/>
        <v>0</v>
      </c>
      <c r="AD57" s="155">
        <f t="shared" si="16"/>
        <v>0</v>
      </c>
      <c r="AE57" s="149"/>
      <c r="AF57" s="149"/>
      <c r="AG57" s="149"/>
      <c r="AH57" s="149"/>
      <c r="AJ57" s="75" t="str">
        <f t="shared" si="17"/>
        <v>zBlank</v>
      </c>
      <c r="AK57" s="210"/>
      <c r="AL57" s="168">
        <f>IFERROR(VLOOKUP(B57,List!$A:$B,2,FALSE),-1)</f>
        <v>-1</v>
      </c>
      <c r="AM57" s="168">
        <f>IFERROR(VLOOKUP(C57,List!$A:$B,2,FALSE),-1)</f>
        <v>-1</v>
      </c>
    </row>
    <row r="58" spans="1:39" ht="15" hidden="1" customHeight="1" x14ac:dyDescent="0.25">
      <c r="A58" s="20"/>
      <c r="B58" s="186"/>
      <c r="C58" s="186"/>
      <c r="D58" s="187"/>
      <c r="E58" s="188">
        <f>(SUMIF(Jan_Period_1_Tbl[[#All],[STAFF:]],$A58,Jan_Period_1_Tbl[[#All],['# PTO USED]])+
SUMIF(Feb_Period_1_Tbl[[#All],[STAFF:]],$A58,Feb_Period_1_Tbl[[#All],['# PTO USED]])+SUMIF(Mar_Period_1_Tbl[[#All],[STAFF:]],$A58,Mar_Period_1_Tbl[[#All],['# PTO USED]])+SUMIF(Apr_Period_1_Tbl[[#All],[STAFF:]],$A58,Apr_Period_1_Tbl[[#All],['# PTO USED]])+   SUMIF(May_Period_1_Tbl[[#All],[STAFF:]],$A58,May_Period_1_Tbl[[#All],['# PTO USED]])+   SUMIF(Jun_Period_1_Tbl[[#All],[STAFF:]],$A58,Jun_Period_1_Tbl[[#All],['# PTO USED]])+  SUMIF(Jul_Period_1_Tbl[[#All],[STAFF:]],$A58,Jul_Period_1_Tbl[[#All],['# PTO USED]])+  SUMIF(Aug_Period_1_Tbl[[#All],[STAFF:]],$A58,Aug_Period_1_Tbl[[#All],['# PTO USED]])+  SUMIF(Sep_Period_1_Tbl[[#All],[STAFF:]],$A58,Sep_Period_1_Tbl[[#All],['# PTO USED]])+  SUMIF(Oct_Period_1_Tbl[[#All],[STAFF:]],$A58,Oct_Period_1_Tbl[[#All],['# PTO USED]])+     SUMIF(Nov_Period_1_Tbl[[#All],[STAFF:]],$A58,Nov_Period_1_Tbl[[#All],['# PTO USED]])+  SUMIF(Dec_Period_1_Tbl[[#All],[STAFF:]],$A58,Dec_Period_1_Tbl[[#All],['# PTO USED]]))+   (SUMIF(Jan_Period_2_Tbl[[#All],[STAFF:]],$A58,Jan_Period_2_Tbl[[#All],['# PTO USED]])+
SUMIF(Feb_Period_2_Tbl[[#All],[STAFF:]],$A58,Feb_Period_2_Tbl[[#All],['# PTO USED]])+SUMIF(Mar_Period_2_Tbl[[#All],[STAFF:]],$A58,Mar_Period_2_Tbl[[#All],['# PTO USED]])+SUMIF(Apr_Period_2_Tbl[[#All],[STAFF:]],$A58,Apr_Period_2_Tbl[[#All],['# PTO USED]])+   SUMIF(May_Period_2_Tbl[[#All],[STAFF:]],$A58,May_Period_2_Tbl[[#All],['# PTO USED]])+   SUMIF(Jun_Period_2_Tbl[[#All],[STAFF:]],$A58,Jun_Period_2_Tbl[[#All],['# PTO USED]])+  SUMIF(Jul_Period_2_Tbl[[#All],[STAFF:]],$A58,Jul_Period_2_Tbl[[#All],['# PTO USED]])+  SUMIF(Aug_Period_2_Tbl[[#All],[STAFF:]],$A58,Aug_Period_2_Tbl[[#All],['# PTO USED]])+  SUMIF(Sep_Period_2_Tbl[[#All],[STAFF:]],$A58,Sep_Period_2_Tbl[[#All],['# PTO USED]])+  SUMIF(Oct_Period_2_Tbl[[#All],[STAFF:]],$A58,Oct_Period_2_Tbl[[#All],['# PTO USED]])+     SUMIF(Nov_Period_2_Tbl[[#All],[STAFF:]],$A58,Nov_Period_2_Tbl[[#All],['# PTO USED]])+  SUMIF(Dec_Period_2_Tbl[[#All],[STAFF:]],$A58,Dec_Period_2_Tbl[[#All],['# PTO USED]]))</f>
        <v>0</v>
      </c>
      <c r="F58" s="189">
        <f>(SUMIF(Jan_Period_1_Tbl[[#All],[STAFF:]],$A58,Jan_Period_1_Tbl[[#All],['# HRS WORKED]])+
SUMIF(Feb_Period_1_Tbl[[#All],[STAFF:]],$A58,Feb_Period_1_Tbl[[#All],['# HRS WORKED]])+SUMIF(Mar_Period_1_Tbl[[#All],[STAFF:]],$A58,Mar_Period_1_Tbl[[#All],['# HRS WORKED]])+SUMIF(Apr_Period_1_Tbl[[#All],[STAFF:]],$A58,Apr_Period_1_Tbl[[#All],['# HRS WORKED]])+   SUMIF(May_Period_1_Tbl[[#All],[STAFF:]],$A58,May_Period_1_Tbl[[#All],['# HRS WORKED]])+   SUMIF(Jun_Period_1_Tbl[[#All],[STAFF:]],$A58,Jun_Period_1_Tbl[[#All],['# HRS WORKED]])+  SUMIF(Jul_Period_1_Tbl[[#All],[STAFF:]],$A58,Jul_Period_1_Tbl[[#All],['# HRS WORKED]])+  SUMIF(Aug_Period_1_Tbl[[#All],[STAFF:]],$A58,Aug_Period_1_Tbl[[#All],['# HRS WORKED]])+  SUMIF(Sep_Period_1_Tbl[[#All],[STAFF:]],$A58,Sep_Period_1_Tbl[[#All],['# HRS WORKED]])+  SUMIF(Oct_Period_1_Tbl[[#All],[STAFF:]],$A58,Oct_Period_1_Tbl[[#All],['# HRS WORKED]])+     SUMIF(Nov_Period_1_Tbl[[#All],[STAFF:]],$A58,Nov_Period_1_Tbl[[#All],['# HRS WORKED]])+  SUMIF(Dec_Period_1_Tbl[[#All],[STAFF:]],$A58,Dec_Period_1_Tbl[[#All],['# HRS WORKED]]))+   (SUMIF(Jan_Period_2_Tbl[[#All],[STAFF:]],$A58,Jan_Period_2_Tbl[[#All],['# HRS WORKED]])+
SUMIF(Feb_Period_2_Tbl[[#All],[STAFF:]],$A58,Feb_Period_2_Tbl[[#All],['# HRS WORKED]])+SUMIF(Mar_Period_2_Tbl[[#All],[STAFF:]],$A58,Mar_Period_2_Tbl[[#All],['# HRS WORKED]])+SUMIF(Apr_Period_2_Tbl[[#All],[STAFF:]],$A58,Apr_Period_2_Tbl[[#All],['# HRS WORKED]])+   SUMIF(May_Period_2_Tbl[[#All],[STAFF:]],$A58,May_Period_2_Tbl[[#All],['# HRS WORKED]])+   SUMIF(Jun_Period_2_Tbl[[#All],[STAFF:]],$A58,Jun_Period_2_Tbl[[#All],['# HRS WORKED]])+  SUMIF(Jul_Period_2_Tbl[[#All],[STAFF:]],$A58,Jul_Period_2_Tbl[[#All],['# HRS WORKED]])+  SUMIF(Aug_Period_2_Tbl[[#All],[STAFF:]],$A58,Aug_Period_2_Tbl[[#All],['# HRS WORKED]])+  SUMIF(Sep_Period_2_Tbl[[#All],[STAFF:]],$A58,Sep_Period_2_Tbl[[#All],['# HRS WORKED]])+  SUMIF(Oct_Period_2_Tbl[[#All],[STAFF:]],$A58,Oct_Period_2_Tbl[[#All],['# HRS WORKED]])+     SUMIF(Nov_Period_2_Tbl[[#All],[STAFF:]],$A58,Nov_Period_2_Tbl[[#All],['# HRS WORKED]])+  SUMIF(Dec_Period_2_Tbl[[#All],[STAFF:]],$A58,Dec_Period_2_Tbl[[#All],['# HRS WORKED]]))</f>
        <v>0</v>
      </c>
      <c r="G58" s="190">
        <f>(SUMIF(Jan_Period_1_Tbl[[#All],[STAFF:]],$A58,Jan_Period_1_Tbl[[#All],[$ Hourly WAGES]])+
SUMIF(Feb_Period_1_Tbl[[#All],[STAFF:]],$A58,Feb_Period_1_Tbl[[#All],[$ Hourly WAGES]])+SUMIF(Mar_Period_1_Tbl[[#All],[STAFF:]],$A58,Mar_Period_1_Tbl[[#All],[$ Hourly WAGES]])+SUMIF(Apr_Period_1_Tbl[[#All],[STAFF:]],$A58,Apr_Period_1_Tbl[[#All],[$ Hourly WAGES]])+   SUMIF(May_Period_1_Tbl[[#All],[STAFF:]],$A58,May_Period_1_Tbl[[#All],[$ Hourly WAGES]])+   SUMIF(Jun_Period_1_Tbl[[#All],[STAFF:]],$A58,Jun_Period_1_Tbl[[#All],[$ Hourly WAGES]])+  SUMIF(Jul_Period_1_Tbl[[#All],[STAFF:]],$A58,Jul_Period_1_Tbl[[#All],[$ Hourly WAGES]])+  SUMIF(Aug_Period_1_Tbl[[#All],[STAFF:]],$A58,Aug_Period_1_Tbl[[#All],[$ Hourly WAGES]])+  SUMIF(Sep_Period_1_Tbl[[#All],[STAFF:]],$A58,Sep_Period_1_Tbl[[#All],[$ Hourly WAGES]])+  SUMIF(Oct_Period_1_Tbl[[#All],[STAFF:]],$A58,Oct_Period_1_Tbl[[#All],[$ Hourly WAGES]])+     SUMIF(Nov_Period_1_Tbl[[#All],[STAFF:]],$A58,Nov_Period_1_Tbl[[#All],[$ Hourly WAGES]])+  SUMIF(Dec_Period_1_Tbl[[#All],[STAFF:]],$A58,Dec_Period_1_Tbl[[#All],[$ Hourly WAGES]]))+   (SUMIF(Jan_Period_2_Tbl[[#All],[STAFF:]],$A58,Jan_Period_2_Tbl[[#All],[$ Hourly WAGES]])+
SUMIF(Feb_Period_2_Tbl[[#All],[STAFF:]],$A58,Feb_Period_2_Tbl[[#All],[$ Hourly WAGES]])+SUMIF(Mar_Period_2_Tbl[[#All],[STAFF:]],$A58,Mar_Period_2_Tbl[[#All],[$ Hourly WAGES]])+SUMIF(Apr_Period_2_Tbl[[#All],[STAFF:]],$A58,Apr_Period_2_Tbl[[#All],[$ Hourly WAGES]])+   SUMIF(May_Period_2_Tbl[[#All],[STAFF:]],$A58,May_Period_2_Tbl[[#All],[$ Hourly WAGES]])+   SUMIF(Jun_Period_2_Tbl[[#All],[STAFF:]],$A58,Jun_Period_2_Tbl[[#All],[$ Hourly WAGES]])+  SUMIF(Jul_Period_2_Tbl[[#All],[STAFF:]],$A58,Jul_Period_2_Tbl[[#All],[$ Hourly WAGES]])+  SUMIF(Aug_Period_2_Tbl[[#All],[STAFF:]],$A58,Aug_Period_2_Tbl[[#All],[$ Hourly WAGES]])+  SUMIF(Sep_Period_2_Tbl[[#All],[STAFF:]],$A58,Sep_Period_2_Tbl[[#All],[$ Hourly WAGES]])+  SUMIF(Oct_Period_2_Tbl[[#All],[STAFF:]],$A58,Oct_Period_2_Tbl[[#All],[$ Hourly WAGES]])+     SUMIF(Nov_Period_2_Tbl[[#All],[STAFF:]],$A58,Nov_Period_2_Tbl[[#All],[$ Hourly WAGES]])+  SUMIF(Dec_Period_2_Tbl[[#All],[STAFF:]],$A58,Dec_Period_2_Tbl[[#All],[$ Hourly WAGES]]))</f>
        <v>0</v>
      </c>
      <c r="H58" s="190">
        <f>(SUMIF(Jan_Period_1_Tbl[[#All],[STAFF:]],$A58,Jan_Period_1_Tbl[[#All],[$ SALARY]])+
SUMIF(Feb_Period_1_Tbl[[#All],[STAFF:]],$A58,Feb_Period_1_Tbl[[#All],[$ SALARY]])+SUMIF(Mar_Period_1_Tbl[[#All],[STAFF:]],$A58,Mar_Period_1_Tbl[[#All],[$ SALARY]])+SUMIF(Apr_Period_1_Tbl[[#All],[STAFF:]],$A58,Apr_Period_1_Tbl[[#All],[$ SALARY]])+   SUMIF(May_Period_1_Tbl[[#All],[STAFF:]],$A58,May_Period_1_Tbl[[#All],[$ SALARY]])+   SUMIF(Jun_Period_1_Tbl[[#All],[STAFF:]],$A58,Jun_Period_1_Tbl[[#All],[$ SALARY]])+  SUMIF(Jul_Period_1_Tbl[[#All],[STAFF:]],$A58,Jul_Period_1_Tbl[[#All],[$ SALARY]])+  SUMIF(Aug_Period_1_Tbl[[#All],[STAFF:]],$A58,Aug_Period_1_Tbl[[#All],[$ SALARY]])+  SUMIF(Sep_Period_1_Tbl[[#All],[STAFF:]],$A58,Sep_Period_1_Tbl[[#All],[$ SALARY]])+  SUMIF(Oct_Period_1_Tbl[[#All],[STAFF:]],$A58,Oct_Period_1_Tbl[[#All],[$ SALARY]])+     SUMIF(Nov_Period_1_Tbl[[#All],[STAFF:]],$A58,Nov_Period_1_Tbl[[#All],[$ SALARY]])+  SUMIF(Dec_Period_1_Tbl[[#All],[STAFF:]],$A58,Dec_Period_1_Tbl[[#All],[$ SALARY]]))+   (SUMIF(Jan_Period_2_Tbl[[#All],[STAFF:]],$A58,Jan_Period_2_Tbl[[#All],[$ SALARY]])+
SUMIF(Feb_Period_2_Tbl[[#All],[STAFF:]],$A58,Feb_Period_2_Tbl[[#All],[$ SALARY]])+SUMIF(Mar_Period_2_Tbl[[#All],[STAFF:]],$A58,Mar_Period_2_Tbl[[#All],[$ SALARY]])+SUMIF(Apr_Period_2_Tbl[[#All],[STAFF:]],$A58,Apr_Period_2_Tbl[[#All],[$ SALARY]])+   SUMIF(May_Period_2_Tbl[[#All],[STAFF:]],$A58,May_Period_2_Tbl[[#All],[$ SALARY]])+   SUMIF(Jun_Period_2_Tbl[[#All],[STAFF:]],$A58,Jun_Period_2_Tbl[[#All],[$ SALARY]])+  SUMIF(Jul_Period_2_Tbl[[#All],[STAFF:]],$A58,Jul_Period_2_Tbl[[#All],[$ SALARY]])+  SUMIF(Aug_Period_2_Tbl[[#All],[STAFF:]],$A58,Aug_Period_2_Tbl[[#All],[$ SALARY]])+  SUMIF(Sep_Period_2_Tbl[[#All],[STAFF:]],$A58,Sep_Period_2_Tbl[[#All],[$ SALARY]])+  SUMIF(Oct_Period_2_Tbl[[#All],[STAFF:]],$A58,Oct_Period_2_Tbl[[#All],[$ SALARY]])+     SUMIF(Nov_Period_2_Tbl[[#All],[STAFF:]],$A58,Nov_Period_2_Tbl[[#All],[$ SALARY]])+  SUMIF(Dec_Period_2_Tbl[[#All],[STAFF:]],$A58,Dec_Period_2_Tbl[[#All],[$ SALARY]]))</f>
        <v>0</v>
      </c>
      <c r="I58" s="190">
        <f>(SUMIF(Jan_Period_1_Tbl[[#All],[STAFF:]],$A58,Jan_Period_1_Tbl[[#All],[$ SALARY PT]])+
SUMIF(Feb_Period_1_Tbl[[#All],[STAFF:]],$A58,Feb_Period_1_Tbl[[#All],[$ SALARY PT]])+SUMIF(Mar_Period_1_Tbl[[#All],[STAFF:]],$A58,Mar_Period_1_Tbl[[#All],[$ SALARY PT]])+SUMIF(Apr_Period_1_Tbl[[#All],[STAFF:]],$A58,Apr_Period_1_Tbl[[#All],[$ SALARY PT]])+   SUMIF(May_Period_1_Tbl[[#All],[STAFF:]],$A58,May_Period_1_Tbl[[#All],[$ SALARY PT]])+   SUMIF(Jun_Period_1_Tbl[[#All],[STAFF:]],$A58,Jun_Period_1_Tbl[[#All],[$ SALARY PT]])+  SUMIF(Jul_Period_1_Tbl[[#All],[STAFF:]],$A58,Jul_Period_1_Tbl[[#All],[$ SALARY PT]])+  SUMIF(Aug_Period_1_Tbl[[#All],[STAFF:]],$A58,Aug_Period_1_Tbl[[#All],[$ SALARY PT]])+  SUMIF(Sep_Period_1_Tbl[[#All],[STAFF:]],$A58,Sep_Period_1_Tbl[[#All],[$ SALARY PT]])+  SUMIF(Oct_Period_1_Tbl[[#All],[STAFF:]],$A58,Oct_Period_1_Tbl[[#All],[$ SALARY PT]])+     SUMIF(Nov_Period_1_Tbl[[#All],[STAFF:]],$A58,Nov_Period_1_Tbl[[#All],[$ SALARY PT]])+  SUMIF(Dec_Period_1_Tbl[[#All],[STAFF:]],$A58,Dec_Period_1_Tbl[[#All],[$ SALARY PT]]))+   (SUMIF(Jan_Period_2_Tbl[[#All],[STAFF:]],$A58,Jan_Period_2_Tbl[[#All],[$ SALARY PT]])+
SUMIF(Feb_Period_2_Tbl[[#All],[STAFF:]],$A58,Feb_Period_2_Tbl[[#All],[$ SALARY PT]])+SUMIF(Mar_Period_2_Tbl[[#All],[STAFF:]],$A58,Mar_Period_2_Tbl[[#All],[$ SALARY PT]])+SUMIF(Apr_Period_2_Tbl[[#All],[STAFF:]],$A58,Apr_Period_2_Tbl[[#All],[$ SALARY PT]])+   SUMIF(May_Period_2_Tbl[[#All],[STAFF:]],$A58,May_Period_2_Tbl[[#All],[$ SALARY PT]])+   SUMIF(Jun_Period_2_Tbl[[#All],[STAFF:]],$A58,Jun_Period_2_Tbl[[#All],[$ SALARY PT]])+  SUMIF(Jul_Period_2_Tbl[[#All],[STAFF:]],$A58,Jul_Period_2_Tbl[[#All],[$ SALARY PT]])+  SUMIF(Aug_Period_2_Tbl[[#All],[STAFF:]],$A58,Aug_Period_2_Tbl[[#All],[$ SALARY PT]])+  SUMIF(Sep_Period_2_Tbl[[#All],[STAFF:]],$A58,Sep_Period_2_Tbl[[#All],[$ SALARY PT]])+  SUMIF(Oct_Period_2_Tbl[[#All],[STAFF:]],$A58,Oct_Period_2_Tbl[[#All],[$ SALARY PT]])+     SUMIF(Nov_Period_2_Tbl[[#All],[STAFF:]],$A58,Nov_Period_2_Tbl[[#All],[$ SALARY PT]])+  SUMIF(Dec_Period_2_Tbl[[#All],[STAFF:]],$A58,Dec_Period_2_Tbl[[#All],[$ SALARY PT]]))</f>
        <v>0</v>
      </c>
      <c r="J58" s="190">
        <f>(SUMIF(Jan_Period_1_Tbl[[#All],[STAFF:]],$A58,Jan_Period_1_Tbl[[#All],[$ FREE PT]])+
SUMIF(Feb_Period_1_Tbl[[#All],[STAFF:]],$A58,Feb_Period_1_Tbl[[#All],[$ FREE PT]])+SUMIF(Mar_Period_1_Tbl[[#All],[STAFF:]],$A58,Mar_Period_1_Tbl[[#All],[$ FREE PT]])+SUMIF(Apr_Period_1_Tbl[[#All],[STAFF:]],$A58,Apr_Period_1_Tbl[[#All],[$ FREE PT]])+   SUMIF(May_Period_1_Tbl[[#All],[STAFF:]],$A58,May_Period_1_Tbl[[#All],[$ FREE PT]])+   SUMIF(Jun_Period_1_Tbl[[#All],[STAFF:]],$A58,Jun_Period_1_Tbl[[#All],[$ FREE PT]])+  SUMIF(Jul_Period_1_Tbl[[#All],[STAFF:]],$A58,Jul_Period_1_Tbl[[#All],[$ FREE PT]])+  SUMIF(Aug_Period_1_Tbl[[#All],[STAFF:]],$A58,Aug_Period_1_Tbl[[#All],[$ FREE PT]])+  SUMIF(Sep_Period_1_Tbl[[#All],[STAFF:]],$A58,Sep_Period_1_Tbl[[#All],[$ FREE PT]])+  SUMIF(Oct_Period_1_Tbl[[#All],[STAFF:]],$A58,Oct_Period_1_Tbl[[#All],[$ FREE PT]])+     SUMIF(Nov_Period_1_Tbl[[#All],[STAFF:]],$A58,Nov_Period_1_Tbl[[#All],[$ FREE PT]])+  SUMIF(Dec_Period_1_Tbl[[#All],[STAFF:]],$A58,Dec_Period_1_Tbl[[#All],[$ FREE PT]]))+   (SUMIF(Jan_Period_2_Tbl[[#All],[STAFF:]],$A58,Jan_Period_2_Tbl[[#All],[$ FREE PT]])+
SUMIF(Feb_Period_2_Tbl[[#All],[STAFF:]],$A58,Feb_Period_2_Tbl[[#All],[$ FREE PT]])+SUMIF(Mar_Period_2_Tbl[[#All],[STAFF:]],$A58,Mar_Period_2_Tbl[[#All],[$ FREE PT]])+SUMIF(Apr_Period_2_Tbl[[#All],[STAFF:]],$A58,Apr_Period_2_Tbl[[#All],[$ FREE PT]])+   SUMIF(May_Period_2_Tbl[[#All],[STAFF:]],$A58,May_Period_2_Tbl[[#All],[$ FREE PT]])+   SUMIF(Jun_Period_2_Tbl[[#All],[STAFF:]],$A58,Jun_Period_2_Tbl[[#All],[$ FREE PT]])+  SUMIF(Jul_Period_2_Tbl[[#All],[STAFF:]],$A58,Jul_Period_2_Tbl[[#All],[$ FREE PT]])+  SUMIF(Aug_Period_2_Tbl[[#All],[STAFF:]],$A58,Aug_Period_2_Tbl[[#All],[$ FREE PT]])+  SUMIF(Sep_Period_2_Tbl[[#All],[STAFF:]],$A58,Sep_Period_2_Tbl[[#All],[$ FREE PT]])+  SUMIF(Oct_Period_2_Tbl[[#All],[STAFF:]],$A58,Oct_Period_2_Tbl[[#All],[$ FREE PT]])+     SUMIF(Nov_Period_2_Tbl[[#All],[STAFF:]],$A58,Nov_Period_2_Tbl[[#All],[$ FREE PT]])+  SUMIF(Dec_Period_2_Tbl[[#All],[STAFF:]],$A58,Dec_Period_2_Tbl[[#All],[$ FREE PT]]))</f>
        <v>0</v>
      </c>
      <c r="K58" s="190">
        <f>(SUMIF(Jan_Period_1_Tbl[[#All],[STAFF:]],$A58,Jan_Period_1_Tbl[[#All],[$ PAID PT]])+
SUMIF(Feb_Period_1_Tbl[[#All],[STAFF:]],$A58,Feb_Period_1_Tbl[[#All],[$ PAID PT]])+SUMIF(Mar_Period_1_Tbl[[#All],[STAFF:]],$A58,Mar_Period_1_Tbl[[#All],[$ PAID PT]])+SUMIF(Apr_Period_1_Tbl[[#All],[STAFF:]],$A58,Apr_Period_1_Tbl[[#All],[$ PAID PT]])+   SUMIF(May_Period_1_Tbl[[#All],[STAFF:]],$A58,May_Period_1_Tbl[[#All],[$ PAID PT]])+   SUMIF(Jun_Period_1_Tbl[[#All],[STAFF:]],$A58,Jun_Period_1_Tbl[[#All],[$ PAID PT]])+  SUMIF(Jul_Period_1_Tbl[[#All],[STAFF:]],$A58,Jul_Period_1_Tbl[[#All],[$ PAID PT]])+  SUMIF(Aug_Period_1_Tbl[[#All],[STAFF:]],$A58,Aug_Period_1_Tbl[[#All],[$ PAID PT]])+  SUMIF(Sep_Period_1_Tbl[[#All],[STAFF:]],$A58,Sep_Period_1_Tbl[[#All],[$ PAID PT]])+  SUMIF(Oct_Period_1_Tbl[[#All],[STAFF:]],$A58,Oct_Period_1_Tbl[[#All],[$ PAID PT]])+     SUMIF(Nov_Period_1_Tbl[[#All],[STAFF:]],$A58,Nov_Period_1_Tbl[[#All],[$ PAID PT]])+  SUMIF(Dec_Period_1_Tbl[[#All],[STAFF:]],$A58,Dec_Period_1_Tbl[[#All],[$ PAID PT]]))+   (SUMIF(Jan_Period_2_Tbl[[#All],[STAFF:]],$A58,Jan_Period_2_Tbl[[#All],[$ PAID PT]])+
SUMIF(Feb_Period_2_Tbl[[#All],[STAFF:]],$A58,Feb_Period_2_Tbl[[#All],[$ PAID PT]])+SUMIF(Mar_Period_2_Tbl[[#All],[STAFF:]],$A58,Mar_Period_2_Tbl[[#All],[$ PAID PT]])+SUMIF(Apr_Period_2_Tbl[[#All],[STAFF:]],$A58,Apr_Period_2_Tbl[[#All],[$ PAID PT]])+   SUMIF(May_Period_2_Tbl[[#All],[STAFF:]],$A58,May_Period_2_Tbl[[#All],[$ PAID PT]])+   SUMIF(Jun_Period_2_Tbl[[#All],[STAFF:]],$A58,Jun_Period_2_Tbl[[#All],[$ PAID PT]])+  SUMIF(Jul_Period_2_Tbl[[#All],[STAFF:]],$A58,Jul_Period_2_Tbl[[#All],[$ PAID PT]])+  SUMIF(Aug_Period_2_Tbl[[#All],[STAFF:]],$A58,Aug_Period_2_Tbl[[#All],[$ PAID PT]])+  SUMIF(Sep_Period_2_Tbl[[#All],[STAFF:]],$A58,Sep_Period_2_Tbl[[#All],[$ PAID PT]])+  SUMIF(Oct_Period_2_Tbl[[#All],[STAFF:]],$A58,Oct_Period_2_Tbl[[#All],[$ PAID PT]])+     SUMIF(Nov_Period_2_Tbl[[#All],[STAFF:]],$A58,Nov_Period_2_Tbl[[#All],[$ PAID PT]])+  SUMIF(Dec_Period_2_Tbl[[#All],[STAFF:]],$A58,Dec_Period_2_Tbl[[#All],[$ PAID PT]]))</f>
        <v>0</v>
      </c>
      <c r="L58" s="190">
        <f>(SUMIF(Jan_Period_1_Tbl[[#All],[STAFF:]],$A58,Jan_Period_1_Tbl[[#All],[$ PT COMM]])+
SUMIF(Feb_Period_1_Tbl[[#All],[STAFF:]],$A58,Feb_Period_1_Tbl[[#All],[$ PT COMM]])+SUMIF(Mar_Period_1_Tbl[[#All],[STAFF:]],$A58,Mar_Period_1_Tbl[[#All],[$ PT COMM]])+SUMIF(Apr_Period_1_Tbl[[#All],[STAFF:]],$A58,Apr_Period_1_Tbl[[#All],[$ PT COMM]])+   SUMIF(May_Period_1_Tbl[[#All],[STAFF:]],$A58,May_Period_1_Tbl[[#All],[$ PT COMM]])+   SUMIF(Jun_Period_1_Tbl[[#All],[STAFF:]],$A58,Jun_Period_1_Tbl[[#All],[$ PT COMM]])+  SUMIF(Jul_Period_1_Tbl[[#All],[STAFF:]],$A58,Jul_Period_1_Tbl[[#All],[$ PT COMM]])+  SUMIF(Aug_Period_1_Tbl[[#All],[STAFF:]],$A58,Aug_Period_1_Tbl[[#All],[$ PT COMM]])+  SUMIF(Sep_Period_1_Tbl[[#All],[STAFF:]],$A58,Sep_Period_1_Tbl[[#All],[$ PT COMM]])+  SUMIF(Oct_Period_1_Tbl[[#All],[STAFF:]],$A58,Oct_Period_1_Tbl[[#All],[$ PT COMM]])+     SUMIF(Nov_Period_1_Tbl[[#All],[STAFF:]],$A58,Nov_Period_1_Tbl[[#All],[$ PT COMM]])+  SUMIF(Dec_Period_1_Tbl[[#All],[STAFF:]],$A58,Dec_Period_1_Tbl[[#All],[$ PT COMM]]))+   (SUMIF(Jan_Period_2_Tbl[[#All],[STAFF:]],$A58,Jan_Period_2_Tbl[[#All],[$ PT COMM]])+
SUMIF(Feb_Period_2_Tbl[[#All],[STAFF:]],$A58,Feb_Period_2_Tbl[[#All],[$ PT COMM]])+SUMIF(Mar_Period_2_Tbl[[#All],[STAFF:]],$A58,Mar_Period_2_Tbl[[#All],[$ PT COMM]])+SUMIF(Apr_Period_2_Tbl[[#All],[STAFF:]],$A58,Apr_Period_2_Tbl[[#All],[$ PT COMM]])+   SUMIF(May_Period_2_Tbl[[#All],[STAFF:]],$A58,May_Period_2_Tbl[[#All],[$ PT COMM]])+   SUMIF(Jun_Period_2_Tbl[[#All],[STAFF:]],$A58,Jun_Period_2_Tbl[[#All],[$ PT COMM]])+  SUMIF(Jul_Period_2_Tbl[[#All],[STAFF:]],$A58,Jul_Period_2_Tbl[[#All],[$ PT COMM]])+  SUMIF(Aug_Period_2_Tbl[[#All],[STAFF:]],$A58,Aug_Period_2_Tbl[[#All],[$ PT COMM]])+  SUMIF(Sep_Period_2_Tbl[[#All],[STAFF:]],$A58,Sep_Period_2_Tbl[[#All],[$ PT COMM]])+  SUMIF(Oct_Period_2_Tbl[[#All],[STAFF:]],$A58,Oct_Period_2_Tbl[[#All],[$ PT COMM]])+     SUMIF(Nov_Period_2_Tbl[[#All],[STAFF:]],$A58,Nov_Period_2_Tbl[[#All],[$ PT COMM]])+  SUMIF(Dec_Period_2_Tbl[[#All],[STAFF:]],$A58,Dec_Period_2_Tbl[[#All],[$ PT COMM]]))</f>
        <v>0</v>
      </c>
      <c r="M58" s="190">
        <f>(SUMIF(Jan_Period_1_Tbl[[#All],[STAFF:]],$A58,Jan_Period_1_Tbl[[#All],[$ EFT COMM]])+
SUMIF(Feb_Period_1_Tbl[[#All],[STAFF:]],$A58,Feb_Period_1_Tbl[[#All],[$ EFT COMM]])+SUMIF(Mar_Period_1_Tbl[[#All],[STAFF:]],$A58,Mar_Period_1_Tbl[[#All],[$ EFT COMM]])+SUMIF(Apr_Period_1_Tbl[[#All],[STAFF:]],$A58,Apr_Period_1_Tbl[[#All],[$ EFT COMM]])+   SUMIF(May_Period_1_Tbl[[#All],[STAFF:]],$A58,May_Period_1_Tbl[[#All],[$ EFT COMM]])+   SUMIF(Jun_Period_1_Tbl[[#All],[STAFF:]],$A58,Jun_Period_1_Tbl[[#All],[$ EFT COMM]])+  SUMIF(Jul_Period_1_Tbl[[#All],[STAFF:]],$A58,Jul_Period_1_Tbl[[#All],[$ EFT COMM]])+  SUMIF(Aug_Period_1_Tbl[[#All],[STAFF:]],$A58,Aug_Period_1_Tbl[[#All],[$ EFT COMM]])+  SUMIF(Sep_Period_1_Tbl[[#All],[STAFF:]],$A58,Sep_Period_1_Tbl[[#All],[$ EFT COMM]])+  SUMIF(Oct_Period_1_Tbl[[#All],[STAFF:]],$A58,Oct_Period_1_Tbl[[#All],[$ EFT COMM]])+     SUMIF(Nov_Period_1_Tbl[[#All],[STAFF:]],$A58,Nov_Period_1_Tbl[[#All],[$ EFT COMM]])+  SUMIF(Dec_Period_1_Tbl[[#All],[STAFF:]],$A58,Dec_Period_1_Tbl[[#All],[$ EFT COMM]]))+   (SUMIF(Jan_Period_2_Tbl[[#All],[STAFF:]],$A58,Jan_Period_2_Tbl[[#All],[$ EFT COMM]])+
SUMIF(Feb_Period_2_Tbl[[#All],[STAFF:]],$A58,Feb_Period_2_Tbl[[#All],[$ EFT COMM]])+SUMIF(Mar_Period_2_Tbl[[#All],[STAFF:]],$A58,Mar_Period_2_Tbl[[#All],[$ EFT COMM]])+SUMIF(Apr_Period_2_Tbl[[#All],[STAFF:]],$A58,Apr_Period_2_Tbl[[#All],[$ EFT COMM]])+   SUMIF(May_Period_2_Tbl[[#All],[STAFF:]],$A58,May_Period_2_Tbl[[#All],[$ EFT COMM]])+   SUMIF(Jun_Period_2_Tbl[[#All],[STAFF:]],$A58,Jun_Period_2_Tbl[[#All],[$ EFT COMM]])+  SUMIF(Jul_Period_2_Tbl[[#All],[STAFF:]],$A58,Jul_Period_2_Tbl[[#All],[$ EFT COMM]])+  SUMIF(Aug_Period_2_Tbl[[#All],[STAFF:]],$A58,Aug_Period_2_Tbl[[#All],[$ EFT COMM]])+  SUMIF(Sep_Period_2_Tbl[[#All],[STAFF:]],$A58,Sep_Period_2_Tbl[[#All],[$ EFT COMM]])+  SUMIF(Oct_Period_2_Tbl[[#All],[STAFF:]],$A58,Oct_Period_2_Tbl[[#All],[$ EFT COMM]])+     SUMIF(Nov_Period_2_Tbl[[#All],[STAFF:]],$A58,Nov_Period_2_Tbl[[#All],[$ EFT COMM]])+  SUMIF(Dec_Period_2_Tbl[[#All],[STAFF:]],$A58,Dec_Period_2_Tbl[[#All],[$ EFT COMM]]))</f>
        <v>0</v>
      </c>
      <c r="N58" s="190">
        <f>(SUMIF(Jan_Period_1_Tbl[[#All],[STAFF:]],$A58,Jan_Period_1_Tbl[[#All],[$ CLASS PAY]])+
SUMIF(Feb_Period_1_Tbl[[#All],[STAFF:]],$A58,Feb_Period_1_Tbl[[#All],[$ CLASS PAY]])+SUMIF(Mar_Period_1_Tbl[[#All],[STAFF:]],$A58,Mar_Period_1_Tbl[[#All],[$ CLASS PAY]])+SUMIF(Apr_Period_1_Tbl[[#All],[STAFF:]],$A58,Apr_Period_1_Tbl[[#All],[$ CLASS PAY]])+   SUMIF(May_Period_1_Tbl[[#All],[STAFF:]],$A58,May_Period_1_Tbl[[#All],[$ CLASS PAY]])+   SUMIF(Jun_Period_1_Tbl[[#All],[STAFF:]],$A58,Jun_Period_1_Tbl[[#All],[$ CLASS PAY]])+  SUMIF(Jul_Period_1_Tbl[[#All],[STAFF:]],$A58,Jul_Period_1_Tbl[[#All],[$ CLASS PAY]])+  SUMIF(Aug_Period_1_Tbl[[#All],[STAFF:]],$A58,Aug_Period_1_Tbl[[#All],[$ CLASS PAY]])+  SUMIF(Sep_Period_1_Tbl[[#All],[STAFF:]],$A58,Sep_Period_1_Tbl[[#All],[$ CLASS PAY]])+  SUMIF(Oct_Period_1_Tbl[[#All],[STAFF:]],$A58,Oct_Period_1_Tbl[[#All],[$ CLASS PAY]])+     SUMIF(Nov_Period_1_Tbl[[#All],[STAFF:]],$A58,Nov_Period_1_Tbl[[#All],[$ CLASS PAY]])+  SUMIF(Dec_Period_1_Tbl[[#All],[STAFF:]],$A58,Dec_Period_1_Tbl[[#All],[$ CLASS PAY]]))+   (SUMIF(Jan_Period_2_Tbl[[#All],[STAFF:]],$A58,Jan_Period_2_Tbl[[#All],[$ CLASS PAY]])+
SUMIF(Feb_Period_2_Tbl[[#All],[STAFF:]],$A58,Feb_Period_2_Tbl[[#All],[$ CLASS PAY]])+SUMIF(Mar_Period_2_Tbl[[#All],[STAFF:]],$A58,Mar_Period_2_Tbl[[#All],[$ CLASS PAY]])+SUMIF(Apr_Period_2_Tbl[[#All],[STAFF:]],$A58,Apr_Period_2_Tbl[[#All],[$ CLASS PAY]])+   SUMIF(May_Period_2_Tbl[[#All],[STAFF:]],$A58,May_Period_2_Tbl[[#All],[$ CLASS PAY]])+   SUMIF(Jun_Period_2_Tbl[[#All],[STAFF:]],$A58,Jun_Period_2_Tbl[[#All],[$ CLASS PAY]])+  SUMIF(Jul_Period_2_Tbl[[#All],[STAFF:]],$A58,Jul_Period_2_Tbl[[#All],[$ CLASS PAY]])+  SUMIF(Aug_Period_2_Tbl[[#All],[STAFF:]],$A58,Aug_Period_2_Tbl[[#All],[$ CLASS PAY]])+  SUMIF(Sep_Period_2_Tbl[[#All],[STAFF:]],$A58,Sep_Period_2_Tbl[[#All],[$ CLASS PAY]])+  SUMIF(Oct_Period_2_Tbl[[#All],[STAFF:]],$A58,Oct_Period_2_Tbl[[#All],[$ CLASS PAY]])+     SUMIF(Nov_Period_2_Tbl[[#All],[STAFF:]],$A58,Nov_Period_2_Tbl[[#All],[$ CLASS PAY]])+  SUMIF(Dec_Period_2_Tbl[[#All],[STAFF:]],$A58,Dec_Period_2_Tbl[[#All],[$ CLASS PAY]]))</f>
        <v>0</v>
      </c>
      <c r="O58" s="191">
        <f>(SUMIF(Jan_Period_1_Tbl[[#All],[STAFF:]],$A58,Jan_Period_1_Tbl[[#All],[$ BONUS PAY]])+
SUMIF(Feb_Period_1_Tbl[[#All],[STAFF:]],$A58,Feb_Period_1_Tbl[[#All],[$ BONUS PAY]])+SUMIF(Mar_Period_1_Tbl[[#All],[STAFF:]],$A58,Mar_Period_1_Tbl[[#All],[$ BONUS PAY]])+SUMIF(Apr_Period_1_Tbl[[#All],[STAFF:]],$A58,Apr_Period_1_Tbl[[#All],[$ BONUS PAY]])+   SUMIF(May_Period_1_Tbl[[#All],[STAFF:]],$A58,May_Period_1_Tbl[[#All],[$ BONUS PAY]])+   SUMIF(Jun_Period_1_Tbl[[#All],[STAFF:]],$A58,Jun_Period_1_Tbl[[#All],[$ BONUS PAY]])+  SUMIF(Jul_Period_1_Tbl[[#All],[STAFF:]],$A58,Jul_Period_1_Tbl[[#All],[$ BONUS PAY]])+  SUMIF(Aug_Period_1_Tbl[[#All],[STAFF:]],$A58,Aug_Period_1_Tbl[[#All],[$ BONUS PAY]])+  SUMIF(Sep_Period_1_Tbl[[#All],[STAFF:]],$A58,Sep_Period_1_Tbl[[#All],[$ BONUS PAY]])+  SUMIF(Oct_Period_1_Tbl[[#All],[STAFF:]],$A58,Oct_Period_1_Tbl[[#All],[$ BONUS PAY]])+     SUMIF(Nov_Period_1_Tbl[[#All],[STAFF:]],$A58,Nov_Period_1_Tbl[[#All],[$ BONUS PAY]])+  SUMIF(Dec_Period_1_Tbl[[#All],[STAFF:]],$A58,Dec_Period_1_Tbl[[#All],[$ BONUS PAY]]))+   (SUMIF(Jan_Period_2_Tbl[[#All],[STAFF:]],$A58,Jan_Period_2_Tbl[[#All],[$ BONUS PAY]])+
SUMIF(Feb_Period_2_Tbl[[#All],[STAFF:]],$A58,Feb_Period_2_Tbl[[#All],[$ BONUS PAY]])+SUMIF(Mar_Period_2_Tbl[[#All],[STAFF:]],$A58,Mar_Period_2_Tbl[[#All],[$ BONUS PAY]])+SUMIF(Apr_Period_2_Tbl[[#All],[STAFF:]],$A58,Apr_Period_2_Tbl[[#All],[$ BONUS PAY]])+   SUMIF(May_Period_2_Tbl[[#All],[STAFF:]],$A58,May_Period_2_Tbl[[#All],[$ BONUS PAY]])+   SUMIF(Jun_Period_2_Tbl[[#All],[STAFF:]],$A58,Jun_Period_2_Tbl[[#All],[$ BONUS PAY]])+  SUMIF(Jul_Period_2_Tbl[[#All],[STAFF:]],$A58,Jul_Period_2_Tbl[[#All],[$ BONUS PAY]])+  SUMIF(Aug_Period_2_Tbl[[#All],[STAFF:]],$A58,Aug_Period_2_Tbl[[#All],[$ BONUS PAY]])+  SUMIF(Sep_Period_2_Tbl[[#All],[STAFF:]],$A58,Sep_Period_2_Tbl[[#All],[$ BONUS PAY]])+  SUMIF(Oct_Period_2_Tbl[[#All],[STAFF:]],$A58,Oct_Period_2_Tbl[[#All],[$ BONUS PAY]])+     SUMIF(Nov_Period_2_Tbl[[#All],[STAFF:]],$A58,Nov_Period_2_Tbl[[#All],[$ BONUS PAY]])+  SUMIF(Dec_Period_2_Tbl[[#All],[STAFF:]],$A58,Dec_Period_2_Tbl[[#All],[$ BONUS PAY]]))</f>
        <v>0</v>
      </c>
      <c r="P58" s="179">
        <f t="shared" si="9"/>
        <v>0</v>
      </c>
      <c r="Q58" s="149"/>
      <c r="R58" s="152">
        <f>(SUMIF(Jan_Period_1_Tbl[[#All],[STAFF:]],$A58,Jan_Period_1_Tbl[[#All],['# POINTS EARNED]])+
SUMIF(Feb_Period_1_Tbl[[#All],[STAFF:]],$A58,Feb_Period_1_Tbl[[#All],['# POINTS EARNED]])+SUMIF(Mar_Period_1_Tbl[[#All],[STAFF:]],$A58,Mar_Period_1_Tbl[[#All],['# POINTS EARNED]])+SUMIF(Apr_Period_1_Tbl[[#All],[STAFF:]],$A58,Apr_Period_1_Tbl[[#All],['# POINTS EARNED]])+   SUMIF(May_Period_1_Tbl[[#All],[STAFF:]],$A58,May_Period_1_Tbl[[#All],['# POINTS EARNED]])+   SUMIF(Jun_Period_1_Tbl[[#All],[STAFF:]],$A58,Jun_Period_1_Tbl[[#All],['# POINTS EARNED]])+  SUMIF(Jul_Period_1_Tbl[[#All],[STAFF:]],$A58,Jul_Period_1_Tbl[[#All],['# POINTS EARNED]])+  SUMIF(Aug_Period_1_Tbl[[#All],[STAFF:]],$A58,Aug_Period_1_Tbl[[#All],['# POINTS EARNED]])+  SUMIF(Sep_Period_1_Tbl[[#All],[STAFF:]],$A58,Sep_Period_1_Tbl[[#All],['# POINTS EARNED]])+  SUMIF(Oct_Period_1_Tbl[[#All],[STAFF:]],$A58,Oct_Period_1_Tbl[[#All],['# POINTS EARNED]])+     SUMIF(Nov_Period_1_Tbl[[#All],[STAFF:]],$A58,Nov_Period_1_Tbl[[#All],['# POINTS EARNED]])+  SUMIF(Dec_Period_1_Tbl[[#All],[STAFF:]],$A58,Dec_Period_1_Tbl[[#All],['# POINTS EARNED]]))+   (SUMIF(Jan_Period_2_Tbl[[#All],[STAFF:]],$A58,Jan_Period_2_Tbl[[#All],['# POINTS EARNED]])+
SUMIF(Feb_Period_2_Tbl[[#All],[STAFF:]],$A58,Feb_Period_2_Tbl[[#All],['# POINTS EARNED]])+SUMIF(Mar_Period_2_Tbl[[#All],[STAFF:]],$A58,Mar_Period_2_Tbl[[#All],['# POINTS EARNED]])+SUMIF(Apr_Period_2_Tbl[[#All],[STAFF:]],$A58,Apr_Period_2_Tbl[[#All],['# POINTS EARNED]])+   SUMIF(May_Period_2_Tbl[[#All],[STAFF:]],$A58,May_Period_2_Tbl[[#All],['# POINTS EARNED]])+   SUMIF(Jun_Period_2_Tbl[[#All],[STAFF:]],$A58,Jun_Period_2_Tbl[[#All],['# POINTS EARNED]])+  SUMIF(Jul_Period_2_Tbl[[#All],[STAFF:]],$A58,Jul_Period_2_Tbl[[#All],['# POINTS EARNED]])+  SUMIF(Aug_Period_2_Tbl[[#All],[STAFF:]],$A58,Aug_Period_2_Tbl[[#All],['# POINTS EARNED]])+  SUMIF(Sep_Period_2_Tbl[[#All],[STAFF:]],$A58,Sep_Period_2_Tbl[[#All],['# POINTS EARNED]])+  SUMIF(Oct_Period_2_Tbl[[#All],[STAFF:]],$A58,Oct_Period_2_Tbl[[#All],['# POINTS EARNED]])+     SUMIF(Nov_Period_2_Tbl[[#All],[STAFF:]],$A58,Nov_Period_2_Tbl[[#All],['# POINTS EARNED]])+  SUMIF(Dec_Period_2_Tbl[[#All],[STAFF:]],$A58,Dec_Period_2_Tbl[[#All],['# POINTS EARNED]]))</f>
        <v>0</v>
      </c>
      <c r="S58" s="152">
        <f>(SUMIF(Jan_Period_1_Tbl[[#All],[STAFF:]],$A58,Jan_Period_1_Tbl[[#All],['# POINTS USED]])+
SUMIF(Feb_Period_1_Tbl[[#All],[STAFF:]],$A58,Feb_Period_1_Tbl[[#All],['# POINTS USED]])+SUMIF(Mar_Period_1_Tbl[[#All],[STAFF:]],$A58,Mar_Period_1_Tbl[[#All],['# POINTS USED]])+SUMIF(Apr_Period_1_Tbl[[#All],[STAFF:]],$A58,Apr_Period_1_Tbl[[#All],['# POINTS USED]])+   SUMIF(May_Period_1_Tbl[[#All],[STAFF:]],$A58,May_Period_1_Tbl[[#All],['# POINTS USED]])+   SUMIF(Jun_Period_1_Tbl[[#All],[STAFF:]],$A58,Jun_Period_1_Tbl[[#All],['# POINTS USED]])+  SUMIF(Jul_Period_1_Tbl[[#All],[STAFF:]],$A58,Jul_Period_1_Tbl[[#All],['# POINTS USED]])+  SUMIF(Aug_Period_1_Tbl[[#All],[STAFF:]],$A58,Aug_Period_1_Tbl[[#All],['# POINTS USED]])+  SUMIF(Sep_Period_1_Tbl[[#All],[STAFF:]],$A58,Sep_Period_1_Tbl[[#All],['# POINTS USED]])+  SUMIF(Oct_Period_1_Tbl[[#All],[STAFF:]],$A58,Oct_Period_1_Tbl[[#All],['# POINTS USED]])+     SUMIF(Nov_Period_1_Tbl[[#All],[STAFF:]],$A58,Nov_Period_1_Tbl[[#All],['# POINTS USED]])+  SUMIF(Dec_Period_1_Tbl[[#All],[STAFF:]],$A58,Dec_Period_1_Tbl[[#All],['# POINTS USED]]))+   (SUMIF(Jan_Period_2_Tbl[[#All],[STAFF:]],$A58,Jan_Period_2_Tbl[[#All],['# POINTS USED]])+
SUMIF(Feb_Period_2_Tbl[[#All],[STAFF:]],$A58,Feb_Period_2_Tbl[[#All],['# POINTS USED]])+SUMIF(Mar_Period_2_Tbl[[#All],[STAFF:]],$A58,Mar_Period_2_Tbl[[#All],['# POINTS USED]])+SUMIF(Apr_Period_2_Tbl[[#All],[STAFF:]],$A58,Apr_Period_2_Tbl[[#All],['# POINTS USED]])+   SUMIF(May_Period_2_Tbl[[#All],[STAFF:]],$A58,May_Period_2_Tbl[[#All],['# POINTS USED]])+   SUMIF(Jun_Period_2_Tbl[[#All],[STAFF:]],$A58,Jun_Period_2_Tbl[[#All],['# POINTS USED]])+  SUMIF(Jul_Period_2_Tbl[[#All],[STAFF:]],$A58,Jul_Period_2_Tbl[[#All],['# POINTS USED]])+  SUMIF(Aug_Period_2_Tbl[[#All],[STAFF:]],$A58,Aug_Period_2_Tbl[[#All],['# POINTS USED]])+  SUMIF(Sep_Period_2_Tbl[[#All],[STAFF:]],$A58,Sep_Period_2_Tbl[[#All],['# POINTS USED]])+  SUMIF(Oct_Period_2_Tbl[[#All],[STAFF:]],$A58,Oct_Period_2_Tbl[[#All],['# POINTS USED]])+     SUMIF(Nov_Period_2_Tbl[[#All],[STAFF:]],$A58,Nov_Period_2_Tbl[[#All],['# POINTS USED]])+  SUMIF(Dec_Period_2_Tbl[[#All],[STAFF:]],$A58,Dec_Period_2_Tbl[[#All],['# POINTS USED]]))</f>
        <v>0</v>
      </c>
      <c r="T58" s="152">
        <f>(SUMIF(Jan_Period_1_Tbl[[#All],[STAFF:]],$A58,Jan_Period_1_Tbl[[#All],['# CLASSES LEAD]])+
SUMIF(Feb_Period_1_Tbl[[#All],[STAFF:]],$A58,Feb_Period_1_Tbl[[#All],['# CLASSES LEAD]])+SUMIF(Mar_Period_1_Tbl[[#All],[STAFF:]],$A58,Mar_Period_1_Tbl[[#All],['# CLASSES LEAD]])+SUMIF(Apr_Period_1_Tbl[[#All],[STAFF:]],$A58,Apr_Period_1_Tbl[[#All],['# CLASSES LEAD]])+   SUMIF(May_Period_1_Tbl[[#All],[STAFF:]],$A58,May_Period_1_Tbl[[#All],['# CLASSES LEAD]])+   SUMIF(Jun_Period_1_Tbl[[#All],[STAFF:]],$A58,Jun_Period_1_Tbl[[#All],['# CLASSES LEAD]])+  SUMIF(Jul_Period_1_Tbl[[#All],[STAFF:]],$A58,Jul_Period_1_Tbl[[#All],['# CLASSES LEAD]])+  SUMIF(Aug_Period_1_Tbl[[#All],[STAFF:]],$A58,Aug_Period_1_Tbl[[#All],['# CLASSES LEAD]])+  SUMIF(Sep_Period_1_Tbl[[#All],[STAFF:]],$A58,Sep_Period_1_Tbl[[#All],['# CLASSES LEAD]])+  SUMIF(Oct_Period_1_Tbl[[#All],[STAFF:]],$A58,Oct_Period_1_Tbl[[#All],['# CLASSES LEAD]])+     SUMIF(Nov_Period_1_Tbl[[#All],[STAFF:]],$A58,Nov_Period_1_Tbl[[#All],['# CLASSES LEAD]])+  SUMIF(Dec_Period_1_Tbl[[#All],[STAFF:]],$A58,Dec_Period_1_Tbl[[#All],['# CLASSES LEAD]]))+   (SUMIF(Jan_Period_2_Tbl[[#All],[STAFF:]],$A58,Jan_Period_2_Tbl[[#All],['# CLASSES LEAD]])+
SUMIF(Feb_Period_2_Tbl[[#All],[STAFF:]],$A58,Feb_Period_2_Tbl[[#All],['# CLASSES LEAD]])+SUMIF(Mar_Period_2_Tbl[[#All],[STAFF:]],$A58,Mar_Period_2_Tbl[[#All],['# CLASSES LEAD]])+SUMIF(Apr_Period_2_Tbl[[#All],[STAFF:]],$A58,Apr_Period_2_Tbl[[#All],['# CLASSES LEAD]])+   SUMIF(May_Period_2_Tbl[[#All],[STAFF:]],$A58,May_Period_2_Tbl[[#All],['# CLASSES LEAD]])+   SUMIF(Jun_Period_2_Tbl[[#All],[STAFF:]],$A58,Jun_Period_2_Tbl[[#All],['# CLASSES LEAD]])+  SUMIF(Jul_Period_2_Tbl[[#All],[STAFF:]],$A58,Jul_Period_2_Tbl[[#All],['# CLASSES LEAD]])+  SUMIF(Aug_Period_2_Tbl[[#All],[STAFF:]],$A58,Aug_Period_2_Tbl[[#All],['# CLASSES LEAD]])+  SUMIF(Sep_Period_2_Tbl[[#All],[STAFF:]],$A58,Sep_Period_2_Tbl[[#All],['# CLASSES LEAD]])+  SUMIF(Oct_Period_2_Tbl[[#All],[STAFF:]],$A58,Oct_Period_2_Tbl[[#All],['# CLASSES LEAD]])+     SUMIF(Nov_Period_2_Tbl[[#All],[STAFF:]],$A58,Nov_Period_2_Tbl[[#All],['# CLASSES LEAD]])+  SUMIF(Dec_Period_2_Tbl[[#All],[STAFF:]],$A58,Dec_Period_2_Tbl[[#All],['# CLASSES LEAD]]))</f>
        <v>0</v>
      </c>
      <c r="U58" s="152">
        <f>(SUMIF(Jan_Period_1_Tbl[[#All],[STAFF:]],$A58,Jan_Period_1_Tbl[[#All],['# CLASSES SHOW]])+
SUMIF(Feb_Period_1_Tbl[[#All],[STAFF:]],$A58,Feb_Period_1_Tbl[[#All],['# CLASSES SHOW]])+SUMIF(Mar_Period_1_Tbl[[#All],[STAFF:]],$A58,Mar_Period_1_Tbl[[#All],['# CLASSES SHOW]])+SUMIF(Apr_Period_1_Tbl[[#All],[STAFF:]],$A58,Apr_Period_1_Tbl[[#All],['# CLASSES SHOW]])+   SUMIF(May_Period_1_Tbl[[#All],[STAFF:]],$A58,May_Period_1_Tbl[[#All],['# CLASSES SHOW]])+   SUMIF(Jun_Period_1_Tbl[[#All],[STAFF:]],$A58,Jun_Period_1_Tbl[[#All],['# CLASSES SHOW]])+  SUMIF(Jul_Period_1_Tbl[[#All],[STAFF:]],$A58,Jul_Period_1_Tbl[[#All],['# CLASSES SHOW]])+  SUMIF(Aug_Period_1_Tbl[[#All],[STAFF:]],$A58,Aug_Period_1_Tbl[[#All],['# CLASSES SHOW]])+  SUMIF(Sep_Period_1_Tbl[[#All],[STAFF:]],$A58,Sep_Period_1_Tbl[[#All],['# CLASSES SHOW]])+  SUMIF(Oct_Period_1_Tbl[[#All],[STAFF:]],$A58,Oct_Period_1_Tbl[[#All],['# CLASSES SHOW]])+     SUMIF(Nov_Period_1_Tbl[[#All],[STAFF:]],$A58,Nov_Period_1_Tbl[[#All],['# CLASSES SHOW]])+  SUMIF(Dec_Period_1_Tbl[[#All],[STAFF:]],$A58,Dec_Period_1_Tbl[[#All],['# CLASSES SHOW]]))+   (SUMIF(Jan_Period_2_Tbl[[#All],[STAFF:]],$A58,Jan_Period_2_Tbl[[#All],['# CLASSES SHOW]])+
SUMIF(Feb_Period_2_Tbl[[#All],[STAFF:]],$A58,Feb_Period_2_Tbl[[#All],['# CLASSES SHOW]])+SUMIF(Mar_Period_2_Tbl[[#All],[STAFF:]],$A58,Mar_Period_2_Tbl[[#All],['# CLASSES SHOW]])+SUMIF(Apr_Period_2_Tbl[[#All],[STAFF:]],$A58,Apr_Period_2_Tbl[[#All],['# CLASSES SHOW]])+   SUMIF(May_Period_2_Tbl[[#All],[STAFF:]],$A58,May_Period_2_Tbl[[#All],['# CLASSES SHOW]])+   SUMIF(Jun_Period_2_Tbl[[#All],[STAFF:]],$A58,Jun_Period_2_Tbl[[#All],['# CLASSES SHOW]])+  SUMIF(Jul_Period_2_Tbl[[#All],[STAFF:]],$A58,Jul_Period_2_Tbl[[#All],['# CLASSES SHOW]])+  SUMIF(Aug_Period_2_Tbl[[#All],[STAFF:]],$A58,Aug_Period_2_Tbl[[#All],['# CLASSES SHOW]])+  SUMIF(Sep_Period_2_Tbl[[#All],[STAFF:]],$A58,Sep_Period_2_Tbl[[#All],['# CLASSES SHOW]])+  SUMIF(Oct_Period_2_Tbl[[#All],[STAFF:]],$A58,Oct_Period_2_Tbl[[#All],['# CLASSES SHOW]])+     SUMIF(Nov_Period_2_Tbl[[#All],[STAFF:]],$A58,Nov_Period_2_Tbl[[#All],['# CLASSES SHOW]])+  SUMIF(Dec_Period_2_Tbl[[#All],[STAFF:]],$A58,Dec_Period_2_Tbl[[#All],['# CLASSES SHOW]]))</f>
        <v>0</v>
      </c>
      <c r="V58" s="156"/>
      <c r="W58" s="156"/>
      <c r="X58" s="154">
        <f t="shared" si="10"/>
        <v>0</v>
      </c>
      <c r="Y58" s="154">
        <f t="shared" si="11"/>
        <v>0</v>
      </c>
      <c r="Z58" s="154">
        <f t="shared" si="12"/>
        <v>0</v>
      </c>
      <c r="AA58" s="154">
        <f t="shared" si="13"/>
        <v>0</v>
      </c>
      <c r="AB58" s="154">
        <f t="shared" si="14"/>
        <v>0</v>
      </c>
      <c r="AC58" s="154">
        <f t="shared" si="15"/>
        <v>0</v>
      </c>
      <c r="AD58" s="154">
        <f t="shared" si="16"/>
        <v>0</v>
      </c>
      <c r="AE58" s="149"/>
      <c r="AF58" s="149"/>
      <c r="AG58" s="149"/>
      <c r="AH58" s="149"/>
      <c r="AJ58" s="75" t="str">
        <f t="shared" si="17"/>
        <v>zBlank</v>
      </c>
      <c r="AK58" s="210"/>
      <c r="AL58" s="168">
        <f>IFERROR(VLOOKUP(B58,List!$A:$B,2,FALSE),-1)</f>
        <v>-1</v>
      </c>
      <c r="AM58" s="168">
        <f>IFERROR(VLOOKUP(C58,List!$A:$B,2,FALSE),-1)</f>
        <v>-1</v>
      </c>
    </row>
    <row r="59" spans="1:39" ht="15" hidden="1" customHeight="1" x14ac:dyDescent="0.25">
      <c r="A59" s="20"/>
      <c r="B59" s="186"/>
      <c r="C59" s="186"/>
      <c r="D59" s="187"/>
      <c r="E59" s="188">
        <f>(SUMIF(Jan_Period_1_Tbl[[#All],[STAFF:]],$A59,Jan_Period_1_Tbl[[#All],['# PTO USED]])+
SUMIF(Feb_Period_1_Tbl[[#All],[STAFF:]],$A59,Feb_Period_1_Tbl[[#All],['# PTO USED]])+SUMIF(Mar_Period_1_Tbl[[#All],[STAFF:]],$A59,Mar_Period_1_Tbl[[#All],['# PTO USED]])+SUMIF(Apr_Period_1_Tbl[[#All],[STAFF:]],$A59,Apr_Period_1_Tbl[[#All],['# PTO USED]])+   SUMIF(May_Period_1_Tbl[[#All],[STAFF:]],$A59,May_Period_1_Tbl[[#All],['# PTO USED]])+   SUMIF(Jun_Period_1_Tbl[[#All],[STAFF:]],$A59,Jun_Period_1_Tbl[[#All],['# PTO USED]])+  SUMIF(Jul_Period_1_Tbl[[#All],[STAFF:]],$A59,Jul_Period_1_Tbl[[#All],['# PTO USED]])+  SUMIF(Aug_Period_1_Tbl[[#All],[STAFF:]],$A59,Aug_Period_1_Tbl[[#All],['# PTO USED]])+  SUMIF(Sep_Period_1_Tbl[[#All],[STAFF:]],$A59,Sep_Period_1_Tbl[[#All],['# PTO USED]])+  SUMIF(Oct_Period_1_Tbl[[#All],[STAFF:]],$A59,Oct_Period_1_Tbl[[#All],['# PTO USED]])+     SUMIF(Nov_Period_1_Tbl[[#All],[STAFF:]],$A59,Nov_Period_1_Tbl[[#All],['# PTO USED]])+  SUMIF(Dec_Period_1_Tbl[[#All],[STAFF:]],$A59,Dec_Period_1_Tbl[[#All],['# PTO USED]]))+   (SUMIF(Jan_Period_2_Tbl[[#All],[STAFF:]],$A59,Jan_Period_2_Tbl[[#All],['# PTO USED]])+
SUMIF(Feb_Period_2_Tbl[[#All],[STAFF:]],$A59,Feb_Period_2_Tbl[[#All],['# PTO USED]])+SUMIF(Mar_Period_2_Tbl[[#All],[STAFF:]],$A59,Mar_Period_2_Tbl[[#All],['# PTO USED]])+SUMIF(Apr_Period_2_Tbl[[#All],[STAFF:]],$A59,Apr_Period_2_Tbl[[#All],['# PTO USED]])+   SUMIF(May_Period_2_Tbl[[#All],[STAFF:]],$A59,May_Period_2_Tbl[[#All],['# PTO USED]])+   SUMIF(Jun_Period_2_Tbl[[#All],[STAFF:]],$A59,Jun_Period_2_Tbl[[#All],['# PTO USED]])+  SUMIF(Jul_Period_2_Tbl[[#All],[STAFF:]],$A59,Jul_Period_2_Tbl[[#All],['# PTO USED]])+  SUMIF(Aug_Period_2_Tbl[[#All],[STAFF:]],$A59,Aug_Period_2_Tbl[[#All],['# PTO USED]])+  SUMIF(Sep_Period_2_Tbl[[#All],[STAFF:]],$A59,Sep_Period_2_Tbl[[#All],['# PTO USED]])+  SUMIF(Oct_Period_2_Tbl[[#All],[STAFF:]],$A59,Oct_Period_2_Tbl[[#All],['# PTO USED]])+     SUMIF(Nov_Period_2_Tbl[[#All],[STAFF:]],$A59,Nov_Period_2_Tbl[[#All],['# PTO USED]])+  SUMIF(Dec_Period_2_Tbl[[#All],[STAFF:]],$A59,Dec_Period_2_Tbl[[#All],['# PTO USED]]))</f>
        <v>0</v>
      </c>
      <c r="F59" s="189">
        <f>(SUMIF(Jan_Period_1_Tbl[[#All],[STAFF:]],$A59,Jan_Period_1_Tbl[[#All],['# HRS WORKED]])+
SUMIF(Feb_Period_1_Tbl[[#All],[STAFF:]],$A59,Feb_Period_1_Tbl[[#All],['# HRS WORKED]])+SUMIF(Mar_Period_1_Tbl[[#All],[STAFF:]],$A59,Mar_Period_1_Tbl[[#All],['# HRS WORKED]])+SUMIF(Apr_Period_1_Tbl[[#All],[STAFF:]],$A59,Apr_Period_1_Tbl[[#All],['# HRS WORKED]])+   SUMIF(May_Period_1_Tbl[[#All],[STAFF:]],$A59,May_Period_1_Tbl[[#All],['# HRS WORKED]])+   SUMIF(Jun_Period_1_Tbl[[#All],[STAFF:]],$A59,Jun_Period_1_Tbl[[#All],['# HRS WORKED]])+  SUMIF(Jul_Period_1_Tbl[[#All],[STAFF:]],$A59,Jul_Period_1_Tbl[[#All],['# HRS WORKED]])+  SUMIF(Aug_Period_1_Tbl[[#All],[STAFF:]],$A59,Aug_Period_1_Tbl[[#All],['# HRS WORKED]])+  SUMIF(Sep_Period_1_Tbl[[#All],[STAFF:]],$A59,Sep_Period_1_Tbl[[#All],['# HRS WORKED]])+  SUMIF(Oct_Period_1_Tbl[[#All],[STAFF:]],$A59,Oct_Period_1_Tbl[[#All],['# HRS WORKED]])+     SUMIF(Nov_Period_1_Tbl[[#All],[STAFF:]],$A59,Nov_Period_1_Tbl[[#All],['# HRS WORKED]])+  SUMIF(Dec_Period_1_Tbl[[#All],[STAFF:]],$A59,Dec_Period_1_Tbl[[#All],['# HRS WORKED]]))+   (SUMIF(Jan_Period_2_Tbl[[#All],[STAFF:]],$A59,Jan_Period_2_Tbl[[#All],['# HRS WORKED]])+
SUMIF(Feb_Period_2_Tbl[[#All],[STAFF:]],$A59,Feb_Period_2_Tbl[[#All],['# HRS WORKED]])+SUMIF(Mar_Period_2_Tbl[[#All],[STAFF:]],$A59,Mar_Period_2_Tbl[[#All],['# HRS WORKED]])+SUMIF(Apr_Period_2_Tbl[[#All],[STAFF:]],$A59,Apr_Period_2_Tbl[[#All],['# HRS WORKED]])+   SUMIF(May_Period_2_Tbl[[#All],[STAFF:]],$A59,May_Period_2_Tbl[[#All],['# HRS WORKED]])+   SUMIF(Jun_Period_2_Tbl[[#All],[STAFF:]],$A59,Jun_Period_2_Tbl[[#All],['# HRS WORKED]])+  SUMIF(Jul_Period_2_Tbl[[#All],[STAFF:]],$A59,Jul_Period_2_Tbl[[#All],['# HRS WORKED]])+  SUMIF(Aug_Period_2_Tbl[[#All],[STAFF:]],$A59,Aug_Period_2_Tbl[[#All],['# HRS WORKED]])+  SUMIF(Sep_Period_2_Tbl[[#All],[STAFF:]],$A59,Sep_Period_2_Tbl[[#All],['# HRS WORKED]])+  SUMIF(Oct_Period_2_Tbl[[#All],[STAFF:]],$A59,Oct_Period_2_Tbl[[#All],['# HRS WORKED]])+     SUMIF(Nov_Period_2_Tbl[[#All],[STAFF:]],$A59,Nov_Period_2_Tbl[[#All],['# HRS WORKED]])+  SUMIF(Dec_Period_2_Tbl[[#All],[STAFF:]],$A59,Dec_Period_2_Tbl[[#All],['# HRS WORKED]]))</f>
        <v>0</v>
      </c>
      <c r="G59" s="190">
        <f>(SUMIF(Jan_Period_1_Tbl[[#All],[STAFF:]],$A59,Jan_Period_1_Tbl[[#All],[$ Hourly WAGES]])+
SUMIF(Feb_Period_1_Tbl[[#All],[STAFF:]],$A59,Feb_Period_1_Tbl[[#All],[$ Hourly WAGES]])+SUMIF(Mar_Period_1_Tbl[[#All],[STAFF:]],$A59,Mar_Period_1_Tbl[[#All],[$ Hourly WAGES]])+SUMIF(Apr_Period_1_Tbl[[#All],[STAFF:]],$A59,Apr_Period_1_Tbl[[#All],[$ Hourly WAGES]])+   SUMIF(May_Period_1_Tbl[[#All],[STAFF:]],$A59,May_Period_1_Tbl[[#All],[$ Hourly WAGES]])+   SUMIF(Jun_Period_1_Tbl[[#All],[STAFF:]],$A59,Jun_Period_1_Tbl[[#All],[$ Hourly WAGES]])+  SUMIF(Jul_Period_1_Tbl[[#All],[STAFF:]],$A59,Jul_Period_1_Tbl[[#All],[$ Hourly WAGES]])+  SUMIF(Aug_Period_1_Tbl[[#All],[STAFF:]],$A59,Aug_Period_1_Tbl[[#All],[$ Hourly WAGES]])+  SUMIF(Sep_Period_1_Tbl[[#All],[STAFF:]],$A59,Sep_Period_1_Tbl[[#All],[$ Hourly WAGES]])+  SUMIF(Oct_Period_1_Tbl[[#All],[STAFF:]],$A59,Oct_Period_1_Tbl[[#All],[$ Hourly WAGES]])+     SUMIF(Nov_Period_1_Tbl[[#All],[STAFF:]],$A59,Nov_Period_1_Tbl[[#All],[$ Hourly WAGES]])+  SUMIF(Dec_Period_1_Tbl[[#All],[STAFF:]],$A59,Dec_Period_1_Tbl[[#All],[$ Hourly WAGES]]))+   (SUMIF(Jan_Period_2_Tbl[[#All],[STAFF:]],$A59,Jan_Period_2_Tbl[[#All],[$ Hourly WAGES]])+
SUMIF(Feb_Period_2_Tbl[[#All],[STAFF:]],$A59,Feb_Period_2_Tbl[[#All],[$ Hourly WAGES]])+SUMIF(Mar_Period_2_Tbl[[#All],[STAFF:]],$A59,Mar_Period_2_Tbl[[#All],[$ Hourly WAGES]])+SUMIF(Apr_Period_2_Tbl[[#All],[STAFF:]],$A59,Apr_Period_2_Tbl[[#All],[$ Hourly WAGES]])+   SUMIF(May_Period_2_Tbl[[#All],[STAFF:]],$A59,May_Period_2_Tbl[[#All],[$ Hourly WAGES]])+   SUMIF(Jun_Period_2_Tbl[[#All],[STAFF:]],$A59,Jun_Period_2_Tbl[[#All],[$ Hourly WAGES]])+  SUMIF(Jul_Period_2_Tbl[[#All],[STAFF:]],$A59,Jul_Period_2_Tbl[[#All],[$ Hourly WAGES]])+  SUMIF(Aug_Period_2_Tbl[[#All],[STAFF:]],$A59,Aug_Period_2_Tbl[[#All],[$ Hourly WAGES]])+  SUMIF(Sep_Period_2_Tbl[[#All],[STAFF:]],$A59,Sep_Period_2_Tbl[[#All],[$ Hourly WAGES]])+  SUMIF(Oct_Period_2_Tbl[[#All],[STAFF:]],$A59,Oct_Period_2_Tbl[[#All],[$ Hourly WAGES]])+     SUMIF(Nov_Period_2_Tbl[[#All],[STAFF:]],$A59,Nov_Period_2_Tbl[[#All],[$ Hourly WAGES]])+  SUMIF(Dec_Period_2_Tbl[[#All],[STAFF:]],$A59,Dec_Period_2_Tbl[[#All],[$ Hourly WAGES]]))</f>
        <v>0</v>
      </c>
      <c r="H59" s="190">
        <f>(SUMIF(Jan_Period_1_Tbl[[#All],[STAFF:]],$A59,Jan_Period_1_Tbl[[#All],[$ SALARY]])+
SUMIF(Feb_Period_1_Tbl[[#All],[STAFF:]],$A59,Feb_Period_1_Tbl[[#All],[$ SALARY]])+SUMIF(Mar_Period_1_Tbl[[#All],[STAFF:]],$A59,Mar_Period_1_Tbl[[#All],[$ SALARY]])+SUMIF(Apr_Period_1_Tbl[[#All],[STAFF:]],$A59,Apr_Period_1_Tbl[[#All],[$ SALARY]])+   SUMIF(May_Period_1_Tbl[[#All],[STAFF:]],$A59,May_Period_1_Tbl[[#All],[$ SALARY]])+   SUMIF(Jun_Period_1_Tbl[[#All],[STAFF:]],$A59,Jun_Period_1_Tbl[[#All],[$ SALARY]])+  SUMIF(Jul_Period_1_Tbl[[#All],[STAFF:]],$A59,Jul_Period_1_Tbl[[#All],[$ SALARY]])+  SUMIF(Aug_Period_1_Tbl[[#All],[STAFF:]],$A59,Aug_Period_1_Tbl[[#All],[$ SALARY]])+  SUMIF(Sep_Period_1_Tbl[[#All],[STAFF:]],$A59,Sep_Period_1_Tbl[[#All],[$ SALARY]])+  SUMIF(Oct_Period_1_Tbl[[#All],[STAFF:]],$A59,Oct_Period_1_Tbl[[#All],[$ SALARY]])+     SUMIF(Nov_Period_1_Tbl[[#All],[STAFF:]],$A59,Nov_Period_1_Tbl[[#All],[$ SALARY]])+  SUMIF(Dec_Period_1_Tbl[[#All],[STAFF:]],$A59,Dec_Period_1_Tbl[[#All],[$ SALARY]]))+   (SUMIF(Jan_Period_2_Tbl[[#All],[STAFF:]],$A59,Jan_Period_2_Tbl[[#All],[$ SALARY]])+
SUMIF(Feb_Period_2_Tbl[[#All],[STAFF:]],$A59,Feb_Period_2_Tbl[[#All],[$ SALARY]])+SUMIF(Mar_Period_2_Tbl[[#All],[STAFF:]],$A59,Mar_Period_2_Tbl[[#All],[$ SALARY]])+SUMIF(Apr_Period_2_Tbl[[#All],[STAFF:]],$A59,Apr_Period_2_Tbl[[#All],[$ SALARY]])+   SUMIF(May_Period_2_Tbl[[#All],[STAFF:]],$A59,May_Period_2_Tbl[[#All],[$ SALARY]])+   SUMIF(Jun_Period_2_Tbl[[#All],[STAFF:]],$A59,Jun_Period_2_Tbl[[#All],[$ SALARY]])+  SUMIF(Jul_Period_2_Tbl[[#All],[STAFF:]],$A59,Jul_Period_2_Tbl[[#All],[$ SALARY]])+  SUMIF(Aug_Period_2_Tbl[[#All],[STAFF:]],$A59,Aug_Period_2_Tbl[[#All],[$ SALARY]])+  SUMIF(Sep_Period_2_Tbl[[#All],[STAFF:]],$A59,Sep_Period_2_Tbl[[#All],[$ SALARY]])+  SUMIF(Oct_Period_2_Tbl[[#All],[STAFF:]],$A59,Oct_Period_2_Tbl[[#All],[$ SALARY]])+     SUMIF(Nov_Period_2_Tbl[[#All],[STAFF:]],$A59,Nov_Period_2_Tbl[[#All],[$ SALARY]])+  SUMIF(Dec_Period_2_Tbl[[#All],[STAFF:]],$A59,Dec_Period_2_Tbl[[#All],[$ SALARY]]))</f>
        <v>0</v>
      </c>
      <c r="I59" s="190">
        <f>(SUMIF(Jan_Period_1_Tbl[[#All],[STAFF:]],$A59,Jan_Period_1_Tbl[[#All],[$ SALARY PT]])+
SUMIF(Feb_Period_1_Tbl[[#All],[STAFF:]],$A59,Feb_Period_1_Tbl[[#All],[$ SALARY PT]])+SUMIF(Mar_Period_1_Tbl[[#All],[STAFF:]],$A59,Mar_Period_1_Tbl[[#All],[$ SALARY PT]])+SUMIF(Apr_Period_1_Tbl[[#All],[STAFF:]],$A59,Apr_Period_1_Tbl[[#All],[$ SALARY PT]])+   SUMIF(May_Period_1_Tbl[[#All],[STAFF:]],$A59,May_Period_1_Tbl[[#All],[$ SALARY PT]])+   SUMIF(Jun_Period_1_Tbl[[#All],[STAFF:]],$A59,Jun_Period_1_Tbl[[#All],[$ SALARY PT]])+  SUMIF(Jul_Period_1_Tbl[[#All],[STAFF:]],$A59,Jul_Period_1_Tbl[[#All],[$ SALARY PT]])+  SUMIF(Aug_Period_1_Tbl[[#All],[STAFF:]],$A59,Aug_Period_1_Tbl[[#All],[$ SALARY PT]])+  SUMIF(Sep_Period_1_Tbl[[#All],[STAFF:]],$A59,Sep_Period_1_Tbl[[#All],[$ SALARY PT]])+  SUMIF(Oct_Period_1_Tbl[[#All],[STAFF:]],$A59,Oct_Period_1_Tbl[[#All],[$ SALARY PT]])+     SUMIF(Nov_Period_1_Tbl[[#All],[STAFF:]],$A59,Nov_Period_1_Tbl[[#All],[$ SALARY PT]])+  SUMIF(Dec_Period_1_Tbl[[#All],[STAFF:]],$A59,Dec_Period_1_Tbl[[#All],[$ SALARY PT]]))+   (SUMIF(Jan_Period_2_Tbl[[#All],[STAFF:]],$A59,Jan_Period_2_Tbl[[#All],[$ SALARY PT]])+
SUMIF(Feb_Period_2_Tbl[[#All],[STAFF:]],$A59,Feb_Period_2_Tbl[[#All],[$ SALARY PT]])+SUMIF(Mar_Period_2_Tbl[[#All],[STAFF:]],$A59,Mar_Period_2_Tbl[[#All],[$ SALARY PT]])+SUMIF(Apr_Period_2_Tbl[[#All],[STAFF:]],$A59,Apr_Period_2_Tbl[[#All],[$ SALARY PT]])+   SUMIF(May_Period_2_Tbl[[#All],[STAFF:]],$A59,May_Period_2_Tbl[[#All],[$ SALARY PT]])+   SUMIF(Jun_Period_2_Tbl[[#All],[STAFF:]],$A59,Jun_Period_2_Tbl[[#All],[$ SALARY PT]])+  SUMIF(Jul_Period_2_Tbl[[#All],[STAFF:]],$A59,Jul_Period_2_Tbl[[#All],[$ SALARY PT]])+  SUMIF(Aug_Period_2_Tbl[[#All],[STAFF:]],$A59,Aug_Period_2_Tbl[[#All],[$ SALARY PT]])+  SUMIF(Sep_Period_2_Tbl[[#All],[STAFF:]],$A59,Sep_Period_2_Tbl[[#All],[$ SALARY PT]])+  SUMIF(Oct_Period_2_Tbl[[#All],[STAFF:]],$A59,Oct_Period_2_Tbl[[#All],[$ SALARY PT]])+     SUMIF(Nov_Period_2_Tbl[[#All],[STAFF:]],$A59,Nov_Period_2_Tbl[[#All],[$ SALARY PT]])+  SUMIF(Dec_Period_2_Tbl[[#All],[STAFF:]],$A59,Dec_Period_2_Tbl[[#All],[$ SALARY PT]]))</f>
        <v>0</v>
      </c>
      <c r="J59" s="190">
        <f>(SUMIF(Jan_Period_1_Tbl[[#All],[STAFF:]],$A59,Jan_Period_1_Tbl[[#All],[$ FREE PT]])+
SUMIF(Feb_Period_1_Tbl[[#All],[STAFF:]],$A59,Feb_Period_1_Tbl[[#All],[$ FREE PT]])+SUMIF(Mar_Period_1_Tbl[[#All],[STAFF:]],$A59,Mar_Period_1_Tbl[[#All],[$ FREE PT]])+SUMIF(Apr_Period_1_Tbl[[#All],[STAFF:]],$A59,Apr_Period_1_Tbl[[#All],[$ FREE PT]])+   SUMIF(May_Period_1_Tbl[[#All],[STAFF:]],$A59,May_Period_1_Tbl[[#All],[$ FREE PT]])+   SUMIF(Jun_Period_1_Tbl[[#All],[STAFF:]],$A59,Jun_Period_1_Tbl[[#All],[$ FREE PT]])+  SUMIF(Jul_Period_1_Tbl[[#All],[STAFF:]],$A59,Jul_Period_1_Tbl[[#All],[$ FREE PT]])+  SUMIF(Aug_Period_1_Tbl[[#All],[STAFF:]],$A59,Aug_Period_1_Tbl[[#All],[$ FREE PT]])+  SUMIF(Sep_Period_1_Tbl[[#All],[STAFF:]],$A59,Sep_Period_1_Tbl[[#All],[$ FREE PT]])+  SUMIF(Oct_Period_1_Tbl[[#All],[STAFF:]],$A59,Oct_Period_1_Tbl[[#All],[$ FREE PT]])+     SUMIF(Nov_Period_1_Tbl[[#All],[STAFF:]],$A59,Nov_Period_1_Tbl[[#All],[$ FREE PT]])+  SUMIF(Dec_Period_1_Tbl[[#All],[STAFF:]],$A59,Dec_Period_1_Tbl[[#All],[$ FREE PT]]))+   (SUMIF(Jan_Period_2_Tbl[[#All],[STAFF:]],$A59,Jan_Period_2_Tbl[[#All],[$ FREE PT]])+
SUMIF(Feb_Period_2_Tbl[[#All],[STAFF:]],$A59,Feb_Period_2_Tbl[[#All],[$ FREE PT]])+SUMIF(Mar_Period_2_Tbl[[#All],[STAFF:]],$A59,Mar_Period_2_Tbl[[#All],[$ FREE PT]])+SUMIF(Apr_Period_2_Tbl[[#All],[STAFF:]],$A59,Apr_Period_2_Tbl[[#All],[$ FREE PT]])+   SUMIF(May_Period_2_Tbl[[#All],[STAFF:]],$A59,May_Period_2_Tbl[[#All],[$ FREE PT]])+   SUMIF(Jun_Period_2_Tbl[[#All],[STAFF:]],$A59,Jun_Period_2_Tbl[[#All],[$ FREE PT]])+  SUMIF(Jul_Period_2_Tbl[[#All],[STAFF:]],$A59,Jul_Period_2_Tbl[[#All],[$ FREE PT]])+  SUMIF(Aug_Period_2_Tbl[[#All],[STAFF:]],$A59,Aug_Period_2_Tbl[[#All],[$ FREE PT]])+  SUMIF(Sep_Period_2_Tbl[[#All],[STAFF:]],$A59,Sep_Period_2_Tbl[[#All],[$ FREE PT]])+  SUMIF(Oct_Period_2_Tbl[[#All],[STAFF:]],$A59,Oct_Period_2_Tbl[[#All],[$ FREE PT]])+     SUMIF(Nov_Period_2_Tbl[[#All],[STAFF:]],$A59,Nov_Period_2_Tbl[[#All],[$ FREE PT]])+  SUMIF(Dec_Period_2_Tbl[[#All],[STAFF:]],$A59,Dec_Period_2_Tbl[[#All],[$ FREE PT]]))</f>
        <v>0</v>
      </c>
      <c r="K59" s="190">
        <f>(SUMIF(Jan_Period_1_Tbl[[#All],[STAFF:]],$A59,Jan_Period_1_Tbl[[#All],[$ PAID PT]])+
SUMIF(Feb_Period_1_Tbl[[#All],[STAFF:]],$A59,Feb_Period_1_Tbl[[#All],[$ PAID PT]])+SUMIF(Mar_Period_1_Tbl[[#All],[STAFF:]],$A59,Mar_Period_1_Tbl[[#All],[$ PAID PT]])+SUMIF(Apr_Period_1_Tbl[[#All],[STAFF:]],$A59,Apr_Period_1_Tbl[[#All],[$ PAID PT]])+   SUMIF(May_Period_1_Tbl[[#All],[STAFF:]],$A59,May_Period_1_Tbl[[#All],[$ PAID PT]])+   SUMIF(Jun_Period_1_Tbl[[#All],[STAFF:]],$A59,Jun_Period_1_Tbl[[#All],[$ PAID PT]])+  SUMIF(Jul_Period_1_Tbl[[#All],[STAFF:]],$A59,Jul_Period_1_Tbl[[#All],[$ PAID PT]])+  SUMIF(Aug_Period_1_Tbl[[#All],[STAFF:]],$A59,Aug_Period_1_Tbl[[#All],[$ PAID PT]])+  SUMIF(Sep_Period_1_Tbl[[#All],[STAFF:]],$A59,Sep_Period_1_Tbl[[#All],[$ PAID PT]])+  SUMIF(Oct_Period_1_Tbl[[#All],[STAFF:]],$A59,Oct_Period_1_Tbl[[#All],[$ PAID PT]])+     SUMIF(Nov_Period_1_Tbl[[#All],[STAFF:]],$A59,Nov_Period_1_Tbl[[#All],[$ PAID PT]])+  SUMIF(Dec_Period_1_Tbl[[#All],[STAFF:]],$A59,Dec_Period_1_Tbl[[#All],[$ PAID PT]]))+   (SUMIF(Jan_Period_2_Tbl[[#All],[STAFF:]],$A59,Jan_Period_2_Tbl[[#All],[$ PAID PT]])+
SUMIF(Feb_Period_2_Tbl[[#All],[STAFF:]],$A59,Feb_Period_2_Tbl[[#All],[$ PAID PT]])+SUMIF(Mar_Period_2_Tbl[[#All],[STAFF:]],$A59,Mar_Period_2_Tbl[[#All],[$ PAID PT]])+SUMIF(Apr_Period_2_Tbl[[#All],[STAFF:]],$A59,Apr_Period_2_Tbl[[#All],[$ PAID PT]])+   SUMIF(May_Period_2_Tbl[[#All],[STAFF:]],$A59,May_Period_2_Tbl[[#All],[$ PAID PT]])+   SUMIF(Jun_Period_2_Tbl[[#All],[STAFF:]],$A59,Jun_Period_2_Tbl[[#All],[$ PAID PT]])+  SUMIF(Jul_Period_2_Tbl[[#All],[STAFF:]],$A59,Jul_Period_2_Tbl[[#All],[$ PAID PT]])+  SUMIF(Aug_Period_2_Tbl[[#All],[STAFF:]],$A59,Aug_Period_2_Tbl[[#All],[$ PAID PT]])+  SUMIF(Sep_Period_2_Tbl[[#All],[STAFF:]],$A59,Sep_Period_2_Tbl[[#All],[$ PAID PT]])+  SUMIF(Oct_Period_2_Tbl[[#All],[STAFF:]],$A59,Oct_Period_2_Tbl[[#All],[$ PAID PT]])+     SUMIF(Nov_Period_2_Tbl[[#All],[STAFF:]],$A59,Nov_Period_2_Tbl[[#All],[$ PAID PT]])+  SUMIF(Dec_Period_2_Tbl[[#All],[STAFF:]],$A59,Dec_Period_2_Tbl[[#All],[$ PAID PT]]))</f>
        <v>0</v>
      </c>
      <c r="L59" s="190">
        <f>(SUMIF(Jan_Period_1_Tbl[[#All],[STAFF:]],$A59,Jan_Period_1_Tbl[[#All],[$ PT COMM]])+
SUMIF(Feb_Period_1_Tbl[[#All],[STAFF:]],$A59,Feb_Period_1_Tbl[[#All],[$ PT COMM]])+SUMIF(Mar_Period_1_Tbl[[#All],[STAFF:]],$A59,Mar_Period_1_Tbl[[#All],[$ PT COMM]])+SUMIF(Apr_Period_1_Tbl[[#All],[STAFF:]],$A59,Apr_Period_1_Tbl[[#All],[$ PT COMM]])+   SUMIF(May_Period_1_Tbl[[#All],[STAFF:]],$A59,May_Period_1_Tbl[[#All],[$ PT COMM]])+   SUMIF(Jun_Period_1_Tbl[[#All],[STAFF:]],$A59,Jun_Period_1_Tbl[[#All],[$ PT COMM]])+  SUMIF(Jul_Period_1_Tbl[[#All],[STAFF:]],$A59,Jul_Period_1_Tbl[[#All],[$ PT COMM]])+  SUMIF(Aug_Period_1_Tbl[[#All],[STAFF:]],$A59,Aug_Period_1_Tbl[[#All],[$ PT COMM]])+  SUMIF(Sep_Period_1_Tbl[[#All],[STAFF:]],$A59,Sep_Period_1_Tbl[[#All],[$ PT COMM]])+  SUMIF(Oct_Period_1_Tbl[[#All],[STAFF:]],$A59,Oct_Period_1_Tbl[[#All],[$ PT COMM]])+     SUMIF(Nov_Period_1_Tbl[[#All],[STAFF:]],$A59,Nov_Period_1_Tbl[[#All],[$ PT COMM]])+  SUMIF(Dec_Period_1_Tbl[[#All],[STAFF:]],$A59,Dec_Period_1_Tbl[[#All],[$ PT COMM]]))+   (SUMIF(Jan_Period_2_Tbl[[#All],[STAFF:]],$A59,Jan_Period_2_Tbl[[#All],[$ PT COMM]])+
SUMIF(Feb_Period_2_Tbl[[#All],[STAFF:]],$A59,Feb_Period_2_Tbl[[#All],[$ PT COMM]])+SUMIF(Mar_Period_2_Tbl[[#All],[STAFF:]],$A59,Mar_Period_2_Tbl[[#All],[$ PT COMM]])+SUMIF(Apr_Period_2_Tbl[[#All],[STAFF:]],$A59,Apr_Period_2_Tbl[[#All],[$ PT COMM]])+   SUMIF(May_Period_2_Tbl[[#All],[STAFF:]],$A59,May_Period_2_Tbl[[#All],[$ PT COMM]])+   SUMIF(Jun_Period_2_Tbl[[#All],[STAFF:]],$A59,Jun_Period_2_Tbl[[#All],[$ PT COMM]])+  SUMIF(Jul_Period_2_Tbl[[#All],[STAFF:]],$A59,Jul_Period_2_Tbl[[#All],[$ PT COMM]])+  SUMIF(Aug_Period_2_Tbl[[#All],[STAFF:]],$A59,Aug_Period_2_Tbl[[#All],[$ PT COMM]])+  SUMIF(Sep_Period_2_Tbl[[#All],[STAFF:]],$A59,Sep_Period_2_Tbl[[#All],[$ PT COMM]])+  SUMIF(Oct_Period_2_Tbl[[#All],[STAFF:]],$A59,Oct_Period_2_Tbl[[#All],[$ PT COMM]])+     SUMIF(Nov_Period_2_Tbl[[#All],[STAFF:]],$A59,Nov_Period_2_Tbl[[#All],[$ PT COMM]])+  SUMIF(Dec_Period_2_Tbl[[#All],[STAFF:]],$A59,Dec_Period_2_Tbl[[#All],[$ PT COMM]]))</f>
        <v>0</v>
      </c>
      <c r="M59" s="190">
        <f>(SUMIF(Jan_Period_1_Tbl[[#All],[STAFF:]],$A59,Jan_Period_1_Tbl[[#All],[$ EFT COMM]])+
SUMIF(Feb_Period_1_Tbl[[#All],[STAFF:]],$A59,Feb_Period_1_Tbl[[#All],[$ EFT COMM]])+SUMIF(Mar_Period_1_Tbl[[#All],[STAFF:]],$A59,Mar_Period_1_Tbl[[#All],[$ EFT COMM]])+SUMIF(Apr_Period_1_Tbl[[#All],[STAFF:]],$A59,Apr_Period_1_Tbl[[#All],[$ EFT COMM]])+   SUMIF(May_Period_1_Tbl[[#All],[STAFF:]],$A59,May_Period_1_Tbl[[#All],[$ EFT COMM]])+   SUMIF(Jun_Period_1_Tbl[[#All],[STAFF:]],$A59,Jun_Period_1_Tbl[[#All],[$ EFT COMM]])+  SUMIF(Jul_Period_1_Tbl[[#All],[STAFF:]],$A59,Jul_Period_1_Tbl[[#All],[$ EFT COMM]])+  SUMIF(Aug_Period_1_Tbl[[#All],[STAFF:]],$A59,Aug_Period_1_Tbl[[#All],[$ EFT COMM]])+  SUMIF(Sep_Period_1_Tbl[[#All],[STAFF:]],$A59,Sep_Period_1_Tbl[[#All],[$ EFT COMM]])+  SUMIF(Oct_Period_1_Tbl[[#All],[STAFF:]],$A59,Oct_Period_1_Tbl[[#All],[$ EFT COMM]])+     SUMIF(Nov_Period_1_Tbl[[#All],[STAFF:]],$A59,Nov_Period_1_Tbl[[#All],[$ EFT COMM]])+  SUMIF(Dec_Period_1_Tbl[[#All],[STAFF:]],$A59,Dec_Period_1_Tbl[[#All],[$ EFT COMM]]))+   (SUMIF(Jan_Period_2_Tbl[[#All],[STAFF:]],$A59,Jan_Period_2_Tbl[[#All],[$ EFT COMM]])+
SUMIF(Feb_Period_2_Tbl[[#All],[STAFF:]],$A59,Feb_Period_2_Tbl[[#All],[$ EFT COMM]])+SUMIF(Mar_Period_2_Tbl[[#All],[STAFF:]],$A59,Mar_Period_2_Tbl[[#All],[$ EFT COMM]])+SUMIF(Apr_Period_2_Tbl[[#All],[STAFF:]],$A59,Apr_Period_2_Tbl[[#All],[$ EFT COMM]])+   SUMIF(May_Period_2_Tbl[[#All],[STAFF:]],$A59,May_Period_2_Tbl[[#All],[$ EFT COMM]])+   SUMIF(Jun_Period_2_Tbl[[#All],[STAFF:]],$A59,Jun_Period_2_Tbl[[#All],[$ EFT COMM]])+  SUMIF(Jul_Period_2_Tbl[[#All],[STAFF:]],$A59,Jul_Period_2_Tbl[[#All],[$ EFT COMM]])+  SUMIF(Aug_Period_2_Tbl[[#All],[STAFF:]],$A59,Aug_Period_2_Tbl[[#All],[$ EFT COMM]])+  SUMIF(Sep_Period_2_Tbl[[#All],[STAFF:]],$A59,Sep_Period_2_Tbl[[#All],[$ EFT COMM]])+  SUMIF(Oct_Period_2_Tbl[[#All],[STAFF:]],$A59,Oct_Period_2_Tbl[[#All],[$ EFT COMM]])+     SUMIF(Nov_Period_2_Tbl[[#All],[STAFF:]],$A59,Nov_Period_2_Tbl[[#All],[$ EFT COMM]])+  SUMIF(Dec_Period_2_Tbl[[#All],[STAFF:]],$A59,Dec_Period_2_Tbl[[#All],[$ EFT COMM]]))</f>
        <v>0</v>
      </c>
      <c r="N59" s="190">
        <f>(SUMIF(Jan_Period_1_Tbl[[#All],[STAFF:]],$A59,Jan_Period_1_Tbl[[#All],[$ CLASS PAY]])+
SUMIF(Feb_Period_1_Tbl[[#All],[STAFF:]],$A59,Feb_Period_1_Tbl[[#All],[$ CLASS PAY]])+SUMIF(Mar_Period_1_Tbl[[#All],[STAFF:]],$A59,Mar_Period_1_Tbl[[#All],[$ CLASS PAY]])+SUMIF(Apr_Period_1_Tbl[[#All],[STAFF:]],$A59,Apr_Period_1_Tbl[[#All],[$ CLASS PAY]])+   SUMIF(May_Period_1_Tbl[[#All],[STAFF:]],$A59,May_Period_1_Tbl[[#All],[$ CLASS PAY]])+   SUMIF(Jun_Period_1_Tbl[[#All],[STAFF:]],$A59,Jun_Period_1_Tbl[[#All],[$ CLASS PAY]])+  SUMIF(Jul_Period_1_Tbl[[#All],[STAFF:]],$A59,Jul_Period_1_Tbl[[#All],[$ CLASS PAY]])+  SUMIF(Aug_Period_1_Tbl[[#All],[STAFF:]],$A59,Aug_Period_1_Tbl[[#All],[$ CLASS PAY]])+  SUMIF(Sep_Period_1_Tbl[[#All],[STAFF:]],$A59,Sep_Period_1_Tbl[[#All],[$ CLASS PAY]])+  SUMIF(Oct_Period_1_Tbl[[#All],[STAFF:]],$A59,Oct_Period_1_Tbl[[#All],[$ CLASS PAY]])+     SUMIF(Nov_Period_1_Tbl[[#All],[STAFF:]],$A59,Nov_Period_1_Tbl[[#All],[$ CLASS PAY]])+  SUMIF(Dec_Period_1_Tbl[[#All],[STAFF:]],$A59,Dec_Period_1_Tbl[[#All],[$ CLASS PAY]]))+   (SUMIF(Jan_Period_2_Tbl[[#All],[STAFF:]],$A59,Jan_Period_2_Tbl[[#All],[$ CLASS PAY]])+
SUMIF(Feb_Period_2_Tbl[[#All],[STAFF:]],$A59,Feb_Period_2_Tbl[[#All],[$ CLASS PAY]])+SUMIF(Mar_Period_2_Tbl[[#All],[STAFF:]],$A59,Mar_Period_2_Tbl[[#All],[$ CLASS PAY]])+SUMIF(Apr_Period_2_Tbl[[#All],[STAFF:]],$A59,Apr_Period_2_Tbl[[#All],[$ CLASS PAY]])+   SUMIF(May_Period_2_Tbl[[#All],[STAFF:]],$A59,May_Period_2_Tbl[[#All],[$ CLASS PAY]])+   SUMIF(Jun_Period_2_Tbl[[#All],[STAFF:]],$A59,Jun_Period_2_Tbl[[#All],[$ CLASS PAY]])+  SUMIF(Jul_Period_2_Tbl[[#All],[STAFF:]],$A59,Jul_Period_2_Tbl[[#All],[$ CLASS PAY]])+  SUMIF(Aug_Period_2_Tbl[[#All],[STAFF:]],$A59,Aug_Period_2_Tbl[[#All],[$ CLASS PAY]])+  SUMIF(Sep_Period_2_Tbl[[#All],[STAFF:]],$A59,Sep_Period_2_Tbl[[#All],[$ CLASS PAY]])+  SUMIF(Oct_Period_2_Tbl[[#All],[STAFF:]],$A59,Oct_Period_2_Tbl[[#All],[$ CLASS PAY]])+     SUMIF(Nov_Period_2_Tbl[[#All],[STAFF:]],$A59,Nov_Period_2_Tbl[[#All],[$ CLASS PAY]])+  SUMIF(Dec_Period_2_Tbl[[#All],[STAFF:]],$A59,Dec_Period_2_Tbl[[#All],[$ CLASS PAY]]))</f>
        <v>0</v>
      </c>
      <c r="O59" s="191">
        <f>(SUMIF(Jan_Period_1_Tbl[[#All],[STAFF:]],$A59,Jan_Period_1_Tbl[[#All],[$ BONUS PAY]])+
SUMIF(Feb_Period_1_Tbl[[#All],[STAFF:]],$A59,Feb_Period_1_Tbl[[#All],[$ BONUS PAY]])+SUMIF(Mar_Period_1_Tbl[[#All],[STAFF:]],$A59,Mar_Period_1_Tbl[[#All],[$ BONUS PAY]])+SUMIF(Apr_Period_1_Tbl[[#All],[STAFF:]],$A59,Apr_Period_1_Tbl[[#All],[$ BONUS PAY]])+   SUMIF(May_Period_1_Tbl[[#All],[STAFF:]],$A59,May_Period_1_Tbl[[#All],[$ BONUS PAY]])+   SUMIF(Jun_Period_1_Tbl[[#All],[STAFF:]],$A59,Jun_Period_1_Tbl[[#All],[$ BONUS PAY]])+  SUMIF(Jul_Period_1_Tbl[[#All],[STAFF:]],$A59,Jul_Period_1_Tbl[[#All],[$ BONUS PAY]])+  SUMIF(Aug_Period_1_Tbl[[#All],[STAFF:]],$A59,Aug_Period_1_Tbl[[#All],[$ BONUS PAY]])+  SUMIF(Sep_Period_1_Tbl[[#All],[STAFF:]],$A59,Sep_Period_1_Tbl[[#All],[$ BONUS PAY]])+  SUMIF(Oct_Period_1_Tbl[[#All],[STAFF:]],$A59,Oct_Period_1_Tbl[[#All],[$ BONUS PAY]])+     SUMIF(Nov_Period_1_Tbl[[#All],[STAFF:]],$A59,Nov_Period_1_Tbl[[#All],[$ BONUS PAY]])+  SUMIF(Dec_Period_1_Tbl[[#All],[STAFF:]],$A59,Dec_Period_1_Tbl[[#All],[$ BONUS PAY]]))+   (SUMIF(Jan_Period_2_Tbl[[#All],[STAFF:]],$A59,Jan_Period_2_Tbl[[#All],[$ BONUS PAY]])+
SUMIF(Feb_Period_2_Tbl[[#All],[STAFF:]],$A59,Feb_Period_2_Tbl[[#All],[$ BONUS PAY]])+SUMIF(Mar_Period_2_Tbl[[#All],[STAFF:]],$A59,Mar_Period_2_Tbl[[#All],[$ BONUS PAY]])+SUMIF(Apr_Period_2_Tbl[[#All],[STAFF:]],$A59,Apr_Period_2_Tbl[[#All],[$ BONUS PAY]])+   SUMIF(May_Period_2_Tbl[[#All],[STAFF:]],$A59,May_Period_2_Tbl[[#All],[$ BONUS PAY]])+   SUMIF(Jun_Period_2_Tbl[[#All],[STAFF:]],$A59,Jun_Period_2_Tbl[[#All],[$ BONUS PAY]])+  SUMIF(Jul_Period_2_Tbl[[#All],[STAFF:]],$A59,Jul_Period_2_Tbl[[#All],[$ BONUS PAY]])+  SUMIF(Aug_Period_2_Tbl[[#All],[STAFF:]],$A59,Aug_Period_2_Tbl[[#All],[$ BONUS PAY]])+  SUMIF(Sep_Period_2_Tbl[[#All],[STAFF:]],$A59,Sep_Period_2_Tbl[[#All],[$ BONUS PAY]])+  SUMIF(Oct_Period_2_Tbl[[#All],[STAFF:]],$A59,Oct_Period_2_Tbl[[#All],[$ BONUS PAY]])+     SUMIF(Nov_Period_2_Tbl[[#All],[STAFF:]],$A59,Nov_Period_2_Tbl[[#All],[$ BONUS PAY]])+  SUMIF(Dec_Period_2_Tbl[[#All],[STAFF:]],$A59,Dec_Period_2_Tbl[[#All],[$ BONUS PAY]]))</f>
        <v>0</v>
      </c>
      <c r="P59" s="179">
        <f t="shared" si="9"/>
        <v>0</v>
      </c>
      <c r="Q59" s="149"/>
      <c r="R59" s="153">
        <f>(SUMIF(Jan_Period_1_Tbl[[#All],[STAFF:]],$A59,Jan_Period_1_Tbl[[#All],['# POINTS EARNED]])+
SUMIF(Feb_Period_1_Tbl[[#All],[STAFF:]],$A59,Feb_Period_1_Tbl[[#All],['# POINTS EARNED]])+SUMIF(Mar_Period_1_Tbl[[#All],[STAFF:]],$A59,Mar_Period_1_Tbl[[#All],['# POINTS EARNED]])+SUMIF(Apr_Period_1_Tbl[[#All],[STAFF:]],$A59,Apr_Period_1_Tbl[[#All],['# POINTS EARNED]])+   SUMIF(May_Period_1_Tbl[[#All],[STAFF:]],$A59,May_Period_1_Tbl[[#All],['# POINTS EARNED]])+   SUMIF(Jun_Period_1_Tbl[[#All],[STAFF:]],$A59,Jun_Period_1_Tbl[[#All],['# POINTS EARNED]])+  SUMIF(Jul_Period_1_Tbl[[#All],[STAFF:]],$A59,Jul_Period_1_Tbl[[#All],['# POINTS EARNED]])+  SUMIF(Aug_Period_1_Tbl[[#All],[STAFF:]],$A59,Aug_Period_1_Tbl[[#All],['# POINTS EARNED]])+  SUMIF(Sep_Period_1_Tbl[[#All],[STAFF:]],$A59,Sep_Period_1_Tbl[[#All],['# POINTS EARNED]])+  SUMIF(Oct_Period_1_Tbl[[#All],[STAFF:]],$A59,Oct_Period_1_Tbl[[#All],['# POINTS EARNED]])+     SUMIF(Nov_Period_1_Tbl[[#All],[STAFF:]],$A59,Nov_Period_1_Tbl[[#All],['# POINTS EARNED]])+  SUMIF(Dec_Period_1_Tbl[[#All],[STAFF:]],$A59,Dec_Period_1_Tbl[[#All],['# POINTS EARNED]]))+   (SUMIF(Jan_Period_2_Tbl[[#All],[STAFF:]],$A59,Jan_Period_2_Tbl[[#All],['# POINTS EARNED]])+
SUMIF(Feb_Period_2_Tbl[[#All],[STAFF:]],$A59,Feb_Period_2_Tbl[[#All],['# POINTS EARNED]])+SUMIF(Mar_Period_2_Tbl[[#All],[STAFF:]],$A59,Mar_Period_2_Tbl[[#All],['# POINTS EARNED]])+SUMIF(Apr_Period_2_Tbl[[#All],[STAFF:]],$A59,Apr_Period_2_Tbl[[#All],['# POINTS EARNED]])+   SUMIF(May_Period_2_Tbl[[#All],[STAFF:]],$A59,May_Period_2_Tbl[[#All],['# POINTS EARNED]])+   SUMIF(Jun_Period_2_Tbl[[#All],[STAFF:]],$A59,Jun_Period_2_Tbl[[#All],['# POINTS EARNED]])+  SUMIF(Jul_Period_2_Tbl[[#All],[STAFF:]],$A59,Jul_Period_2_Tbl[[#All],['# POINTS EARNED]])+  SUMIF(Aug_Period_2_Tbl[[#All],[STAFF:]],$A59,Aug_Period_2_Tbl[[#All],['# POINTS EARNED]])+  SUMIF(Sep_Period_2_Tbl[[#All],[STAFF:]],$A59,Sep_Period_2_Tbl[[#All],['# POINTS EARNED]])+  SUMIF(Oct_Period_2_Tbl[[#All],[STAFF:]],$A59,Oct_Period_2_Tbl[[#All],['# POINTS EARNED]])+     SUMIF(Nov_Period_2_Tbl[[#All],[STAFF:]],$A59,Nov_Period_2_Tbl[[#All],['# POINTS EARNED]])+  SUMIF(Dec_Period_2_Tbl[[#All],[STAFF:]],$A59,Dec_Period_2_Tbl[[#All],['# POINTS EARNED]]))</f>
        <v>0</v>
      </c>
      <c r="S59" s="153">
        <f>(SUMIF(Jan_Period_1_Tbl[[#All],[STAFF:]],$A59,Jan_Period_1_Tbl[[#All],['# POINTS USED]])+
SUMIF(Feb_Period_1_Tbl[[#All],[STAFF:]],$A59,Feb_Period_1_Tbl[[#All],['# POINTS USED]])+SUMIF(Mar_Period_1_Tbl[[#All],[STAFF:]],$A59,Mar_Period_1_Tbl[[#All],['# POINTS USED]])+SUMIF(Apr_Period_1_Tbl[[#All],[STAFF:]],$A59,Apr_Period_1_Tbl[[#All],['# POINTS USED]])+   SUMIF(May_Period_1_Tbl[[#All],[STAFF:]],$A59,May_Period_1_Tbl[[#All],['# POINTS USED]])+   SUMIF(Jun_Period_1_Tbl[[#All],[STAFF:]],$A59,Jun_Period_1_Tbl[[#All],['# POINTS USED]])+  SUMIF(Jul_Period_1_Tbl[[#All],[STAFF:]],$A59,Jul_Period_1_Tbl[[#All],['# POINTS USED]])+  SUMIF(Aug_Period_1_Tbl[[#All],[STAFF:]],$A59,Aug_Period_1_Tbl[[#All],['# POINTS USED]])+  SUMIF(Sep_Period_1_Tbl[[#All],[STAFF:]],$A59,Sep_Period_1_Tbl[[#All],['# POINTS USED]])+  SUMIF(Oct_Period_1_Tbl[[#All],[STAFF:]],$A59,Oct_Period_1_Tbl[[#All],['# POINTS USED]])+     SUMIF(Nov_Period_1_Tbl[[#All],[STAFF:]],$A59,Nov_Period_1_Tbl[[#All],['# POINTS USED]])+  SUMIF(Dec_Period_1_Tbl[[#All],[STAFF:]],$A59,Dec_Period_1_Tbl[[#All],['# POINTS USED]]))+   (SUMIF(Jan_Period_2_Tbl[[#All],[STAFF:]],$A59,Jan_Period_2_Tbl[[#All],['# POINTS USED]])+
SUMIF(Feb_Period_2_Tbl[[#All],[STAFF:]],$A59,Feb_Period_2_Tbl[[#All],['# POINTS USED]])+SUMIF(Mar_Period_2_Tbl[[#All],[STAFF:]],$A59,Mar_Period_2_Tbl[[#All],['# POINTS USED]])+SUMIF(Apr_Period_2_Tbl[[#All],[STAFF:]],$A59,Apr_Period_2_Tbl[[#All],['# POINTS USED]])+   SUMIF(May_Period_2_Tbl[[#All],[STAFF:]],$A59,May_Period_2_Tbl[[#All],['# POINTS USED]])+   SUMIF(Jun_Period_2_Tbl[[#All],[STAFF:]],$A59,Jun_Period_2_Tbl[[#All],['# POINTS USED]])+  SUMIF(Jul_Period_2_Tbl[[#All],[STAFF:]],$A59,Jul_Period_2_Tbl[[#All],['# POINTS USED]])+  SUMIF(Aug_Period_2_Tbl[[#All],[STAFF:]],$A59,Aug_Period_2_Tbl[[#All],['# POINTS USED]])+  SUMIF(Sep_Period_2_Tbl[[#All],[STAFF:]],$A59,Sep_Period_2_Tbl[[#All],['# POINTS USED]])+  SUMIF(Oct_Period_2_Tbl[[#All],[STAFF:]],$A59,Oct_Period_2_Tbl[[#All],['# POINTS USED]])+     SUMIF(Nov_Period_2_Tbl[[#All],[STAFF:]],$A59,Nov_Period_2_Tbl[[#All],['# POINTS USED]])+  SUMIF(Dec_Period_2_Tbl[[#All],[STAFF:]],$A59,Dec_Period_2_Tbl[[#All],['# POINTS USED]]))</f>
        <v>0</v>
      </c>
      <c r="T59" s="153">
        <f>(SUMIF(Jan_Period_1_Tbl[[#All],[STAFF:]],$A59,Jan_Period_1_Tbl[[#All],['# CLASSES LEAD]])+
SUMIF(Feb_Period_1_Tbl[[#All],[STAFF:]],$A59,Feb_Period_1_Tbl[[#All],['# CLASSES LEAD]])+SUMIF(Mar_Period_1_Tbl[[#All],[STAFF:]],$A59,Mar_Period_1_Tbl[[#All],['# CLASSES LEAD]])+SUMIF(Apr_Period_1_Tbl[[#All],[STAFF:]],$A59,Apr_Period_1_Tbl[[#All],['# CLASSES LEAD]])+   SUMIF(May_Period_1_Tbl[[#All],[STAFF:]],$A59,May_Period_1_Tbl[[#All],['# CLASSES LEAD]])+   SUMIF(Jun_Period_1_Tbl[[#All],[STAFF:]],$A59,Jun_Period_1_Tbl[[#All],['# CLASSES LEAD]])+  SUMIF(Jul_Period_1_Tbl[[#All],[STAFF:]],$A59,Jul_Period_1_Tbl[[#All],['# CLASSES LEAD]])+  SUMIF(Aug_Period_1_Tbl[[#All],[STAFF:]],$A59,Aug_Period_1_Tbl[[#All],['# CLASSES LEAD]])+  SUMIF(Sep_Period_1_Tbl[[#All],[STAFF:]],$A59,Sep_Period_1_Tbl[[#All],['# CLASSES LEAD]])+  SUMIF(Oct_Period_1_Tbl[[#All],[STAFF:]],$A59,Oct_Period_1_Tbl[[#All],['# CLASSES LEAD]])+     SUMIF(Nov_Period_1_Tbl[[#All],[STAFF:]],$A59,Nov_Period_1_Tbl[[#All],['# CLASSES LEAD]])+  SUMIF(Dec_Period_1_Tbl[[#All],[STAFF:]],$A59,Dec_Period_1_Tbl[[#All],['# CLASSES LEAD]]))+   (SUMIF(Jan_Period_2_Tbl[[#All],[STAFF:]],$A59,Jan_Period_2_Tbl[[#All],['# CLASSES LEAD]])+
SUMIF(Feb_Period_2_Tbl[[#All],[STAFF:]],$A59,Feb_Period_2_Tbl[[#All],['# CLASSES LEAD]])+SUMIF(Mar_Period_2_Tbl[[#All],[STAFF:]],$A59,Mar_Period_2_Tbl[[#All],['# CLASSES LEAD]])+SUMIF(Apr_Period_2_Tbl[[#All],[STAFF:]],$A59,Apr_Period_2_Tbl[[#All],['# CLASSES LEAD]])+   SUMIF(May_Period_2_Tbl[[#All],[STAFF:]],$A59,May_Period_2_Tbl[[#All],['# CLASSES LEAD]])+   SUMIF(Jun_Period_2_Tbl[[#All],[STAFF:]],$A59,Jun_Period_2_Tbl[[#All],['# CLASSES LEAD]])+  SUMIF(Jul_Period_2_Tbl[[#All],[STAFF:]],$A59,Jul_Period_2_Tbl[[#All],['# CLASSES LEAD]])+  SUMIF(Aug_Period_2_Tbl[[#All],[STAFF:]],$A59,Aug_Period_2_Tbl[[#All],['# CLASSES LEAD]])+  SUMIF(Sep_Period_2_Tbl[[#All],[STAFF:]],$A59,Sep_Period_2_Tbl[[#All],['# CLASSES LEAD]])+  SUMIF(Oct_Period_2_Tbl[[#All],[STAFF:]],$A59,Oct_Period_2_Tbl[[#All],['# CLASSES LEAD]])+     SUMIF(Nov_Period_2_Tbl[[#All],[STAFF:]],$A59,Nov_Period_2_Tbl[[#All],['# CLASSES LEAD]])+  SUMIF(Dec_Period_2_Tbl[[#All],[STAFF:]],$A59,Dec_Period_2_Tbl[[#All],['# CLASSES LEAD]]))</f>
        <v>0</v>
      </c>
      <c r="U59" s="153">
        <f>(SUMIF(Jan_Period_1_Tbl[[#All],[STAFF:]],$A59,Jan_Period_1_Tbl[[#All],['# CLASSES SHOW]])+
SUMIF(Feb_Period_1_Tbl[[#All],[STAFF:]],$A59,Feb_Period_1_Tbl[[#All],['# CLASSES SHOW]])+SUMIF(Mar_Period_1_Tbl[[#All],[STAFF:]],$A59,Mar_Period_1_Tbl[[#All],['# CLASSES SHOW]])+SUMIF(Apr_Period_1_Tbl[[#All],[STAFF:]],$A59,Apr_Period_1_Tbl[[#All],['# CLASSES SHOW]])+   SUMIF(May_Period_1_Tbl[[#All],[STAFF:]],$A59,May_Period_1_Tbl[[#All],['# CLASSES SHOW]])+   SUMIF(Jun_Period_1_Tbl[[#All],[STAFF:]],$A59,Jun_Period_1_Tbl[[#All],['# CLASSES SHOW]])+  SUMIF(Jul_Period_1_Tbl[[#All],[STAFF:]],$A59,Jul_Period_1_Tbl[[#All],['# CLASSES SHOW]])+  SUMIF(Aug_Period_1_Tbl[[#All],[STAFF:]],$A59,Aug_Period_1_Tbl[[#All],['# CLASSES SHOW]])+  SUMIF(Sep_Period_1_Tbl[[#All],[STAFF:]],$A59,Sep_Period_1_Tbl[[#All],['# CLASSES SHOW]])+  SUMIF(Oct_Period_1_Tbl[[#All],[STAFF:]],$A59,Oct_Period_1_Tbl[[#All],['# CLASSES SHOW]])+     SUMIF(Nov_Period_1_Tbl[[#All],[STAFF:]],$A59,Nov_Period_1_Tbl[[#All],['# CLASSES SHOW]])+  SUMIF(Dec_Period_1_Tbl[[#All],[STAFF:]],$A59,Dec_Period_1_Tbl[[#All],['# CLASSES SHOW]]))+   (SUMIF(Jan_Period_2_Tbl[[#All],[STAFF:]],$A59,Jan_Period_2_Tbl[[#All],['# CLASSES SHOW]])+
SUMIF(Feb_Period_2_Tbl[[#All],[STAFF:]],$A59,Feb_Period_2_Tbl[[#All],['# CLASSES SHOW]])+SUMIF(Mar_Period_2_Tbl[[#All],[STAFF:]],$A59,Mar_Period_2_Tbl[[#All],['# CLASSES SHOW]])+SUMIF(Apr_Period_2_Tbl[[#All],[STAFF:]],$A59,Apr_Period_2_Tbl[[#All],['# CLASSES SHOW]])+   SUMIF(May_Period_2_Tbl[[#All],[STAFF:]],$A59,May_Period_2_Tbl[[#All],['# CLASSES SHOW]])+   SUMIF(Jun_Period_2_Tbl[[#All],[STAFF:]],$A59,Jun_Period_2_Tbl[[#All],['# CLASSES SHOW]])+  SUMIF(Jul_Period_2_Tbl[[#All],[STAFF:]],$A59,Jul_Period_2_Tbl[[#All],['# CLASSES SHOW]])+  SUMIF(Aug_Period_2_Tbl[[#All],[STAFF:]],$A59,Aug_Period_2_Tbl[[#All],['# CLASSES SHOW]])+  SUMIF(Sep_Period_2_Tbl[[#All],[STAFF:]],$A59,Sep_Period_2_Tbl[[#All],['# CLASSES SHOW]])+  SUMIF(Oct_Period_2_Tbl[[#All],[STAFF:]],$A59,Oct_Period_2_Tbl[[#All],['# CLASSES SHOW]])+     SUMIF(Nov_Period_2_Tbl[[#All],[STAFF:]],$A59,Nov_Period_2_Tbl[[#All],['# CLASSES SHOW]])+  SUMIF(Dec_Period_2_Tbl[[#All],[STAFF:]],$A59,Dec_Period_2_Tbl[[#All],['# CLASSES SHOW]]))</f>
        <v>0</v>
      </c>
      <c r="V59" s="156"/>
      <c r="W59" s="156"/>
      <c r="X59" s="155">
        <f t="shared" si="10"/>
        <v>0</v>
      </c>
      <c r="Y59" s="155">
        <f t="shared" si="11"/>
        <v>0</v>
      </c>
      <c r="Z59" s="155">
        <f t="shared" si="12"/>
        <v>0</v>
      </c>
      <c r="AA59" s="155">
        <f t="shared" si="13"/>
        <v>0</v>
      </c>
      <c r="AB59" s="155">
        <f t="shared" si="14"/>
        <v>0</v>
      </c>
      <c r="AC59" s="155">
        <f t="shared" si="15"/>
        <v>0</v>
      </c>
      <c r="AD59" s="155">
        <f t="shared" si="16"/>
        <v>0</v>
      </c>
      <c r="AE59" s="149"/>
      <c r="AF59" s="149"/>
      <c r="AG59" s="149"/>
      <c r="AH59" s="149"/>
      <c r="AJ59" s="75" t="str">
        <f t="shared" si="17"/>
        <v>zBlank</v>
      </c>
      <c r="AK59" s="210"/>
      <c r="AL59" s="168">
        <f>IFERROR(VLOOKUP(B59,List!$A:$B,2,FALSE),-1)</f>
        <v>-1</v>
      </c>
      <c r="AM59" s="168">
        <f>IFERROR(VLOOKUP(C59,List!$A:$B,2,FALSE),-1)</f>
        <v>-1</v>
      </c>
    </row>
    <row r="60" spans="1:39" ht="15" hidden="1" customHeight="1" x14ac:dyDescent="0.25">
      <c r="A60" s="20"/>
      <c r="B60" s="186"/>
      <c r="C60" s="186"/>
      <c r="D60" s="187"/>
      <c r="E60" s="188">
        <f>(SUMIF(Jan_Period_1_Tbl[[#All],[STAFF:]],$A60,Jan_Period_1_Tbl[[#All],['# PTO USED]])+
SUMIF(Feb_Period_1_Tbl[[#All],[STAFF:]],$A60,Feb_Period_1_Tbl[[#All],['# PTO USED]])+SUMIF(Mar_Period_1_Tbl[[#All],[STAFF:]],$A60,Mar_Period_1_Tbl[[#All],['# PTO USED]])+SUMIF(Apr_Period_1_Tbl[[#All],[STAFF:]],$A60,Apr_Period_1_Tbl[[#All],['# PTO USED]])+   SUMIF(May_Period_1_Tbl[[#All],[STAFF:]],$A60,May_Period_1_Tbl[[#All],['# PTO USED]])+   SUMIF(Jun_Period_1_Tbl[[#All],[STAFF:]],$A60,Jun_Period_1_Tbl[[#All],['# PTO USED]])+  SUMIF(Jul_Period_1_Tbl[[#All],[STAFF:]],$A60,Jul_Period_1_Tbl[[#All],['# PTO USED]])+  SUMIF(Aug_Period_1_Tbl[[#All],[STAFF:]],$A60,Aug_Period_1_Tbl[[#All],['# PTO USED]])+  SUMIF(Sep_Period_1_Tbl[[#All],[STAFF:]],$A60,Sep_Period_1_Tbl[[#All],['# PTO USED]])+  SUMIF(Oct_Period_1_Tbl[[#All],[STAFF:]],$A60,Oct_Period_1_Tbl[[#All],['# PTO USED]])+     SUMIF(Nov_Period_1_Tbl[[#All],[STAFF:]],$A60,Nov_Period_1_Tbl[[#All],['# PTO USED]])+  SUMIF(Dec_Period_1_Tbl[[#All],[STAFF:]],$A60,Dec_Period_1_Tbl[[#All],['# PTO USED]]))+   (SUMIF(Jan_Period_2_Tbl[[#All],[STAFF:]],$A60,Jan_Period_2_Tbl[[#All],['# PTO USED]])+
SUMIF(Feb_Period_2_Tbl[[#All],[STAFF:]],$A60,Feb_Period_2_Tbl[[#All],['# PTO USED]])+SUMIF(Mar_Period_2_Tbl[[#All],[STAFF:]],$A60,Mar_Period_2_Tbl[[#All],['# PTO USED]])+SUMIF(Apr_Period_2_Tbl[[#All],[STAFF:]],$A60,Apr_Period_2_Tbl[[#All],['# PTO USED]])+   SUMIF(May_Period_2_Tbl[[#All],[STAFF:]],$A60,May_Period_2_Tbl[[#All],['# PTO USED]])+   SUMIF(Jun_Period_2_Tbl[[#All],[STAFF:]],$A60,Jun_Period_2_Tbl[[#All],['# PTO USED]])+  SUMIF(Jul_Period_2_Tbl[[#All],[STAFF:]],$A60,Jul_Period_2_Tbl[[#All],['# PTO USED]])+  SUMIF(Aug_Period_2_Tbl[[#All],[STAFF:]],$A60,Aug_Period_2_Tbl[[#All],['# PTO USED]])+  SUMIF(Sep_Period_2_Tbl[[#All],[STAFF:]],$A60,Sep_Period_2_Tbl[[#All],['# PTO USED]])+  SUMIF(Oct_Period_2_Tbl[[#All],[STAFF:]],$A60,Oct_Period_2_Tbl[[#All],['# PTO USED]])+     SUMIF(Nov_Period_2_Tbl[[#All],[STAFF:]],$A60,Nov_Period_2_Tbl[[#All],['# PTO USED]])+  SUMIF(Dec_Period_2_Tbl[[#All],[STAFF:]],$A60,Dec_Period_2_Tbl[[#All],['# PTO USED]]))</f>
        <v>0</v>
      </c>
      <c r="F60" s="189">
        <f>(SUMIF(Jan_Period_1_Tbl[[#All],[STAFF:]],$A60,Jan_Period_1_Tbl[[#All],['# HRS WORKED]])+
SUMIF(Feb_Period_1_Tbl[[#All],[STAFF:]],$A60,Feb_Period_1_Tbl[[#All],['# HRS WORKED]])+SUMIF(Mar_Period_1_Tbl[[#All],[STAFF:]],$A60,Mar_Period_1_Tbl[[#All],['# HRS WORKED]])+SUMIF(Apr_Period_1_Tbl[[#All],[STAFF:]],$A60,Apr_Period_1_Tbl[[#All],['# HRS WORKED]])+   SUMIF(May_Period_1_Tbl[[#All],[STAFF:]],$A60,May_Period_1_Tbl[[#All],['# HRS WORKED]])+   SUMIF(Jun_Period_1_Tbl[[#All],[STAFF:]],$A60,Jun_Period_1_Tbl[[#All],['# HRS WORKED]])+  SUMIF(Jul_Period_1_Tbl[[#All],[STAFF:]],$A60,Jul_Period_1_Tbl[[#All],['# HRS WORKED]])+  SUMIF(Aug_Period_1_Tbl[[#All],[STAFF:]],$A60,Aug_Period_1_Tbl[[#All],['# HRS WORKED]])+  SUMIF(Sep_Period_1_Tbl[[#All],[STAFF:]],$A60,Sep_Period_1_Tbl[[#All],['# HRS WORKED]])+  SUMIF(Oct_Period_1_Tbl[[#All],[STAFF:]],$A60,Oct_Period_1_Tbl[[#All],['# HRS WORKED]])+     SUMIF(Nov_Period_1_Tbl[[#All],[STAFF:]],$A60,Nov_Period_1_Tbl[[#All],['# HRS WORKED]])+  SUMIF(Dec_Period_1_Tbl[[#All],[STAFF:]],$A60,Dec_Period_1_Tbl[[#All],['# HRS WORKED]]))+   (SUMIF(Jan_Period_2_Tbl[[#All],[STAFF:]],$A60,Jan_Period_2_Tbl[[#All],['# HRS WORKED]])+
SUMIF(Feb_Period_2_Tbl[[#All],[STAFF:]],$A60,Feb_Period_2_Tbl[[#All],['# HRS WORKED]])+SUMIF(Mar_Period_2_Tbl[[#All],[STAFF:]],$A60,Mar_Period_2_Tbl[[#All],['# HRS WORKED]])+SUMIF(Apr_Period_2_Tbl[[#All],[STAFF:]],$A60,Apr_Period_2_Tbl[[#All],['# HRS WORKED]])+   SUMIF(May_Period_2_Tbl[[#All],[STAFF:]],$A60,May_Period_2_Tbl[[#All],['# HRS WORKED]])+   SUMIF(Jun_Period_2_Tbl[[#All],[STAFF:]],$A60,Jun_Period_2_Tbl[[#All],['# HRS WORKED]])+  SUMIF(Jul_Period_2_Tbl[[#All],[STAFF:]],$A60,Jul_Period_2_Tbl[[#All],['# HRS WORKED]])+  SUMIF(Aug_Period_2_Tbl[[#All],[STAFF:]],$A60,Aug_Period_2_Tbl[[#All],['# HRS WORKED]])+  SUMIF(Sep_Period_2_Tbl[[#All],[STAFF:]],$A60,Sep_Period_2_Tbl[[#All],['# HRS WORKED]])+  SUMIF(Oct_Period_2_Tbl[[#All],[STAFF:]],$A60,Oct_Period_2_Tbl[[#All],['# HRS WORKED]])+     SUMIF(Nov_Period_2_Tbl[[#All],[STAFF:]],$A60,Nov_Period_2_Tbl[[#All],['# HRS WORKED]])+  SUMIF(Dec_Period_2_Tbl[[#All],[STAFF:]],$A60,Dec_Period_2_Tbl[[#All],['# HRS WORKED]]))</f>
        <v>0</v>
      </c>
      <c r="G60" s="190">
        <f>(SUMIF(Jan_Period_1_Tbl[[#All],[STAFF:]],$A60,Jan_Period_1_Tbl[[#All],[$ Hourly WAGES]])+
SUMIF(Feb_Period_1_Tbl[[#All],[STAFF:]],$A60,Feb_Period_1_Tbl[[#All],[$ Hourly WAGES]])+SUMIF(Mar_Period_1_Tbl[[#All],[STAFF:]],$A60,Mar_Period_1_Tbl[[#All],[$ Hourly WAGES]])+SUMIF(Apr_Period_1_Tbl[[#All],[STAFF:]],$A60,Apr_Period_1_Tbl[[#All],[$ Hourly WAGES]])+   SUMIF(May_Period_1_Tbl[[#All],[STAFF:]],$A60,May_Period_1_Tbl[[#All],[$ Hourly WAGES]])+   SUMIF(Jun_Period_1_Tbl[[#All],[STAFF:]],$A60,Jun_Period_1_Tbl[[#All],[$ Hourly WAGES]])+  SUMIF(Jul_Period_1_Tbl[[#All],[STAFF:]],$A60,Jul_Period_1_Tbl[[#All],[$ Hourly WAGES]])+  SUMIF(Aug_Period_1_Tbl[[#All],[STAFF:]],$A60,Aug_Period_1_Tbl[[#All],[$ Hourly WAGES]])+  SUMIF(Sep_Period_1_Tbl[[#All],[STAFF:]],$A60,Sep_Period_1_Tbl[[#All],[$ Hourly WAGES]])+  SUMIF(Oct_Period_1_Tbl[[#All],[STAFF:]],$A60,Oct_Period_1_Tbl[[#All],[$ Hourly WAGES]])+     SUMIF(Nov_Period_1_Tbl[[#All],[STAFF:]],$A60,Nov_Period_1_Tbl[[#All],[$ Hourly WAGES]])+  SUMIF(Dec_Period_1_Tbl[[#All],[STAFF:]],$A60,Dec_Period_1_Tbl[[#All],[$ Hourly WAGES]]))+   (SUMIF(Jan_Period_2_Tbl[[#All],[STAFF:]],$A60,Jan_Period_2_Tbl[[#All],[$ Hourly WAGES]])+
SUMIF(Feb_Period_2_Tbl[[#All],[STAFF:]],$A60,Feb_Period_2_Tbl[[#All],[$ Hourly WAGES]])+SUMIF(Mar_Period_2_Tbl[[#All],[STAFF:]],$A60,Mar_Period_2_Tbl[[#All],[$ Hourly WAGES]])+SUMIF(Apr_Period_2_Tbl[[#All],[STAFF:]],$A60,Apr_Period_2_Tbl[[#All],[$ Hourly WAGES]])+   SUMIF(May_Period_2_Tbl[[#All],[STAFF:]],$A60,May_Period_2_Tbl[[#All],[$ Hourly WAGES]])+   SUMIF(Jun_Period_2_Tbl[[#All],[STAFF:]],$A60,Jun_Period_2_Tbl[[#All],[$ Hourly WAGES]])+  SUMIF(Jul_Period_2_Tbl[[#All],[STAFF:]],$A60,Jul_Period_2_Tbl[[#All],[$ Hourly WAGES]])+  SUMIF(Aug_Period_2_Tbl[[#All],[STAFF:]],$A60,Aug_Period_2_Tbl[[#All],[$ Hourly WAGES]])+  SUMIF(Sep_Period_2_Tbl[[#All],[STAFF:]],$A60,Sep_Period_2_Tbl[[#All],[$ Hourly WAGES]])+  SUMIF(Oct_Period_2_Tbl[[#All],[STAFF:]],$A60,Oct_Period_2_Tbl[[#All],[$ Hourly WAGES]])+     SUMIF(Nov_Period_2_Tbl[[#All],[STAFF:]],$A60,Nov_Period_2_Tbl[[#All],[$ Hourly WAGES]])+  SUMIF(Dec_Period_2_Tbl[[#All],[STAFF:]],$A60,Dec_Period_2_Tbl[[#All],[$ Hourly WAGES]]))</f>
        <v>0</v>
      </c>
      <c r="H60" s="190">
        <f>(SUMIF(Jan_Period_1_Tbl[[#All],[STAFF:]],$A60,Jan_Period_1_Tbl[[#All],[$ SALARY]])+
SUMIF(Feb_Period_1_Tbl[[#All],[STAFF:]],$A60,Feb_Period_1_Tbl[[#All],[$ SALARY]])+SUMIF(Mar_Period_1_Tbl[[#All],[STAFF:]],$A60,Mar_Period_1_Tbl[[#All],[$ SALARY]])+SUMIF(Apr_Period_1_Tbl[[#All],[STAFF:]],$A60,Apr_Period_1_Tbl[[#All],[$ SALARY]])+   SUMIF(May_Period_1_Tbl[[#All],[STAFF:]],$A60,May_Period_1_Tbl[[#All],[$ SALARY]])+   SUMIF(Jun_Period_1_Tbl[[#All],[STAFF:]],$A60,Jun_Period_1_Tbl[[#All],[$ SALARY]])+  SUMIF(Jul_Period_1_Tbl[[#All],[STAFF:]],$A60,Jul_Period_1_Tbl[[#All],[$ SALARY]])+  SUMIF(Aug_Period_1_Tbl[[#All],[STAFF:]],$A60,Aug_Period_1_Tbl[[#All],[$ SALARY]])+  SUMIF(Sep_Period_1_Tbl[[#All],[STAFF:]],$A60,Sep_Period_1_Tbl[[#All],[$ SALARY]])+  SUMIF(Oct_Period_1_Tbl[[#All],[STAFF:]],$A60,Oct_Period_1_Tbl[[#All],[$ SALARY]])+     SUMIF(Nov_Period_1_Tbl[[#All],[STAFF:]],$A60,Nov_Period_1_Tbl[[#All],[$ SALARY]])+  SUMIF(Dec_Period_1_Tbl[[#All],[STAFF:]],$A60,Dec_Period_1_Tbl[[#All],[$ SALARY]]))+   (SUMIF(Jan_Period_2_Tbl[[#All],[STAFF:]],$A60,Jan_Period_2_Tbl[[#All],[$ SALARY]])+
SUMIF(Feb_Period_2_Tbl[[#All],[STAFF:]],$A60,Feb_Period_2_Tbl[[#All],[$ SALARY]])+SUMIF(Mar_Period_2_Tbl[[#All],[STAFF:]],$A60,Mar_Period_2_Tbl[[#All],[$ SALARY]])+SUMIF(Apr_Period_2_Tbl[[#All],[STAFF:]],$A60,Apr_Period_2_Tbl[[#All],[$ SALARY]])+   SUMIF(May_Period_2_Tbl[[#All],[STAFF:]],$A60,May_Period_2_Tbl[[#All],[$ SALARY]])+   SUMIF(Jun_Period_2_Tbl[[#All],[STAFF:]],$A60,Jun_Period_2_Tbl[[#All],[$ SALARY]])+  SUMIF(Jul_Period_2_Tbl[[#All],[STAFF:]],$A60,Jul_Period_2_Tbl[[#All],[$ SALARY]])+  SUMIF(Aug_Period_2_Tbl[[#All],[STAFF:]],$A60,Aug_Period_2_Tbl[[#All],[$ SALARY]])+  SUMIF(Sep_Period_2_Tbl[[#All],[STAFF:]],$A60,Sep_Period_2_Tbl[[#All],[$ SALARY]])+  SUMIF(Oct_Period_2_Tbl[[#All],[STAFF:]],$A60,Oct_Period_2_Tbl[[#All],[$ SALARY]])+     SUMIF(Nov_Period_2_Tbl[[#All],[STAFF:]],$A60,Nov_Period_2_Tbl[[#All],[$ SALARY]])+  SUMIF(Dec_Period_2_Tbl[[#All],[STAFF:]],$A60,Dec_Period_2_Tbl[[#All],[$ SALARY]]))</f>
        <v>0</v>
      </c>
      <c r="I60" s="190">
        <f>(SUMIF(Jan_Period_1_Tbl[[#All],[STAFF:]],$A60,Jan_Period_1_Tbl[[#All],[$ SALARY PT]])+
SUMIF(Feb_Period_1_Tbl[[#All],[STAFF:]],$A60,Feb_Period_1_Tbl[[#All],[$ SALARY PT]])+SUMIF(Mar_Period_1_Tbl[[#All],[STAFF:]],$A60,Mar_Period_1_Tbl[[#All],[$ SALARY PT]])+SUMIF(Apr_Period_1_Tbl[[#All],[STAFF:]],$A60,Apr_Period_1_Tbl[[#All],[$ SALARY PT]])+   SUMIF(May_Period_1_Tbl[[#All],[STAFF:]],$A60,May_Period_1_Tbl[[#All],[$ SALARY PT]])+   SUMIF(Jun_Period_1_Tbl[[#All],[STAFF:]],$A60,Jun_Period_1_Tbl[[#All],[$ SALARY PT]])+  SUMIF(Jul_Period_1_Tbl[[#All],[STAFF:]],$A60,Jul_Period_1_Tbl[[#All],[$ SALARY PT]])+  SUMIF(Aug_Period_1_Tbl[[#All],[STAFF:]],$A60,Aug_Period_1_Tbl[[#All],[$ SALARY PT]])+  SUMIF(Sep_Period_1_Tbl[[#All],[STAFF:]],$A60,Sep_Period_1_Tbl[[#All],[$ SALARY PT]])+  SUMIF(Oct_Period_1_Tbl[[#All],[STAFF:]],$A60,Oct_Period_1_Tbl[[#All],[$ SALARY PT]])+     SUMIF(Nov_Period_1_Tbl[[#All],[STAFF:]],$A60,Nov_Period_1_Tbl[[#All],[$ SALARY PT]])+  SUMIF(Dec_Period_1_Tbl[[#All],[STAFF:]],$A60,Dec_Period_1_Tbl[[#All],[$ SALARY PT]]))+   (SUMIF(Jan_Period_2_Tbl[[#All],[STAFF:]],$A60,Jan_Period_2_Tbl[[#All],[$ SALARY PT]])+
SUMIF(Feb_Period_2_Tbl[[#All],[STAFF:]],$A60,Feb_Period_2_Tbl[[#All],[$ SALARY PT]])+SUMIF(Mar_Period_2_Tbl[[#All],[STAFF:]],$A60,Mar_Period_2_Tbl[[#All],[$ SALARY PT]])+SUMIF(Apr_Period_2_Tbl[[#All],[STAFF:]],$A60,Apr_Period_2_Tbl[[#All],[$ SALARY PT]])+   SUMIF(May_Period_2_Tbl[[#All],[STAFF:]],$A60,May_Period_2_Tbl[[#All],[$ SALARY PT]])+   SUMIF(Jun_Period_2_Tbl[[#All],[STAFF:]],$A60,Jun_Period_2_Tbl[[#All],[$ SALARY PT]])+  SUMIF(Jul_Period_2_Tbl[[#All],[STAFF:]],$A60,Jul_Period_2_Tbl[[#All],[$ SALARY PT]])+  SUMIF(Aug_Period_2_Tbl[[#All],[STAFF:]],$A60,Aug_Period_2_Tbl[[#All],[$ SALARY PT]])+  SUMIF(Sep_Period_2_Tbl[[#All],[STAFF:]],$A60,Sep_Period_2_Tbl[[#All],[$ SALARY PT]])+  SUMIF(Oct_Period_2_Tbl[[#All],[STAFF:]],$A60,Oct_Period_2_Tbl[[#All],[$ SALARY PT]])+     SUMIF(Nov_Period_2_Tbl[[#All],[STAFF:]],$A60,Nov_Period_2_Tbl[[#All],[$ SALARY PT]])+  SUMIF(Dec_Period_2_Tbl[[#All],[STAFF:]],$A60,Dec_Period_2_Tbl[[#All],[$ SALARY PT]]))</f>
        <v>0</v>
      </c>
      <c r="J60" s="190">
        <f>(SUMIF(Jan_Period_1_Tbl[[#All],[STAFF:]],$A60,Jan_Period_1_Tbl[[#All],[$ FREE PT]])+
SUMIF(Feb_Period_1_Tbl[[#All],[STAFF:]],$A60,Feb_Period_1_Tbl[[#All],[$ FREE PT]])+SUMIF(Mar_Period_1_Tbl[[#All],[STAFF:]],$A60,Mar_Period_1_Tbl[[#All],[$ FREE PT]])+SUMIF(Apr_Period_1_Tbl[[#All],[STAFF:]],$A60,Apr_Period_1_Tbl[[#All],[$ FREE PT]])+   SUMIF(May_Period_1_Tbl[[#All],[STAFF:]],$A60,May_Period_1_Tbl[[#All],[$ FREE PT]])+   SUMIF(Jun_Period_1_Tbl[[#All],[STAFF:]],$A60,Jun_Period_1_Tbl[[#All],[$ FREE PT]])+  SUMIF(Jul_Period_1_Tbl[[#All],[STAFF:]],$A60,Jul_Period_1_Tbl[[#All],[$ FREE PT]])+  SUMIF(Aug_Period_1_Tbl[[#All],[STAFF:]],$A60,Aug_Period_1_Tbl[[#All],[$ FREE PT]])+  SUMIF(Sep_Period_1_Tbl[[#All],[STAFF:]],$A60,Sep_Period_1_Tbl[[#All],[$ FREE PT]])+  SUMIF(Oct_Period_1_Tbl[[#All],[STAFF:]],$A60,Oct_Period_1_Tbl[[#All],[$ FREE PT]])+     SUMIF(Nov_Period_1_Tbl[[#All],[STAFF:]],$A60,Nov_Period_1_Tbl[[#All],[$ FREE PT]])+  SUMIF(Dec_Period_1_Tbl[[#All],[STAFF:]],$A60,Dec_Period_1_Tbl[[#All],[$ FREE PT]]))+   (SUMIF(Jan_Period_2_Tbl[[#All],[STAFF:]],$A60,Jan_Period_2_Tbl[[#All],[$ FREE PT]])+
SUMIF(Feb_Period_2_Tbl[[#All],[STAFF:]],$A60,Feb_Period_2_Tbl[[#All],[$ FREE PT]])+SUMIF(Mar_Period_2_Tbl[[#All],[STAFF:]],$A60,Mar_Period_2_Tbl[[#All],[$ FREE PT]])+SUMIF(Apr_Period_2_Tbl[[#All],[STAFF:]],$A60,Apr_Period_2_Tbl[[#All],[$ FREE PT]])+   SUMIF(May_Period_2_Tbl[[#All],[STAFF:]],$A60,May_Period_2_Tbl[[#All],[$ FREE PT]])+   SUMIF(Jun_Period_2_Tbl[[#All],[STAFF:]],$A60,Jun_Period_2_Tbl[[#All],[$ FREE PT]])+  SUMIF(Jul_Period_2_Tbl[[#All],[STAFF:]],$A60,Jul_Period_2_Tbl[[#All],[$ FREE PT]])+  SUMIF(Aug_Period_2_Tbl[[#All],[STAFF:]],$A60,Aug_Period_2_Tbl[[#All],[$ FREE PT]])+  SUMIF(Sep_Period_2_Tbl[[#All],[STAFF:]],$A60,Sep_Period_2_Tbl[[#All],[$ FREE PT]])+  SUMIF(Oct_Period_2_Tbl[[#All],[STAFF:]],$A60,Oct_Period_2_Tbl[[#All],[$ FREE PT]])+     SUMIF(Nov_Period_2_Tbl[[#All],[STAFF:]],$A60,Nov_Period_2_Tbl[[#All],[$ FREE PT]])+  SUMIF(Dec_Period_2_Tbl[[#All],[STAFF:]],$A60,Dec_Period_2_Tbl[[#All],[$ FREE PT]]))</f>
        <v>0</v>
      </c>
      <c r="K60" s="190">
        <f>(SUMIF(Jan_Period_1_Tbl[[#All],[STAFF:]],$A60,Jan_Period_1_Tbl[[#All],[$ PAID PT]])+
SUMIF(Feb_Period_1_Tbl[[#All],[STAFF:]],$A60,Feb_Period_1_Tbl[[#All],[$ PAID PT]])+SUMIF(Mar_Period_1_Tbl[[#All],[STAFF:]],$A60,Mar_Period_1_Tbl[[#All],[$ PAID PT]])+SUMIF(Apr_Period_1_Tbl[[#All],[STAFF:]],$A60,Apr_Period_1_Tbl[[#All],[$ PAID PT]])+   SUMIF(May_Period_1_Tbl[[#All],[STAFF:]],$A60,May_Period_1_Tbl[[#All],[$ PAID PT]])+   SUMIF(Jun_Period_1_Tbl[[#All],[STAFF:]],$A60,Jun_Period_1_Tbl[[#All],[$ PAID PT]])+  SUMIF(Jul_Period_1_Tbl[[#All],[STAFF:]],$A60,Jul_Period_1_Tbl[[#All],[$ PAID PT]])+  SUMIF(Aug_Period_1_Tbl[[#All],[STAFF:]],$A60,Aug_Period_1_Tbl[[#All],[$ PAID PT]])+  SUMIF(Sep_Period_1_Tbl[[#All],[STAFF:]],$A60,Sep_Period_1_Tbl[[#All],[$ PAID PT]])+  SUMIF(Oct_Period_1_Tbl[[#All],[STAFF:]],$A60,Oct_Period_1_Tbl[[#All],[$ PAID PT]])+     SUMIF(Nov_Period_1_Tbl[[#All],[STAFF:]],$A60,Nov_Period_1_Tbl[[#All],[$ PAID PT]])+  SUMIF(Dec_Period_1_Tbl[[#All],[STAFF:]],$A60,Dec_Period_1_Tbl[[#All],[$ PAID PT]]))+   (SUMIF(Jan_Period_2_Tbl[[#All],[STAFF:]],$A60,Jan_Period_2_Tbl[[#All],[$ PAID PT]])+
SUMIF(Feb_Period_2_Tbl[[#All],[STAFF:]],$A60,Feb_Period_2_Tbl[[#All],[$ PAID PT]])+SUMIF(Mar_Period_2_Tbl[[#All],[STAFF:]],$A60,Mar_Period_2_Tbl[[#All],[$ PAID PT]])+SUMIF(Apr_Period_2_Tbl[[#All],[STAFF:]],$A60,Apr_Period_2_Tbl[[#All],[$ PAID PT]])+   SUMIF(May_Period_2_Tbl[[#All],[STAFF:]],$A60,May_Period_2_Tbl[[#All],[$ PAID PT]])+   SUMIF(Jun_Period_2_Tbl[[#All],[STAFF:]],$A60,Jun_Period_2_Tbl[[#All],[$ PAID PT]])+  SUMIF(Jul_Period_2_Tbl[[#All],[STAFF:]],$A60,Jul_Period_2_Tbl[[#All],[$ PAID PT]])+  SUMIF(Aug_Period_2_Tbl[[#All],[STAFF:]],$A60,Aug_Period_2_Tbl[[#All],[$ PAID PT]])+  SUMIF(Sep_Period_2_Tbl[[#All],[STAFF:]],$A60,Sep_Period_2_Tbl[[#All],[$ PAID PT]])+  SUMIF(Oct_Period_2_Tbl[[#All],[STAFF:]],$A60,Oct_Period_2_Tbl[[#All],[$ PAID PT]])+     SUMIF(Nov_Period_2_Tbl[[#All],[STAFF:]],$A60,Nov_Period_2_Tbl[[#All],[$ PAID PT]])+  SUMIF(Dec_Period_2_Tbl[[#All],[STAFF:]],$A60,Dec_Period_2_Tbl[[#All],[$ PAID PT]]))</f>
        <v>0</v>
      </c>
      <c r="L60" s="190">
        <f>(SUMIF(Jan_Period_1_Tbl[[#All],[STAFF:]],$A60,Jan_Period_1_Tbl[[#All],[$ PT COMM]])+
SUMIF(Feb_Period_1_Tbl[[#All],[STAFF:]],$A60,Feb_Period_1_Tbl[[#All],[$ PT COMM]])+SUMIF(Mar_Period_1_Tbl[[#All],[STAFF:]],$A60,Mar_Period_1_Tbl[[#All],[$ PT COMM]])+SUMIF(Apr_Period_1_Tbl[[#All],[STAFF:]],$A60,Apr_Period_1_Tbl[[#All],[$ PT COMM]])+   SUMIF(May_Period_1_Tbl[[#All],[STAFF:]],$A60,May_Period_1_Tbl[[#All],[$ PT COMM]])+   SUMIF(Jun_Period_1_Tbl[[#All],[STAFF:]],$A60,Jun_Period_1_Tbl[[#All],[$ PT COMM]])+  SUMIF(Jul_Period_1_Tbl[[#All],[STAFF:]],$A60,Jul_Period_1_Tbl[[#All],[$ PT COMM]])+  SUMIF(Aug_Period_1_Tbl[[#All],[STAFF:]],$A60,Aug_Period_1_Tbl[[#All],[$ PT COMM]])+  SUMIF(Sep_Period_1_Tbl[[#All],[STAFF:]],$A60,Sep_Period_1_Tbl[[#All],[$ PT COMM]])+  SUMIF(Oct_Period_1_Tbl[[#All],[STAFF:]],$A60,Oct_Period_1_Tbl[[#All],[$ PT COMM]])+     SUMIF(Nov_Period_1_Tbl[[#All],[STAFF:]],$A60,Nov_Period_1_Tbl[[#All],[$ PT COMM]])+  SUMIF(Dec_Period_1_Tbl[[#All],[STAFF:]],$A60,Dec_Period_1_Tbl[[#All],[$ PT COMM]]))+   (SUMIF(Jan_Period_2_Tbl[[#All],[STAFF:]],$A60,Jan_Period_2_Tbl[[#All],[$ PT COMM]])+
SUMIF(Feb_Period_2_Tbl[[#All],[STAFF:]],$A60,Feb_Period_2_Tbl[[#All],[$ PT COMM]])+SUMIF(Mar_Period_2_Tbl[[#All],[STAFF:]],$A60,Mar_Period_2_Tbl[[#All],[$ PT COMM]])+SUMIF(Apr_Period_2_Tbl[[#All],[STAFF:]],$A60,Apr_Period_2_Tbl[[#All],[$ PT COMM]])+   SUMIF(May_Period_2_Tbl[[#All],[STAFF:]],$A60,May_Period_2_Tbl[[#All],[$ PT COMM]])+   SUMIF(Jun_Period_2_Tbl[[#All],[STAFF:]],$A60,Jun_Period_2_Tbl[[#All],[$ PT COMM]])+  SUMIF(Jul_Period_2_Tbl[[#All],[STAFF:]],$A60,Jul_Period_2_Tbl[[#All],[$ PT COMM]])+  SUMIF(Aug_Period_2_Tbl[[#All],[STAFF:]],$A60,Aug_Period_2_Tbl[[#All],[$ PT COMM]])+  SUMIF(Sep_Period_2_Tbl[[#All],[STAFF:]],$A60,Sep_Period_2_Tbl[[#All],[$ PT COMM]])+  SUMIF(Oct_Period_2_Tbl[[#All],[STAFF:]],$A60,Oct_Period_2_Tbl[[#All],[$ PT COMM]])+     SUMIF(Nov_Period_2_Tbl[[#All],[STAFF:]],$A60,Nov_Period_2_Tbl[[#All],[$ PT COMM]])+  SUMIF(Dec_Period_2_Tbl[[#All],[STAFF:]],$A60,Dec_Period_2_Tbl[[#All],[$ PT COMM]]))</f>
        <v>0</v>
      </c>
      <c r="M60" s="190">
        <f>(SUMIF(Jan_Period_1_Tbl[[#All],[STAFF:]],$A60,Jan_Period_1_Tbl[[#All],[$ EFT COMM]])+
SUMIF(Feb_Period_1_Tbl[[#All],[STAFF:]],$A60,Feb_Period_1_Tbl[[#All],[$ EFT COMM]])+SUMIF(Mar_Period_1_Tbl[[#All],[STAFF:]],$A60,Mar_Period_1_Tbl[[#All],[$ EFT COMM]])+SUMIF(Apr_Period_1_Tbl[[#All],[STAFF:]],$A60,Apr_Period_1_Tbl[[#All],[$ EFT COMM]])+   SUMIF(May_Period_1_Tbl[[#All],[STAFF:]],$A60,May_Period_1_Tbl[[#All],[$ EFT COMM]])+   SUMIF(Jun_Period_1_Tbl[[#All],[STAFF:]],$A60,Jun_Period_1_Tbl[[#All],[$ EFT COMM]])+  SUMIF(Jul_Period_1_Tbl[[#All],[STAFF:]],$A60,Jul_Period_1_Tbl[[#All],[$ EFT COMM]])+  SUMIF(Aug_Period_1_Tbl[[#All],[STAFF:]],$A60,Aug_Period_1_Tbl[[#All],[$ EFT COMM]])+  SUMIF(Sep_Period_1_Tbl[[#All],[STAFF:]],$A60,Sep_Period_1_Tbl[[#All],[$ EFT COMM]])+  SUMIF(Oct_Period_1_Tbl[[#All],[STAFF:]],$A60,Oct_Period_1_Tbl[[#All],[$ EFT COMM]])+     SUMIF(Nov_Period_1_Tbl[[#All],[STAFF:]],$A60,Nov_Period_1_Tbl[[#All],[$ EFT COMM]])+  SUMIF(Dec_Period_1_Tbl[[#All],[STAFF:]],$A60,Dec_Period_1_Tbl[[#All],[$ EFT COMM]]))+   (SUMIF(Jan_Period_2_Tbl[[#All],[STAFF:]],$A60,Jan_Period_2_Tbl[[#All],[$ EFT COMM]])+
SUMIF(Feb_Period_2_Tbl[[#All],[STAFF:]],$A60,Feb_Period_2_Tbl[[#All],[$ EFT COMM]])+SUMIF(Mar_Period_2_Tbl[[#All],[STAFF:]],$A60,Mar_Period_2_Tbl[[#All],[$ EFT COMM]])+SUMIF(Apr_Period_2_Tbl[[#All],[STAFF:]],$A60,Apr_Period_2_Tbl[[#All],[$ EFT COMM]])+   SUMIF(May_Period_2_Tbl[[#All],[STAFF:]],$A60,May_Period_2_Tbl[[#All],[$ EFT COMM]])+   SUMIF(Jun_Period_2_Tbl[[#All],[STAFF:]],$A60,Jun_Period_2_Tbl[[#All],[$ EFT COMM]])+  SUMIF(Jul_Period_2_Tbl[[#All],[STAFF:]],$A60,Jul_Period_2_Tbl[[#All],[$ EFT COMM]])+  SUMIF(Aug_Period_2_Tbl[[#All],[STAFF:]],$A60,Aug_Period_2_Tbl[[#All],[$ EFT COMM]])+  SUMIF(Sep_Period_2_Tbl[[#All],[STAFF:]],$A60,Sep_Period_2_Tbl[[#All],[$ EFT COMM]])+  SUMIF(Oct_Period_2_Tbl[[#All],[STAFF:]],$A60,Oct_Period_2_Tbl[[#All],[$ EFT COMM]])+     SUMIF(Nov_Period_2_Tbl[[#All],[STAFF:]],$A60,Nov_Period_2_Tbl[[#All],[$ EFT COMM]])+  SUMIF(Dec_Period_2_Tbl[[#All],[STAFF:]],$A60,Dec_Period_2_Tbl[[#All],[$ EFT COMM]]))</f>
        <v>0</v>
      </c>
      <c r="N60" s="190">
        <f>(SUMIF(Jan_Period_1_Tbl[[#All],[STAFF:]],$A60,Jan_Period_1_Tbl[[#All],[$ CLASS PAY]])+
SUMIF(Feb_Period_1_Tbl[[#All],[STAFF:]],$A60,Feb_Period_1_Tbl[[#All],[$ CLASS PAY]])+SUMIF(Mar_Period_1_Tbl[[#All],[STAFF:]],$A60,Mar_Period_1_Tbl[[#All],[$ CLASS PAY]])+SUMIF(Apr_Period_1_Tbl[[#All],[STAFF:]],$A60,Apr_Period_1_Tbl[[#All],[$ CLASS PAY]])+   SUMIF(May_Period_1_Tbl[[#All],[STAFF:]],$A60,May_Period_1_Tbl[[#All],[$ CLASS PAY]])+   SUMIF(Jun_Period_1_Tbl[[#All],[STAFF:]],$A60,Jun_Period_1_Tbl[[#All],[$ CLASS PAY]])+  SUMIF(Jul_Period_1_Tbl[[#All],[STAFF:]],$A60,Jul_Period_1_Tbl[[#All],[$ CLASS PAY]])+  SUMIF(Aug_Period_1_Tbl[[#All],[STAFF:]],$A60,Aug_Period_1_Tbl[[#All],[$ CLASS PAY]])+  SUMIF(Sep_Period_1_Tbl[[#All],[STAFF:]],$A60,Sep_Period_1_Tbl[[#All],[$ CLASS PAY]])+  SUMIF(Oct_Period_1_Tbl[[#All],[STAFF:]],$A60,Oct_Period_1_Tbl[[#All],[$ CLASS PAY]])+     SUMIF(Nov_Period_1_Tbl[[#All],[STAFF:]],$A60,Nov_Period_1_Tbl[[#All],[$ CLASS PAY]])+  SUMIF(Dec_Period_1_Tbl[[#All],[STAFF:]],$A60,Dec_Period_1_Tbl[[#All],[$ CLASS PAY]]))+   (SUMIF(Jan_Period_2_Tbl[[#All],[STAFF:]],$A60,Jan_Period_2_Tbl[[#All],[$ CLASS PAY]])+
SUMIF(Feb_Period_2_Tbl[[#All],[STAFF:]],$A60,Feb_Period_2_Tbl[[#All],[$ CLASS PAY]])+SUMIF(Mar_Period_2_Tbl[[#All],[STAFF:]],$A60,Mar_Period_2_Tbl[[#All],[$ CLASS PAY]])+SUMIF(Apr_Period_2_Tbl[[#All],[STAFF:]],$A60,Apr_Period_2_Tbl[[#All],[$ CLASS PAY]])+   SUMIF(May_Period_2_Tbl[[#All],[STAFF:]],$A60,May_Period_2_Tbl[[#All],[$ CLASS PAY]])+   SUMIF(Jun_Period_2_Tbl[[#All],[STAFF:]],$A60,Jun_Period_2_Tbl[[#All],[$ CLASS PAY]])+  SUMIF(Jul_Period_2_Tbl[[#All],[STAFF:]],$A60,Jul_Period_2_Tbl[[#All],[$ CLASS PAY]])+  SUMIF(Aug_Period_2_Tbl[[#All],[STAFF:]],$A60,Aug_Period_2_Tbl[[#All],[$ CLASS PAY]])+  SUMIF(Sep_Period_2_Tbl[[#All],[STAFF:]],$A60,Sep_Period_2_Tbl[[#All],[$ CLASS PAY]])+  SUMIF(Oct_Period_2_Tbl[[#All],[STAFF:]],$A60,Oct_Period_2_Tbl[[#All],[$ CLASS PAY]])+     SUMIF(Nov_Period_2_Tbl[[#All],[STAFF:]],$A60,Nov_Period_2_Tbl[[#All],[$ CLASS PAY]])+  SUMIF(Dec_Period_2_Tbl[[#All],[STAFF:]],$A60,Dec_Period_2_Tbl[[#All],[$ CLASS PAY]]))</f>
        <v>0</v>
      </c>
      <c r="O60" s="191">
        <f>(SUMIF(Jan_Period_1_Tbl[[#All],[STAFF:]],$A60,Jan_Period_1_Tbl[[#All],[$ BONUS PAY]])+
SUMIF(Feb_Period_1_Tbl[[#All],[STAFF:]],$A60,Feb_Period_1_Tbl[[#All],[$ BONUS PAY]])+SUMIF(Mar_Period_1_Tbl[[#All],[STAFF:]],$A60,Mar_Period_1_Tbl[[#All],[$ BONUS PAY]])+SUMIF(Apr_Period_1_Tbl[[#All],[STAFF:]],$A60,Apr_Period_1_Tbl[[#All],[$ BONUS PAY]])+   SUMIF(May_Period_1_Tbl[[#All],[STAFF:]],$A60,May_Period_1_Tbl[[#All],[$ BONUS PAY]])+   SUMIF(Jun_Period_1_Tbl[[#All],[STAFF:]],$A60,Jun_Period_1_Tbl[[#All],[$ BONUS PAY]])+  SUMIF(Jul_Period_1_Tbl[[#All],[STAFF:]],$A60,Jul_Period_1_Tbl[[#All],[$ BONUS PAY]])+  SUMIF(Aug_Period_1_Tbl[[#All],[STAFF:]],$A60,Aug_Period_1_Tbl[[#All],[$ BONUS PAY]])+  SUMIF(Sep_Period_1_Tbl[[#All],[STAFF:]],$A60,Sep_Period_1_Tbl[[#All],[$ BONUS PAY]])+  SUMIF(Oct_Period_1_Tbl[[#All],[STAFF:]],$A60,Oct_Period_1_Tbl[[#All],[$ BONUS PAY]])+     SUMIF(Nov_Period_1_Tbl[[#All],[STAFF:]],$A60,Nov_Period_1_Tbl[[#All],[$ BONUS PAY]])+  SUMIF(Dec_Period_1_Tbl[[#All],[STAFF:]],$A60,Dec_Period_1_Tbl[[#All],[$ BONUS PAY]]))+   (SUMIF(Jan_Period_2_Tbl[[#All],[STAFF:]],$A60,Jan_Period_2_Tbl[[#All],[$ BONUS PAY]])+
SUMIF(Feb_Period_2_Tbl[[#All],[STAFF:]],$A60,Feb_Period_2_Tbl[[#All],[$ BONUS PAY]])+SUMIF(Mar_Period_2_Tbl[[#All],[STAFF:]],$A60,Mar_Period_2_Tbl[[#All],[$ BONUS PAY]])+SUMIF(Apr_Period_2_Tbl[[#All],[STAFF:]],$A60,Apr_Period_2_Tbl[[#All],[$ BONUS PAY]])+   SUMIF(May_Period_2_Tbl[[#All],[STAFF:]],$A60,May_Period_2_Tbl[[#All],[$ BONUS PAY]])+   SUMIF(Jun_Period_2_Tbl[[#All],[STAFF:]],$A60,Jun_Period_2_Tbl[[#All],[$ BONUS PAY]])+  SUMIF(Jul_Period_2_Tbl[[#All],[STAFF:]],$A60,Jul_Period_2_Tbl[[#All],[$ BONUS PAY]])+  SUMIF(Aug_Period_2_Tbl[[#All],[STAFF:]],$A60,Aug_Period_2_Tbl[[#All],[$ BONUS PAY]])+  SUMIF(Sep_Period_2_Tbl[[#All],[STAFF:]],$A60,Sep_Period_2_Tbl[[#All],[$ BONUS PAY]])+  SUMIF(Oct_Period_2_Tbl[[#All],[STAFF:]],$A60,Oct_Period_2_Tbl[[#All],[$ BONUS PAY]])+     SUMIF(Nov_Period_2_Tbl[[#All],[STAFF:]],$A60,Nov_Period_2_Tbl[[#All],[$ BONUS PAY]])+  SUMIF(Dec_Period_2_Tbl[[#All],[STAFF:]],$A60,Dec_Period_2_Tbl[[#All],[$ BONUS PAY]]))</f>
        <v>0</v>
      </c>
      <c r="P60" s="179">
        <f t="shared" si="9"/>
        <v>0</v>
      </c>
      <c r="Q60" s="149"/>
      <c r="R60" s="152">
        <f>(SUMIF(Jan_Period_1_Tbl[[#All],[STAFF:]],$A60,Jan_Period_1_Tbl[[#All],['# POINTS EARNED]])+
SUMIF(Feb_Period_1_Tbl[[#All],[STAFF:]],$A60,Feb_Period_1_Tbl[[#All],['# POINTS EARNED]])+SUMIF(Mar_Period_1_Tbl[[#All],[STAFF:]],$A60,Mar_Period_1_Tbl[[#All],['# POINTS EARNED]])+SUMIF(Apr_Period_1_Tbl[[#All],[STAFF:]],$A60,Apr_Period_1_Tbl[[#All],['# POINTS EARNED]])+   SUMIF(May_Period_1_Tbl[[#All],[STAFF:]],$A60,May_Period_1_Tbl[[#All],['# POINTS EARNED]])+   SUMIF(Jun_Period_1_Tbl[[#All],[STAFF:]],$A60,Jun_Period_1_Tbl[[#All],['# POINTS EARNED]])+  SUMIF(Jul_Period_1_Tbl[[#All],[STAFF:]],$A60,Jul_Period_1_Tbl[[#All],['# POINTS EARNED]])+  SUMIF(Aug_Period_1_Tbl[[#All],[STAFF:]],$A60,Aug_Period_1_Tbl[[#All],['# POINTS EARNED]])+  SUMIF(Sep_Period_1_Tbl[[#All],[STAFF:]],$A60,Sep_Period_1_Tbl[[#All],['# POINTS EARNED]])+  SUMIF(Oct_Period_1_Tbl[[#All],[STAFF:]],$A60,Oct_Period_1_Tbl[[#All],['# POINTS EARNED]])+     SUMIF(Nov_Period_1_Tbl[[#All],[STAFF:]],$A60,Nov_Period_1_Tbl[[#All],['# POINTS EARNED]])+  SUMIF(Dec_Period_1_Tbl[[#All],[STAFF:]],$A60,Dec_Period_1_Tbl[[#All],['# POINTS EARNED]]))+   (SUMIF(Jan_Period_2_Tbl[[#All],[STAFF:]],$A60,Jan_Period_2_Tbl[[#All],['# POINTS EARNED]])+
SUMIF(Feb_Period_2_Tbl[[#All],[STAFF:]],$A60,Feb_Period_2_Tbl[[#All],['# POINTS EARNED]])+SUMIF(Mar_Period_2_Tbl[[#All],[STAFF:]],$A60,Mar_Period_2_Tbl[[#All],['# POINTS EARNED]])+SUMIF(Apr_Period_2_Tbl[[#All],[STAFF:]],$A60,Apr_Period_2_Tbl[[#All],['# POINTS EARNED]])+   SUMIF(May_Period_2_Tbl[[#All],[STAFF:]],$A60,May_Period_2_Tbl[[#All],['# POINTS EARNED]])+   SUMIF(Jun_Period_2_Tbl[[#All],[STAFF:]],$A60,Jun_Period_2_Tbl[[#All],['# POINTS EARNED]])+  SUMIF(Jul_Period_2_Tbl[[#All],[STAFF:]],$A60,Jul_Period_2_Tbl[[#All],['# POINTS EARNED]])+  SUMIF(Aug_Period_2_Tbl[[#All],[STAFF:]],$A60,Aug_Period_2_Tbl[[#All],['# POINTS EARNED]])+  SUMIF(Sep_Period_2_Tbl[[#All],[STAFF:]],$A60,Sep_Period_2_Tbl[[#All],['# POINTS EARNED]])+  SUMIF(Oct_Period_2_Tbl[[#All],[STAFF:]],$A60,Oct_Period_2_Tbl[[#All],['# POINTS EARNED]])+     SUMIF(Nov_Period_2_Tbl[[#All],[STAFF:]],$A60,Nov_Period_2_Tbl[[#All],['# POINTS EARNED]])+  SUMIF(Dec_Period_2_Tbl[[#All],[STAFF:]],$A60,Dec_Period_2_Tbl[[#All],['# POINTS EARNED]]))</f>
        <v>0</v>
      </c>
      <c r="S60" s="152">
        <f>(SUMIF(Jan_Period_1_Tbl[[#All],[STAFF:]],$A60,Jan_Period_1_Tbl[[#All],['# POINTS USED]])+
SUMIF(Feb_Period_1_Tbl[[#All],[STAFF:]],$A60,Feb_Period_1_Tbl[[#All],['# POINTS USED]])+SUMIF(Mar_Period_1_Tbl[[#All],[STAFF:]],$A60,Mar_Period_1_Tbl[[#All],['# POINTS USED]])+SUMIF(Apr_Period_1_Tbl[[#All],[STAFF:]],$A60,Apr_Period_1_Tbl[[#All],['# POINTS USED]])+   SUMIF(May_Period_1_Tbl[[#All],[STAFF:]],$A60,May_Period_1_Tbl[[#All],['# POINTS USED]])+   SUMIF(Jun_Period_1_Tbl[[#All],[STAFF:]],$A60,Jun_Period_1_Tbl[[#All],['# POINTS USED]])+  SUMIF(Jul_Period_1_Tbl[[#All],[STAFF:]],$A60,Jul_Period_1_Tbl[[#All],['# POINTS USED]])+  SUMIF(Aug_Period_1_Tbl[[#All],[STAFF:]],$A60,Aug_Period_1_Tbl[[#All],['# POINTS USED]])+  SUMIF(Sep_Period_1_Tbl[[#All],[STAFF:]],$A60,Sep_Period_1_Tbl[[#All],['# POINTS USED]])+  SUMIF(Oct_Period_1_Tbl[[#All],[STAFF:]],$A60,Oct_Period_1_Tbl[[#All],['# POINTS USED]])+     SUMIF(Nov_Period_1_Tbl[[#All],[STAFF:]],$A60,Nov_Period_1_Tbl[[#All],['# POINTS USED]])+  SUMIF(Dec_Period_1_Tbl[[#All],[STAFF:]],$A60,Dec_Period_1_Tbl[[#All],['# POINTS USED]]))+   (SUMIF(Jan_Period_2_Tbl[[#All],[STAFF:]],$A60,Jan_Period_2_Tbl[[#All],['# POINTS USED]])+
SUMIF(Feb_Period_2_Tbl[[#All],[STAFF:]],$A60,Feb_Period_2_Tbl[[#All],['# POINTS USED]])+SUMIF(Mar_Period_2_Tbl[[#All],[STAFF:]],$A60,Mar_Period_2_Tbl[[#All],['# POINTS USED]])+SUMIF(Apr_Period_2_Tbl[[#All],[STAFF:]],$A60,Apr_Period_2_Tbl[[#All],['# POINTS USED]])+   SUMIF(May_Period_2_Tbl[[#All],[STAFF:]],$A60,May_Period_2_Tbl[[#All],['# POINTS USED]])+   SUMIF(Jun_Period_2_Tbl[[#All],[STAFF:]],$A60,Jun_Period_2_Tbl[[#All],['# POINTS USED]])+  SUMIF(Jul_Period_2_Tbl[[#All],[STAFF:]],$A60,Jul_Period_2_Tbl[[#All],['# POINTS USED]])+  SUMIF(Aug_Period_2_Tbl[[#All],[STAFF:]],$A60,Aug_Period_2_Tbl[[#All],['# POINTS USED]])+  SUMIF(Sep_Period_2_Tbl[[#All],[STAFF:]],$A60,Sep_Period_2_Tbl[[#All],['# POINTS USED]])+  SUMIF(Oct_Period_2_Tbl[[#All],[STAFF:]],$A60,Oct_Period_2_Tbl[[#All],['# POINTS USED]])+     SUMIF(Nov_Period_2_Tbl[[#All],[STAFF:]],$A60,Nov_Period_2_Tbl[[#All],['# POINTS USED]])+  SUMIF(Dec_Period_2_Tbl[[#All],[STAFF:]],$A60,Dec_Period_2_Tbl[[#All],['# POINTS USED]]))</f>
        <v>0</v>
      </c>
      <c r="T60" s="152">
        <f>(SUMIF(Jan_Period_1_Tbl[[#All],[STAFF:]],$A60,Jan_Period_1_Tbl[[#All],['# CLASSES LEAD]])+
SUMIF(Feb_Period_1_Tbl[[#All],[STAFF:]],$A60,Feb_Period_1_Tbl[[#All],['# CLASSES LEAD]])+SUMIF(Mar_Period_1_Tbl[[#All],[STAFF:]],$A60,Mar_Period_1_Tbl[[#All],['# CLASSES LEAD]])+SUMIF(Apr_Period_1_Tbl[[#All],[STAFF:]],$A60,Apr_Period_1_Tbl[[#All],['# CLASSES LEAD]])+   SUMIF(May_Period_1_Tbl[[#All],[STAFF:]],$A60,May_Period_1_Tbl[[#All],['# CLASSES LEAD]])+   SUMIF(Jun_Period_1_Tbl[[#All],[STAFF:]],$A60,Jun_Period_1_Tbl[[#All],['# CLASSES LEAD]])+  SUMIF(Jul_Period_1_Tbl[[#All],[STAFF:]],$A60,Jul_Period_1_Tbl[[#All],['# CLASSES LEAD]])+  SUMIF(Aug_Period_1_Tbl[[#All],[STAFF:]],$A60,Aug_Period_1_Tbl[[#All],['# CLASSES LEAD]])+  SUMIF(Sep_Period_1_Tbl[[#All],[STAFF:]],$A60,Sep_Period_1_Tbl[[#All],['# CLASSES LEAD]])+  SUMIF(Oct_Period_1_Tbl[[#All],[STAFF:]],$A60,Oct_Period_1_Tbl[[#All],['# CLASSES LEAD]])+     SUMIF(Nov_Period_1_Tbl[[#All],[STAFF:]],$A60,Nov_Period_1_Tbl[[#All],['# CLASSES LEAD]])+  SUMIF(Dec_Period_1_Tbl[[#All],[STAFF:]],$A60,Dec_Period_1_Tbl[[#All],['# CLASSES LEAD]]))+   (SUMIF(Jan_Period_2_Tbl[[#All],[STAFF:]],$A60,Jan_Period_2_Tbl[[#All],['# CLASSES LEAD]])+
SUMIF(Feb_Period_2_Tbl[[#All],[STAFF:]],$A60,Feb_Period_2_Tbl[[#All],['# CLASSES LEAD]])+SUMIF(Mar_Period_2_Tbl[[#All],[STAFF:]],$A60,Mar_Period_2_Tbl[[#All],['# CLASSES LEAD]])+SUMIF(Apr_Period_2_Tbl[[#All],[STAFF:]],$A60,Apr_Period_2_Tbl[[#All],['# CLASSES LEAD]])+   SUMIF(May_Period_2_Tbl[[#All],[STAFF:]],$A60,May_Period_2_Tbl[[#All],['# CLASSES LEAD]])+   SUMIF(Jun_Period_2_Tbl[[#All],[STAFF:]],$A60,Jun_Period_2_Tbl[[#All],['# CLASSES LEAD]])+  SUMIF(Jul_Period_2_Tbl[[#All],[STAFF:]],$A60,Jul_Period_2_Tbl[[#All],['# CLASSES LEAD]])+  SUMIF(Aug_Period_2_Tbl[[#All],[STAFF:]],$A60,Aug_Period_2_Tbl[[#All],['# CLASSES LEAD]])+  SUMIF(Sep_Period_2_Tbl[[#All],[STAFF:]],$A60,Sep_Period_2_Tbl[[#All],['# CLASSES LEAD]])+  SUMIF(Oct_Period_2_Tbl[[#All],[STAFF:]],$A60,Oct_Period_2_Tbl[[#All],['# CLASSES LEAD]])+     SUMIF(Nov_Period_2_Tbl[[#All],[STAFF:]],$A60,Nov_Period_2_Tbl[[#All],['# CLASSES LEAD]])+  SUMIF(Dec_Period_2_Tbl[[#All],[STAFF:]],$A60,Dec_Period_2_Tbl[[#All],['# CLASSES LEAD]]))</f>
        <v>0</v>
      </c>
      <c r="U60" s="152">
        <f>(SUMIF(Jan_Period_1_Tbl[[#All],[STAFF:]],$A60,Jan_Period_1_Tbl[[#All],['# CLASSES SHOW]])+
SUMIF(Feb_Period_1_Tbl[[#All],[STAFF:]],$A60,Feb_Period_1_Tbl[[#All],['# CLASSES SHOW]])+SUMIF(Mar_Period_1_Tbl[[#All],[STAFF:]],$A60,Mar_Period_1_Tbl[[#All],['# CLASSES SHOW]])+SUMIF(Apr_Period_1_Tbl[[#All],[STAFF:]],$A60,Apr_Period_1_Tbl[[#All],['# CLASSES SHOW]])+   SUMIF(May_Period_1_Tbl[[#All],[STAFF:]],$A60,May_Period_1_Tbl[[#All],['# CLASSES SHOW]])+   SUMIF(Jun_Period_1_Tbl[[#All],[STAFF:]],$A60,Jun_Period_1_Tbl[[#All],['# CLASSES SHOW]])+  SUMIF(Jul_Period_1_Tbl[[#All],[STAFF:]],$A60,Jul_Period_1_Tbl[[#All],['# CLASSES SHOW]])+  SUMIF(Aug_Period_1_Tbl[[#All],[STAFF:]],$A60,Aug_Period_1_Tbl[[#All],['# CLASSES SHOW]])+  SUMIF(Sep_Period_1_Tbl[[#All],[STAFF:]],$A60,Sep_Period_1_Tbl[[#All],['# CLASSES SHOW]])+  SUMIF(Oct_Period_1_Tbl[[#All],[STAFF:]],$A60,Oct_Period_1_Tbl[[#All],['# CLASSES SHOW]])+     SUMIF(Nov_Period_1_Tbl[[#All],[STAFF:]],$A60,Nov_Period_1_Tbl[[#All],['# CLASSES SHOW]])+  SUMIF(Dec_Period_1_Tbl[[#All],[STAFF:]],$A60,Dec_Period_1_Tbl[[#All],['# CLASSES SHOW]]))+   (SUMIF(Jan_Period_2_Tbl[[#All],[STAFF:]],$A60,Jan_Period_2_Tbl[[#All],['# CLASSES SHOW]])+
SUMIF(Feb_Period_2_Tbl[[#All],[STAFF:]],$A60,Feb_Period_2_Tbl[[#All],['# CLASSES SHOW]])+SUMIF(Mar_Period_2_Tbl[[#All],[STAFF:]],$A60,Mar_Period_2_Tbl[[#All],['# CLASSES SHOW]])+SUMIF(Apr_Period_2_Tbl[[#All],[STAFF:]],$A60,Apr_Period_2_Tbl[[#All],['# CLASSES SHOW]])+   SUMIF(May_Period_2_Tbl[[#All],[STAFF:]],$A60,May_Period_2_Tbl[[#All],['# CLASSES SHOW]])+   SUMIF(Jun_Period_2_Tbl[[#All],[STAFF:]],$A60,Jun_Period_2_Tbl[[#All],['# CLASSES SHOW]])+  SUMIF(Jul_Period_2_Tbl[[#All],[STAFF:]],$A60,Jul_Period_2_Tbl[[#All],['# CLASSES SHOW]])+  SUMIF(Aug_Period_2_Tbl[[#All],[STAFF:]],$A60,Aug_Period_2_Tbl[[#All],['# CLASSES SHOW]])+  SUMIF(Sep_Period_2_Tbl[[#All],[STAFF:]],$A60,Sep_Period_2_Tbl[[#All],['# CLASSES SHOW]])+  SUMIF(Oct_Period_2_Tbl[[#All],[STAFF:]],$A60,Oct_Period_2_Tbl[[#All],['# CLASSES SHOW]])+     SUMIF(Nov_Period_2_Tbl[[#All],[STAFF:]],$A60,Nov_Period_2_Tbl[[#All],['# CLASSES SHOW]])+  SUMIF(Dec_Period_2_Tbl[[#All],[STAFF:]],$A60,Dec_Period_2_Tbl[[#All],['# CLASSES SHOW]]))</f>
        <v>0</v>
      </c>
      <c r="V60" s="156"/>
      <c r="W60" s="156"/>
      <c r="X60" s="154">
        <f t="shared" si="10"/>
        <v>0</v>
      </c>
      <c r="Y60" s="154">
        <f t="shared" si="11"/>
        <v>0</v>
      </c>
      <c r="Z60" s="154">
        <f t="shared" si="12"/>
        <v>0</v>
      </c>
      <c r="AA60" s="154">
        <f t="shared" si="13"/>
        <v>0</v>
      </c>
      <c r="AB60" s="154">
        <f t="shared" si="14"/>
        <v>0</v>
      </c>
      <c r="AC60" s="154">
        <f t="shared" si="15"/>
        <v>0</v>
      </c>
      <c r="AD60" s="154">
        <f t="shared" si="16"/>
        <v>0</v>
      </c>
      <c r="AE60" s="149"/>
      <c r="AF60" s="149"/>
      <c r="AG60" s="149"/>
      <c r="AH60" s="149"/>
      <c r="AJ60" s="75" t="str">
        <f t="shared" si="17"/>
        <v>zBlank</v>
      </c>
      <c r="AK60" s="210"/>
      <c r="AL60" s="168">
        <f>IFERROR(VLOOKUP(B60,List!$A:$B,2,FALSE),-1)</f>
        <v>-1</v>
      </c>
      <c r="AM60" s="168">
        <f>IFERROR(VLOOKUP(C60,List!$A:$B,2,FALSE),-1)</f>
        <v>-1</v>
      </c>
    </row>
    <row r="61" spans="1:39" ht="15" hidden="1" customHeight="1" x14ac:dyDescent="0.25">
      <c r="A61" s="20"/>
      <c r="B61" s="186"/>
      <c r="C61" s="186"/>
      <c r="D61" s="187"/>
      <c r="E61" s="188">
        <f>(SUMIF(Jan_Period_1_Tbl[[#All],[STAFF:]],$A61,Jan_Period_1_Tbl[[#All],['# PTO USED]])+
SUMIF(Feb_Period_1_Tbl[[#All],[STAFF:]],$A61,Feb_Period_1_Tbl[[#All],['# PTO USED]])+SUMIF(Mar_Period_1_Tbl[[#All],[STAFF:]],$A61,Mar_Period_1_Tbl[[#All],['# PTO USED]])+SUMIF(Apr_Period_1_Tbl[[#All],[STAFF:]],$A61,Apr_Period_1_Tbl[[#All],['# PTO USED]])+   SUMIF(May_Period_1_Tbl[[#All],[STAFF:]],$A61,May_Period_1_Tbl[[#All],['# PTO USED]])+   SUMIF(Jun_Period_1_Tbl[[#All],[STAFF:]],$A61,Jun_Period_1_Tbl[[#All],['# PTO USED]])+  SUMIF(Jul_Period_1_Tbl[[#All],[STAFF:]],$A61,Jul_Period_1_Tbl[[#All],['# PTO USED]])+  SUMIF(Aug_Period_1_Tbl[[#All],[STAFF:]],$A61,Aug_Period_1_Tbl[[#All],['# PTO USED]])+  SUMIF(Sep_Period_1_Tbl[[#All],[STAFF:]],$A61,Sep_Period_1_Tbl[[#All],['# PTO USED]])+  SUMIF(Oct_Period_1_Tbl[[#All],[STAFF:]],$A61,Oct_Period_1_Tbl[[#All],['# PTO USED]])+     SUMIF(Nov_Period_1_Tbl[[#All],[STAFF:]],$A61,Nov_Period_1_Tbl[[#All],['# PTO USED]])+  SUMIF(Dec_Period_1_Tbl[[#All],[STAFF:]],$A61,Dec_Period_1_Tbl[[#All],['# PTO USED]]))+   (SUMIF(Jan_Period_2_Tbl[[#All],[STAFF:]],$A61,Jan_Period_2_Tbl[[#All],['# PTO USED]])+
SUMIF(Feb_Period_2_Tbl[[#All],[STAFF:]],$A61,Feb_Period_2_Tbl[[#All],['# PTO USED]])+SUMIF(Mar_Period_2_Tbl[[#All],[STAFF:]],$A61,Mar_Period_2_Tbl[[#All],['# PTO USED]])+SUMIF(Apr_Period_2_Tbl[[#All],[STAFF:]],$A61,Apr_Period_2_Tbl[[#All],['# PTO USED]])+   SUMIF(May_Period_2_Tbl[[#All],[STAFF:]],$A61,May_Period_2_Tbl[[#All],['# PTO USED]])+   SUMIF(Jun_Period_2_Tbl[[#All],[STAFF:]],$A61,Jun_Period_2_Tbl[[#All],['# PTO USED]])+  SUMIF(Jul_Period_2_Tbl[[#All],[STAFF:]],$A61,Jul_Period_2_Tbl[[#All],['# PTO USED]])+  SUMIF(Aug_Period_2_Tbl[[#All],[STAFF:]],$A61,Aug_Period_2_Tbl[[#All],['# PTO USED]])+  SUMIF(Sep_Period_2_Tbl[[#All],[STAFF:]],$A61,Sep_Period_2_Tbl[[#All],['# PTO USED]])+  SUMIF(Oct_Period_2_Tbl[[#All],[STAFF:]],$A61,Oct_Period_2_Tbl[[#All],['# PTO USED]])+     SUMIF(Nov_Period_2_Tbl[[#All],[STAFF:]],$A61,Nov_Period_2_Tbl[[#All],['# PTO USED]])+  SUMIF(Dec_Period_2_Tbl[[#All],[STAFF:]],$A61,Dec_Period_2_Tbl[[#All],['# PTO USED]]))</f>
        <v>0</v>
      </c>
      <c r="F61" s="189">
        <f>(SUMIF(Jan_Period_1_Tbl[[#All],[STAFF:]],$A61,Jan_Period_1_Tbl[[#All],['# HRS WORKED]])+
SUMIF(Feb_Period_1_Tbl[[#All],[STAFF:]],$A61,Feb_Period_1_Tbl[[#All],['# HRS WORKED]])+SUMIF(Mar_Period_1_Tbl[[#All],[STAFF:]],$A61,Mar_Period_1_Tbl[[#All],['# HRS WORKED]])+SUMIF(Apr_Period_1_Tbl[[#All],[STAFF:]],$A61,Apr_Period_1_Tbl[[#All],['# HRS WORKED]])+   SUMIF(May_Period_1_Tbl[[#All],[STAFF:]],$A61,May_Period_1_Tbl[[#All],['# HRS WORKED]])+   SUMIF(Jun_Period_1_Tbl[[#All],[STAFF:]],$A61,Jun_Period_1_Tbl[[#All],['# HRS WORKED]])+  SUMIF(Jul_Period_1_Tbl[[#All],[STAFF:]],$A61,Jul_Period_1_Tbl[[#All],['# HRS WORKED]])+  SUMIF(Aug_Period_1_Tbl[[#All],[STAFF:]],$A61,Aug_Period_1_Tbl[[#All],['# HRS WORKED]])+  SUMIF(Sep_Period_1_Tbl[[#All],[STAFF:]],$A61,Sep_Period_1_Tbl[[#All],['# HRS WORKED]])+  SUMIF(Oct_Period_1_Tbl[[#All],[STAFF:]],$A61,Oct_Period_1_Tbl[[#All],['# HRS WORKED]])+     SUMIF(Nov_Period_1_Tbl[[#All],[STAFF:]],$A61,Nov_Period_1_Tbl[[#All],['# HRS WORKED]])+  SUMIF(Dec_Period_1_Tbl[[#All],[STAFF:]],$A61,Dec_Period_1_Tbl[[#All],['# HRS WORKED]]))+   (SUMIF(Jan_Period_2_Tbl[[#All],[STAFF:]],$A61,Jan_Period_2_Tbl[[#All],['# HRS WORKED]])+
SUMIF(Feb_Period_2_Tbl[[#All],[STAFF:]],$A61,Feb_Period_2_Tbl[[#All],['# HRS WORKED]])+SUMIF(Mar_Period_2_Tbl[[#All],[STAFF:]],$A61,Mar_Period_2_Tbl[[#All],['# HRS WORKED]])+SUMIF(Apr_Period_2_Tbl[[#All],[STAFF:]],$A61,Apr_Period_2_Tbl[[#All],['# HRS WORKED]])+   SUMIF(May_Period_2_Tbl[[#All],[STAFF:]],$A61,May_Period_2_Tbl[[#All],['# HRS WORKED]])+   SUMIF(Jun_Period_2_Tbl[[#All],[STAFF:]],$A61,Jun_Period_2_Tbl[[#All],['# HRS WORKED]])+  SUMIF(Jul_Period_2_Tbl[[#All],[STAFF:]],$A61,Jul_Period_2_Tbl[[#All],['# HRS WORKED]])+  SUMIF(Aug_Period_2_Tbl[[#All],[STAFF:]],$A61,Aug_Period_2_Tbl[[#All],['# HRS WORKED]])+  SUMIF(Sep_Period_2_Tbl[[#All],[STAFF:]],$A61,Sep_Period_2_Tbl[[#All],['# HRS WORKED]])+  SUMIF(Oct_Period_2_Tbl[[#All],[STAFF:]],$A61,Oct_Period_2_Tbl[[#All],['# HRS WORKED]])+     SUMIF(Nov_Period_2_Tbl[[#All],[STAFF:]],$A61,Nov_Period_2_Tbl[[#All],['# HRS WORKED]])+  SUMIF(Dec_Period_2_Tbl[[#All],[STAFF:]],$A61,Dec_Period_2_Tbl[[#All],['# HRS WORKED]]))</f>
        <v>0</v>
      </c>
      <c r="G61" s="190">
        <f>(SUMIF(Jan_Period_1_Tbl[[#All],[STAFF:]],$A61,Jan_Period_1_Tbl[[#All],[$ Hourly WAGES]])+
SUMIF(Feb_Period_1_Tbl[[#All],[STAFF:]],$A61,Feb_Period_1_Tbl[[#All],[$ Hourly WAGES]])+SUMIF(Mar_Period_1_Tbl[[#All],[STAFF:]],$A61,Mar_Period_1_Tbl[[#All],[$ Hourly WAGES]])+SUMIF(Apr_Period_1_Tbl[[#All],[STAFF:]],$A61,Apr_Period_1_Tbl[[#All],[$ Hourly WAGES]])+   SUMIF(May_Period_1_Tbl[[#All],[STAFF:]],$A61,May_Period_1_Tbl[[#All],[$ Hourly WAGES]])+   SUMIF(Jun_Period_1_Tbl[[#All],[STAFF:]],$A61,Jun_Period_1_Tbl[[#All],[$ Hourly WAGES]])+  SUMIF(Jul_Period_1_Tbl[[#All],[STAFF:]],$A61,Jul_Period_1_Tbl[[#All],[$ Hourly WAGES]])+  SUMIF(Aug_Period_1_Tbl[[#All],[STAFF:]],$A61,Aug_Period_1_Tbl[[#All],[$ Hourly WAGES]])+  SUMIF(Sep_Period_1_Tbl[[#All],[STAFF:]],$A61,Sep_Period_1_Tbl[[#All],[$ Hourly WAGES]])+  SUMIF(Oct_Period_1_Tbl[[#All],[STAFF:]],$A61,Oct_Period_1_Tbl[[#All],[$ Hourly WAGES]])+     SUMIF(Nov_Period_1_Tbl[[#All],[STAFF:]],$A61,Nov_Period_1_Tbl[[#All],[$ Hourly WAGES]])+  SUMIF(Dec_Period_1_Tbl[[#All],[STAFF:]],$A61,Dec_Period_1_Tbl[[#All],[$ Hourly WAGES]]))+   (SUMIF(Jan_Period_2_Tbl[[#All],[STAFF:]],$A61,Jan_Period_2_Tbl[[#All],[$ Hourly WAGES]])+
SUMIF(Feb_Period_2_Tbl[[#All],[STAFF:]],$A61,Feb_Period_2_Tbl[[#All],[$ Hourly WAGES]])+SUMIF(Mar_Period_2_Tbl[[#All],[STAFF:]],$A61,Mar_Period_2_Tbl[[#All],[$ Hourly WAGES]])+SUMIF(Apr_Period_2_Tbl[[#All],[STAFF:]],$A61,Apr_Period_2_Tbl[[#All],[$ Hourly WAGES]])+   SUMIF(May_Period_2_Tbl[[#All],[STAFF:]],$A61,May_Period_2_Tbl[[#All],[$ Hourly WAGES]])+   SUMIF(Jun_Period_2_Tbl[[#All],[STAFF:]],$A61,Jun_Period_2_Tbl[[#All],[$ Hourly WAGES]])+  SUMIF(Jul_Period_2_Tbl[[#All],[STAFF:]],$A61,Jul_Period_2_Tbl[[#All],[$ Hourly WAGES]])+  SUMIF(Aug_Period_2_Tbl[[#All],[STAFF:]],$A61,Aug_Period_2_Tbl[[#All],[$ Hourly WAGES]])+  SUMIF(Sep_Period_2_Tbl[[#All],[STAFF:]],$A61,Sep_Period_2_Tbl[[#All],[$ Hourly WAGES]])+  SUMIF(Oct_Period_2_Tbl[[#All],[STAFF:]],$A61,Oct_Period_2_Tbl[[#All],[$ Hourly WAGES]])+     SUMIF(Nov_Period_2_Tbl[[#All],[STAFF:]],$A61,Nov_Period_2_Tbl[[#All],[$ Hourly WAGES]])+  SUMIF(Dec_Period_2_Tbl[[#All],[STAFF:]],$A61,Dec_Period_2_Tbl[[#All],[$ Hourly WAGES]]))</f>
        <v>0</v>
      </c>
      <c r="H61" s="190">
        <f>(SUMIF(Jan_Period_1_Tbl[[#All],[STAFF:]],$A61,Jan_Period_1_Tbl[[#All],[$ SALARY]])+
SUMIF(Feb_Period_1_Tbl[[#All],[STAFF:]],$A61,Feb_Period_1_Tbl[[#All],[$ SALARY]])+SUMIF(Mar_Period_1_Tbl[[#All],[STAFF:]],$A61,Mar_Period_1_Tbl[[#All],[$ SALARY]])+SUMIF(Apr_Period_1_Tbl[[#All],[STAFF:]],$A61,Apr_Period_1_Tbl[[#All],[$ SALARY]])+   SUMIF(May_Period_1_Tbl[[#All],[STAFF:]],$A61,May_Period_1_Tbl[[#All],[$ SALARY]])+   SUMIF(Jun_Period_1_Tbl[[#All],[STAFF:]],$A61,Jun_Period_1_Tbl[[#All],[$ SALARY]])+  SUMIF(Jul_Period_1_Tbl[[#All],[STAFF:]],$A61,Jul_Period_1_Tbl[[#All],[$ SALARY]])+  SUMIF(Aug_Period_1_Tbl[[#All],[STAFF:]],$A61,Aug_Period_1_Tbl[[#All],[$ SALARY]])+  SUMIF(Sep_Period_1_Tbl[[#All],[STAFF:]],$A61,Sep_Period_1_Tbl[[#All],[$ SALARY]])+  SUMIF(Oct_Period_1_Tbl[[#All],[STAFF:]],$A61,Oct_Period_1_Tbl[[#All],[$ SALARY]])+     SUMIF(Nov_Period_1_Tbl[[#All],[STAFF:]],$A61,Nov_Period_1_Tbl[[#All],[$ SALARY]])+  SUMIF(Dec_Period_1_Tbl[[#All],[STAFF:]],$A61,Dec_Period_1_Tbl[[#All],[$ SALARY]]))+   (SUMIF(Jan_Period_2_Tbl[[#All],[STAFF:]],$A61,Jan_Period_2_Tbl[[#All],[$ SALARY]])+
SUMIF(Feb_Period_2_Tbl[[#All],[STAFF:]],$A61,Feb_Period_2_Tbl[[#All],[$ SALARY]])+SUMIF(Mar_Period_2_Tbl[[#All],[STAFF:]],$A61,Mar_Period_2_Tbl[[#All],[$ SALARY]])+SUMIF(Apr_Period_2_Tbl[[#All],[STAFF:]],$A61,Apr_Period_2_Tbl[[#All],[$ SALARY]])+   SUMIF(May_Period_2_Tbl[[#All],[STAFF:]],$A61,May_Period_2_Tbl[[#All],[$ SALARY]])+   SUMIF(Jun_Period_2_Tbl[[#All],[STAFF:]],$A61,Jun_Period_2_Tbl[[#All],[$ SALARY]])+  SUMIF(Jul_Period_2_Tbl[[#All],[STAFF:]],$A61,Jul_Period_2_Tbl[[#All],[$ SALARY]])+  SUMIF(Aug_Period_2_Tbl[[#All],[STAFF:]],$A61,Aug_Period_2_Tbl[[#All],[$ SALARY]])+  SUMIF(Sep_Period_2_Tbl[[#All],[STAFF:]],$A61,Sep_Period_2_Tbl[[#All],[$ SALARY]])+  SUMIF(Oct_Period_2_Tbl[[#All],[STAFF:]],$A61,Oct_Period_2_Tbl[[#All],[$ SALARY]])+     SUMIF(Nov_Period_2_Tbl[[#All],[STAFF:]],$A61,Nov_Period_2_Tbl[[#All],[$ SALARY]])+  SUMIF(Dec_Period_2_Tbl[[#All],[STAFF:]],$A61,Dec_Period_2_Tbl[[#All],[$ SALARY]]))</f>
        <v>0</v>
      </c>
      <c r="I61" s="190">
        <f>(SUMIF(Jan_Period_1_Tbl[[#All],[STAFF:]],$A61,Jan_Period_1_Tbl[[#All],[$ SALARY PT]])+
SUMIF(Feb_Period_1_Tbl[[#All],[STAFF:]],$A61,Feb_Period_1_Tbl[[#All],[$ SALARY PT]])+SUMIF(Mar_Period_1_Tbl[[#All],[STAFF:]],$A61,Mar_Period_1_Tbl[[#All],[$ SALARY PT]])+SUMIF(Apr_Period_1_Tbl[[#All],[STAFF:]],$A61,Apr_Period_1_Tbl[[#All],[$ SALARY PT]])+   SUMIF(May_Period_1_Tbl[[#All],[STAFF:]],$A61,May_Period_1_Tbl[[#All],[$ SALARY PT]])+   SUMIF(Jun_Period_1_Tbl[[#All],[STAFF:]],$A61,Jun_Period_1_Tbl[[#All],[$ SALARY PT]])+  SUMIF(Jul_Period_1_Tbl[[#All],[STAFF:]],$A61,Jul_Period_1_Tbl[[#All],[$ SALARY PT]])+  SUMIF(Aug_Period_1_Tbl[[#All],[STAFF:]],$A61,Aug_Period_1_Tbl[[#All],[$ SALARY PT]])+  SUMIF(Sep_Period_1_Tbl[[#All],[STAFF:]],$A61,Sep_Period_1_Tbl[[#All],[$ SALARY PT]])+  SUMIF(Oct_Period_1_Tbl[[#All],[STAFF:]],$A61,Oct_Period_1_Tbl[[#All],[$ SALARY PT]])+     SUMIF(Nov_Period_1_Tbl[[#All],[STAFF:]],$A61,Nov_Period_1_Tbl[[#All],[$ SALARY PT]])+  SUMIF(Dec_Period_1_Tbl[[#All],[STAFF:]],$A61,Dec_Period_1_Tbl[[#All],[$ SALARY PT]]))+   (SUMIF(Jan_Period_2_Tbl[[#All],[STAFF:]],$A61,Jan_Period_2_Tbl[[#All],[$ SALARY PT]])+
SUMIF(Feb_Period_2_Tbl[[#All],[STAFF:]],$A61,Feb_Period_2_Tbl[[#All],[$ SALARY PT]])+SUMIF(Mar_Period_2_Tbl[[#All],[STAFF:]],$A61,Mar_Period_2_Tbl[[#All],[$ SALARY PT]])+SUMIF(Apr_Period_2_Tbl[[#All],[STAFF:]],$A61,Apr_Period_2_Tbl[[#All],[$ SALARY PT]])+   SUMIF(May_Period_2_Tbl[[#All],[STAFF:]],$A61,May_Period_2_Tbl[[#All],[$ SALARY PT]])+   SUMIF(Jun_Period_2_Tbl[[#All],[STAFF:]],$A61,Jun_Period_2_Tbl[[#All],[$ SALARY PT]])+  SUMIF(Jul_Period_2_Tbl[[#All],[STAFF:]],$A61,Jul_Period_2_Tbl[[#All],[$ SALARY PT]])+  SUMIF(Aug_Period_2_Tbl[[#All],[STAFF:]],$A61,Aug_Period_2_Tbl[[#All],[$ SALARY PT]])+  SUMIF(Sep_Period_2_Tbl[[#All],[STAFF:]],$A61,Sep_Period_2_Tbl[[#All],[$ SALARY PT]])+  SUMIF(Oct_Period_2_Tbl[[#All],[STAFF:]],$A61,Oct_Period_2_Tbl[[#All],[$ SALARY PT]])+     SUMIF(Nov_Period_2_Tbl[[#All],[STAFF:]],$A61,Nov_Period_2_Tbl[[#All],[$ SALARY PT]])+  SUMIF(Dec_Period_2_Tbl[[#All],[STAFF:]],$A61,Dec_Period_2_Tbl[[#All],[$ SALARY PT]]))</f>
        <v>0</v>
      </c>
      <c r="J61" s="190">
        <f>(SUMIF(Jan_Period_1_Tbl[[#All],[STAFF:]],$A61,Jan_Period_1_Tbl[[#All],[$ FREE PT]])+
SUMIF(Feb_Period_1_Tbl[[#All],[STAFF:]],$A61,Feb_Period_1_Tbl[[#All],[$ FREE PT]])+SUMIF(Mar_Period_1_Tbl[[#All],[STAFF:]],$A61,Mar_Period_1_Tbl[[#All],[$ FREE PT]])+SUMIF(Apr_Period_1_Tbl[[#All],[STAFF:]],$A61,Apr_Period_1_Tbl[[#All],[$ FREE PT]])+   SUMIF(May_Period_1_Tbl[[#All],[STAFF:]],$A61,May_Period_1_Tbl[[#All],[$ FREE PT]])+   SUMIF(Jun_Period_1_Tbl[[#All],[STAFF:]],$A61,Jun_Period_1_Tbl[[#All],[$ FREE PT]])+  SUMIF(Jul_Period_1_Tbl[[#All],[STAFF:]],$A61,Jul_Period_1_Tbl[[#All],[$ FREE PT]])+  SUMIF(Aug_Period_1_Tbl[[#All],[STAFF:]],$A61,Aug_Period_1_Tbl[[#All],[$ FREE PT]])+  SUMIF(Sep_Period_1_Tbl[[#All],[STAFF:]],$A61,Sep_Period_1_Tbl[[#All],[$ FREE PT]])+  SUMIF(Oct_Period_1_Tbl[[#All],[STAFF:]],$A61,Oct_Period_1_Tbl[[#All],[$ FREE PT]])+     SUMIF(Nov_Period_1_Tbl[[#All],[STAFF:]],$A61,Nov_Period_1_Tbl[[#All],[$ FREE PT]])+  SUMIF(Dec_Period_1_Tbl[[#All],[STAFF:]],$A61,Dec_Period_1_Tbl[[#All],[$ FREE PT]]))+   (SUMIF(Jan_Period_2_Tbl[[#All],[STAFF:]],$A61,Jan_Period_2_Tbl[[#All],[$ FREE PT]])+
SUMIF(Feb_Period_2_Tbl[[#All],[STAFF:]],$A61,Feb_Period_2_Tbl[[#All],[$ FREE PT]])+SUMIF(Mar_Period_2_Tbl[[#All],[STAFF:]],$A61,Mar_Period_2_Tbl[[#All],[$ FREE PT]])+SUMIF(Apr_Period_2_Tbl[[#All],[STAFF:]],$A61,Apr_Period_2_Tbl[[#All],[$ FREE PT]])+   SUMIF(May_Period_2_Tbl[[#All],[STAFF:]],$A61,May_Period_2_Tbl[[#All],[$ FREE PT]])+   SUMIF(Jun_Period_2_Tbl[[#All],[STAFF:]],$A61,Jun_Period_2_Tbl[[#All],[$ FREE PT]])+  SUMIF(Jul_Period_2_Tbl[[#All],[STAFF:]],$A61,Jul_Period_2_Tbl[[#All],[$ FREE PT]])+  SUMIF(Aug_Period_2_Tbl[[#All],[STAFF:]],$A61,Aug_Period_2_Tbl[[#All],[$ FREE PT]])+  SUMIF(Sep_Period_2_Tbl[[#All],[STAFF:]],$A61,Sep_Period_2_Tbl[[#All],[$ FREE PT]])+  SUMIF(Oct_Period_2_Tbl[[#All],[STAFF:]],$A61,Oct_Period_2_Tbl[[#All],[$ FREE PT]])+     SUMIF(Nov_Period_2_Tbl[[#All],[STAFF:]],$A61,Nov_Period_2_Tbl[[#All],[$ FREE PT]])+  SUMIF(Dec_Period_2_Tbl[[#All],[STAFF:]],$A61,Dec_Period_2_Tbl[[#All],[$ FREE PT]]))</f>
        <v>0</v>
      </c>
      <c r="K61" s="190">
        <f>(SUMIF(Jan_Period_1_Tbl[[#All],[STAFF:]],$A61,Jan_Period_1_Tbl[[#All],[$ PAID PT]])+
SUMIF(Feb_Period_1_Tbl[[#All],[STAFF:]],$A61,Feb_Period_1_Tbl[[#All],[$ PAID PT]])+SUMIF(Mar_Period_1_Tbl[[#All],[STAFF:]],$A61,Mar_Period_1_Tbl[[#All],[$ PAID PT]])+SUMIF(Apr_Period_1_Tbl[[#All],[STAFF:]],$A61,Apr_Period_1_Tbl[[#All],[$ PAID PT]])+   SUMIF(May_Period_1_Tbl[[#All],[STAFF:]],$A61,May_Period_1_Tbl[[#All],[$ PAID PT]])+   SUMIF(Jun_Period_1_Tbl[[#All],[STAFF:]],$A61,Jun_Period_1_Tbl[[#All],[$ PAID PT]])+  SUMIF(Jul_Period_1_Tbl[[#All],[STAFF:]],$A61,Jul_Period_1_Tbl[[#All],[$ PAID PT]])+  SUMIF(Aug_Period_1_Tbl[[#All],[STAFF:]],$A61,Aug_Period_1_Tbl[[#All],[$ PAID PT]])+  SUMIF(Sep_Period_1_Tbl[[#All],[STAFF:]],$A61,Sep_Period_1_Tbl[[#All],[$ PAID PT]])+  SUMIF(Oct_Period_1_Tbl[[#All],[STAFF:]],$A61,Oct_Period_1_Tbl[[#All],[$ PAID PT]])+     SUMIF(Nov_Period_1_Tbl[[#All],[STAFF:]],$A61,Nov_Period_1_Tbl[[#All],[$ PAID PT]])+  SUMIF(Dec_Period_1_Tbl[[#All],[STAFF:]],$A61,Dec_Period_1_Tbl[[#All],[$ PAID PT]]))+   (SUMIF(Jan_Period_2_Tbl[[#All],[STAFF:]],$A61,Jan_Period_2_Tbl[[#All],[$ PAID PT]])+
SUMIF(Feb_Period_2_Tbl[[#All],[STAFF:]],$A61,Feb_Period_2_Tbl[[#All],[$ PAID PT]])+SUMIF(Mar_Period_2_Tbl[[#All],[STAFF:]],$A61,Mar_Period_2_Tbl[[#All],[$ PAID PT]])+SUMIF(Apr_Period_2_Tbl[[#All],[STAFF:]],$A61,Apr_Period_2_Tbl[[#All],[$ PAID PT]])+   SUMIF(May_Period_2_Tbl[[#All],[STAFF:]],$A61,May_Period_2_Tbl[[#All],[$ PAID PT]])+   SUMIF(Jun_Period_2_Tbl[[#All],[STAFF:]],$A61,Jun_Period_2_Tbl[[#All],[$ PAID PT]])+  SUMIF(Jul_Period_2_Tbl[[#All],[STAFF:]],$A61,Jul_Period_2_Tbl[[#All],[$ PAID PT]])+  SUMIF(Aug_Period_2_Tbl[[#All],[STAFF:]],$A61,Aug_Period_2_Tbl[[#All],[$ PAID PT]])+  SUMIF(Sep_Period_2_Tbl[[#All],[STAFF:]],$A61,Sep_Period_2_Tbl[[#All],[$ PAID PT]])+  SUMIF(Oct_Period_2_Tbl[[#All],[STAFF:]],$A61,Oct_Period_2_Tbl[[#All],[$ PAID PT]])+     SUMIF(Nov_Period_2_Tbl[[#All],[STAFF:]],$A61,Nov_Period_2_Tbl[[#All],[$ PAID PT]])+  SUMIF(Dec_Period_2_Tbl[[#All],[STAFF:]],$A61,Dec_Period_2_Tbl[[#All],[$ PAID PT]]))</f>
        <v>0</v>
      </c>
      <c r="L61" s="190">
        <f>(SUMIF(Jan_Period_1_Tbl[[#All],[STAFF:]],$A61,Jan_Period_1_Tbl[[#All],[$ PT COMM]])+
SUMIF(Feb_Period_1_Tbl[[#All],[STAFF:]],$A61,Feb_Period_1_Tbl[[#All],[$ PT COMM]])+SUMIF(Mar_Period_1_Tbl[[#All],[STAFF:]],$A61,Mar_Period_1_Tbl[[#All],[$ PT COMM]])+SUMIF(Apr_Period_1_Tbl[[#All],[STAFF:]],$A61,Apr_Period_1_Tbl[[#All],[$ PT COMM]])+   SUMIF(May_Period_1_Tbl[[#All],[STAFF:]],$A61,May_Period_1_Tbl[[#All],[$ PT COMM]])+   SUMIF(Jun_Period_1_Tbl[[#All],[STAFF:]],$A61,Jun_Period_1_Tbl[[#All],[$ PT COMM]])+  SUMIF(Jul_Period_1_Tbl[[#All],[STAFF:]],$A61,Jul_Period_1_Tbl[[#All],[$ PT COMM]])+  SUMIF(Aug_Period_1_Tbl[[#All],[STAFF:]],$A61,Aug_Period_1_Tbl[[#All],[$ PT COMM]])+  SUMIF(Sep_Period_1_Tbl[[#All],[STAFF:]],$A61,Sep_Period_1_Tbl[[#All],[$ PT COMM]])+  SUMIF(Oct_Period_1_Tbl[[#All],[STAFF:]],$A61,Oct_Period_1_Tbl[[#All],[$ PT COMM]])+     SUMIF(Nov_Period_1_Tbl[[#All],[STAFF:]],$A61,Nov_Period_1_Tbl[[#All],[$ PT COMM]])+  SUMIF(Dec_Period_1_Tbl[[#All],[STAFF:]],$A61,Dec_Period_1_Tbl[[#All],[$ PT COMM]]))+   (SUMIF(Jan_Period_2_Tbl[[#All],[STAFF:]],$A61,Jan_Period_2_Tbl[[#All],[$ PT COMM]])+
SUMIF(Feb_Period_2_Tbl[[#All],[STAFF:]],$A61,Feb_Period_2_Tbl[[#All],[$ PT COMM]])+SUMIF(Mar_Period_2_Tbl[[#All],[STAFF:]],$A61,Mar_Period_2_Tbl[[#All],[$ PT COMM]])+SUMIF(Apr_Period_2_Tbl[[#All],[STAFF:]],$A61,Apr_Period_2_Tbl[[#All],[$ PT COMM]])+   SUMIF(May_Period_2_Tbl[[#All],[STAFF:]],$A61,May_Period_2_Tbl[[#All],[$ PT COMM]])+   SUMIF(Jun_Period_2_Tbl[[#All],[STAFF:]],$A61,Jun_Period_2_Tbl[[#All],[$ PT COMM]])+  SUMIF(Jul_Period_2_Tbl[[#All],[STAFF:]],$A61,Jul_Period_2_Tbl[[#All],[$ PT COMM]])+  SUMIF(Aug_Period_2_Tbl[[#All],[STAFF:]],$A61,Aug_Period_2_Tbl[[#All],[$ PT COMM]])+  SUMIF(Sep_Period_2_Tbl[[#All],[STAFF:]],$A61,Sep_Period_2_Tbl[[#All],[$ PT COMM]])+  SUMIF(Oct_Period_2_Tbl[[#All],[STAFF:]],$A61,Oct_Period_2_Tbl[[#All],[$ PT COMM]])+     SUMIF(Nov_Period_2_Tbl[[#All],[STAFF:]],$A61,Nov_Period_2_Tbl[[#All],[$ PT COMM]])+  SUMIF(Dec_Period_2_Tbl[[#All],[STAFF:]],$A61,Dec_Period_2_Tbl[[#All],[$ PT COMM]]))</f>
        <v>0</v>
      </c>
      <c r="M61" s="190">
        <f>(SUMIF(Jan_Period_1_Tbl[[#All],[STAFF:]],$A61,Jan_Period_1_Tbl[[#All],[$ EFT COMM]])+
SUMIF(Feb_Period_1_Tbl[[#All],[STAFF:]],$A61,Feb_Period_1_Tbl[[#All],[$ EFT COMM]])+SUMIF(Mar_Period_1_Tbl[[#All],[STAFF:]],$A61,Mar_Period_1_Tbl[[#All],[$ EFT COMM]])+SUMIF(Apr_Period_1_Tbl[[#All],[STAFF:]],$A61,Apr_Period_1_Tbl[[#All],[$ EFT COMM]])+   SUMIF(May_Period_1_Tbl[[#All],[STAFF:]],$A61,May_Period_1_Tbl[[#All],[$ EFT COMM]])+   SUMIF(Jun_Period_1_Tbl[[#All],[STAFF:]],$A61,Jun_Period_1_Tbl[[#All],[$ EFT COMM]])+  SUMIF(Jul_Period_1_Tbl[[#All],[STAFF:]],$A61,Jul_Period_1_Tbl[[#All],[$ EFT COMM]])+  SUMIF(Aug_Period_1_Tbl[[#All],[STAFF:]],$A61,Aug_Period_1_Tbl[[#All],[$ EFT COMM]])+  SUMIF(Sep_Period_1_Tbl[[#All],[STAFF:]],$A61,Sep_Period_1_Tbl[[#All],[$ EFT COMM]])+  SUMIF(Oct_Period_1_Tbl[[#All],[STAFF:]],$A61,Oct_Period_1_Tbl[[#All],[$ EFT COMM]])+     SUMIF(Nov_Period_1_Tbl[[#All],[STAFF:]],$A61,Nov_Period_1_Tbl[[#All],[$ EFT COMM]])+  SUMIF(Dec_Period_1_Tbl[[#All],[STAFF:]],$A61,Dec_Period_1_Tbl[[#All],[$ EFT COMM]]))+   (SUMIF(Jan_Period_2_Tbl[[#All],[STAFF:]],$A61,Jan_Period_2_Tbl[[#All],[$ EFT COMM]])+
SUMIF(Feb_Period_2_Tbl[[#All],[STAFF:]],$A61,Feb_Period_2_Tbl[[#All],[$ EFT COMM]])+SUMIF(Mar_Period_2_Tbl[[#All],[STAFF:]],$A61,Mar_Period_2_Tbl[[#All],[$ EFT COMM]])+SUMIF(Apr_Period_2_Tbl[[#All],[STAFF:]],$A61,Apr_Period_2_Tbl[[#All],[$ EFT COMM]])+   SUMIF(May_Period_2_Tbl[[#All],[STAFF:]],$A61,May_Period_2_Tbl[[#All],[$ EFT COMM]])+   SUMIF(Jun_Period_2_Tbl[[#All],[STAFF:]],$A61,Jun_Period_2_Tbl[[#All],[$ EFT COMM]])+  SUMIF(Jul_Period_2_Tbl[[#All],[STAFF:]],$A61,Jul_Period_2_Tbl[[#All],[$ EFT COMM]])+  SUMIF(Aug_Period_2_Tbl[[#All],[STAFF:]],$A61,Aug_Period_2_Tbl[[#All],[$ EFT COMM]])+  SUMIF(Sep_Period_2_Tbl[[#All],[STAFF:]],$A61,Sep_Period_2_Tbl[[#All],[$ EFT COMM]])+  SUMIF(Oct_Period_2_Tbl[[#All],[STAFF:]],$A61,Oct_Period_2_Tbl[[#All],[$ EFT COMM]])+     SUMIF(Nov_Period_2_Tbl[[#All],[STAFF:]],$A61,Nov_Period_2_Tbl[[#All],[$ EFT COMM]])+  SUMIF(Dec_Period_2_Tbl[[#All],[STAFF:]],$A61,Dec_Period_2_Tbl[[#All],[$ EFT COMM]]))</f>
        <v>0</v>
      </c>
      <c r="N61" s="190">
        <f>(SUMIF(Jan_Period_1_Tbl[[#All],[STAFF:]],$A61,Jan_Period_1_Tbl[[#All],[$ CLASS PAY]])+
SUMIF(Feb_Period_1_Tbl[[#All],[STAFF:]],$A61,Feb_Period_1_Tbl[[#All],[$ CLASS PAY]])+SUMIF(Mar_Period_1_Tbl[[#All],[STAFF:]],$A61,Mar_Period_1_Tbl[[#All],[$ CLASS PAY]])+SUMIF(Apr_Period_1_Tbl[[#All],[STAFF:]],$A61,Apr_Period_1_Tbl[[#All],[$ CLASS PAY]])+   SUMIF(May_Period_1_Tbl[[#All],[STAFF:]],$A61,May_Period_1_Tbl[[#All],[$ CLASS PAY]])+   SUMIF(Jun_Period_1_Tbl[[#All],[STAFF:]],$A61,Jun_Period_1_Tbl[[#All],[$ CLASS PAY]])+  SUMIF(Jul_Period_1_Tbl[[#All],[STAFF:]],$A61,Jul_Period_1_Tbl[[#All],[$ CLASS PAY]])+  SUMIF(Aug_Period_1_Tbl[[#All],[STAFF:]],$A61,Aug_Period_1_Tbl[[#All],[$ CLASS PAY]])+  SUMIF(Sep_Period_1_Tbl[[#All],[STAFF:]],$A61,Sep_Period_1_Tbl[[#All],[$ CLASS PAY]])+  SUMIF(Oct_Period_1_Tbl[[#All],[STAFF:]],$A61,Oct_Period_1_Tbl[[#All],[$ CLASS PAY]])+     SUMIF(Nov_Period_1_Tbl[[#All],[STAFF:]],$A61,Nov_Period_1_Tbl[[#All],[$ CLASS PAY]])+  SUMIF(Dec_Period_1_Tbl[[#All],[STAFF:]],$A61,Dec_Period_1_Tbl[[#All],[$ CLASS PAY]]))+   (SUMIF(Jan_Period_2_Tbl[[#All],[STAFF:]],$A61,Jan_Period_2_Tbl[[#All],[$ CLASS PAY]])+
SUMIF(Feb_Period_2_Tbl[[#All],[STAFF:]],$A61,Feb_Period_2_Tbl[[#All],[$ CLASS PAY]])+SUMIF(Mar_Period_2_Tbl[[#All],[STAFF:]],$A61,Mar_Period_2_Tbl[[#All],[$ CLASS PAY]])+SUMIF(Apr_Period_2_Tbl[[#All],[STAFF:]],$A61,Apr_Period_2_Tbl[[#All],[$ CLASS PAY]])+   SUMIF(May_Period_2_Tbl[[#All],[STAFF:]],$A61,May_Period_2_Tbl[[#All],[$ CLASS PAY]])+   SUMIF(Jun_Period_2_Tbl[[#All],[STAFF:]],$A61,Jun_Period_2_Tbl[[#All],[$ CLASS PAY]])+  SUMIF(Jul_Period_2_Tbl[[#All],[STAFF:]],$A61,Jul_Period_2_Tbl[[#All],[$ CLASS PAY]])+  SUMIF(Aug_Period_2_Tbl[[#All],[STAFF:]],$A61,Aug_Period_2_Tbl[[#All],[$ CLASS PAY]])+  SUMIF(Sep_Period_2_Tbl[[#All],[STAFF:]],$A61,Sep_Period_2_Tbl[[#All],[$ CLASS PAY]])+  SUMIF(Oct_Period_2_Tbl[[#All],[STAFF:]],$A61,Oct_Period_2_Tbl[[#All],[$ CLASS PAY]])+     SUMIF(Nov_Period_2_Tbl[[#All],[STAFF:]],$A61,Nov_Period_2_Tbl[[#All],[$ CLASS PAY]])+  SUMIF(Dec_Period_2_Tbl[[#All],[STAFF:]],$A61,Dec_Period_2_Tbl[[#All],[$ CLASS PAY]]))</f>
        <v>0</v>
      </c>
      <c r="O61" s="191">
        <f>(SUMIF(Jan_Period_1_Tbl[[#All],[STAFF:]],$A61,Jan_Period_1_Tbl[[#All],[$ BONUS PAY]])+
SUMIF(Feb_Period_1_Tbl[[#All],[STAFF:]],$A61,Feb_Period_1_Tbl[[#All],[$ BONUS PAY]])+SUMIF(Mar_Period_1_Tbl[[#All],[STAFF:]],$A61,Mar_Period_1_Tbl[[#All],[$ BONUS PAY]])+SUMIF(Apr_Period_1_Tbl[[#All],[STAFF:]],$A61,Apr_Period_1_Tbl[[#All],[$ BONUS PAY]])+   SUMIF(May_Period_1_Tbl[[#All],[STAFF:]],$A61,May_Period_1_Tbl[[#All],[$ BONUS PAY]])+   SUMIF(Jun_Period_1_Tbl[[#All],[STAFF:]],$A61,Jun_Period_1_Tbl[[#All],[$ BONUS PAY]])+  SUMIF(Jul_Period_1_Tbl[[#All],[STAFF:]],$A61,Jul_Period_1_Tbl[[#All],[$ BONUS PAY]])+  SUMIF(Aug_Period_1_Tbl[[#All],[STAFF:]],$A61,Aug_Period_1_Tbl[[#All],[$ BONUS PAY]])+  SUMIF(Sep_Period_1_Tbl[[#All],[STAFF:]],$A61,Sep_Period_1_Tbl[[#All],[$ BONUS PAY]])+  SUMIF(Oct_Period_1_Tbl[[#All],[STAFF:]],$A61,Oct_Period_1_Tbl[[#All],[$ BONUS PAY]])+     SUMIF(Nov_Period_1_Tbl[[#All],[STAFF:]],$A61,Nov_Period_1_Tbl[[#All],[$ BONUS PAY]])+  SUMIF(Dec_Period_1_Tbl[[#All],[STAFF:]],$A61,Dec_Period_1_Tbl[[#All],[$ BONUS PAY]]))+   (SUMIF(Jan_Period_2_Tbl[[#All],[STAFF:]],$A61,Jan_Period_2_Tbl[[#All],[$ BONUS PAY]])+
SUMIF(Feb_Period_2_Tbl[[#All],[STAFF:]],$A61,Feb_Period_2_Tbl[[#All],[$ BONUS PAY]])+SUMIF(Mar_Period_2_Tbl[[#All],[STAFF:]],$A61,Mar_Period_2_Tbl[[#All],[$ BONUS PAY]])+SUMIF(Apr_Period_2_Tbl[[#All],[STAFF:]],$A61,Apr_Period_2_Tbl[[#All],[$ BONUS PAY]])+   SUMIF(May_Period_2_Tbl[[#All],[STAFF:]],$A61,May_Period_2_Tbl[[#All],[$ BONUS PAY]])+   SUMIF(Jun_Period_2_Tbl[[#All],[STAFF:]],$A61,Jun_Period_2_Tbl[[#All],[$ BONUS PAY]])+  SUMIF(Jul_Period_2_Tbl[[#All],[STAFF:]],$A61,Jul_Period_2_Tbl[[#All],[$ BONUS PAY]])+  SUMIF(Aug_Period_2_Tbl[[#All],[STAFF:]],$A61,Aug_Period_2_Tbl[[#All],[$ BONUS PAY]])+  SUMIF(Sep_Period_2_Tbl[[#All],[STAFF:]],$A61,Sep_Period_2_Tbl[[#All],[$ BONUS PAY]])+  SUMIF(Oct_Period_2_Tbl[[#All],[STAFF:]],$A61,Oct_Period_2_Tbl[[#All],[$ BONUS PAY]])+     SUMIF(Nov_Period_2_Tbl[[#All],[STAFF:]],$A61,Nov_Period_2_Tbl[[#All],[$ BONUS PAY]])+  SUMIF(Dec_Period_2_Tbl[[#All],[STAFF:]],$A61,Dec_Period_2_Tbl[[#All],[$ BONUS PAY]]))</f>
        <v>0</v>
      </c>
      <c r="P61" s="179">
        <f t="shared" si="9"/>
        <v>0</v>
      </c>
      <c r="Q61" s="149"/>
      <c r="R61" s="153">
        <f>(SUMIF(Jan_Period_1_Tbl[[#All],[STAFF:]],$A61,Jan_Period_1_Tbl[[#All],['# POINTS EARNED]])+
SUMIF(Feb_Period_1_Tbl[[#All],[STAFF:]],$A61,Feb_Period_1_Tbl[[#All],['# POINTS EARNED]])+SUMIF(Mar_Period_1_Tbl[[#All],[STAFF:]],$A61,Mar_Period_1_Tbl[[#All],['# POINTS EARNED]])+SUMIF(Apr_Period_1_Tbl[[#All],[STAFF:]],$A61,Apr_Period_1_Tbl[[#All],['# POINTS EARNED]])+   SUMIF(May_Period_1_Tbl[[#All],[STAFF:]],$A61,May_Period_1_Tbl[[#All],['# POINTS EARNED]])+   SUMIF(Jun_Period_1_Tbl[[#All],[STAFF:]],$A61,Jun_Period_1_Tbl[[#All],['# POINTS EARNED]])+  SUMIF(Jul_Period_1_Tbl[[#All],[STAFF:]],$A61,Jul_Period_1_Tbl[[#All],['# POINTS EARNED]])+  SUMIF(Aug_Period_1_Tbl[[#All],[STAFF:]],$A61,Aug_Period_1_Tbl[[#All],['# POINTS EARNED]])+  SUMIF(Sep_Period_1_Tbl[[#All],[STAFF:]],$A61,Sep_Period_1_Tbl[[#All],['# POINTS EARNED]])+  SUMIF(Oct_Period_1_Tbl[[#All],[STAFF:]],$A61,Oct_Period_1_Tbl[[#All],['# POINTS EARNED]])+     SUMIF(Nov_Period_1_Tbl[[#All],[STAFF:]],$A61,Nov_Period_1_Tbl[[#All],['# POINTS EARNED]])+  SUMIF(Dec_Period_1_Tbl[[#All],[STAFF:]],$A61,Dec_Period_1_Tbl[[#All],['# POINTS EARNED]]))+   (SUMIF(Jan_Period_2_Tbl[[#All],[STAFF:]],$A61,Jan_Period_2_Tbl[[#All],['# POINTS EARNED]])+
SUMIF(Feb_Period_2_Tbl[[#All],[STAFF:]],$A61,Feb_Period_2_Tbl[[#All],['# POINTS EARNED]])+SUMIF(Mar_Period_2_Tbl[[#All],[STAFF:]],$A61,Mar_Period_2_Tbl[[#All],['# POINTS EARNED]])+SUMIF(Apr_Period_2_Tbl[[#All],[STAFF:]],$A61,Apr_Period_2_Tbl[[#All],['# POINTS EARNED]])+   SUMIF(May_Period_2_Tbl[[#All],[STAFF:]],$A61,May_Period_2_Tbl[[#All],['# POINTS EARNED]])+   SUMIF(Jun_Period_2_Tbl[[#All],[STAFF:]],$A61,Jun_Period_2_Tbl[[#All],['# POINTS EARNED]])+  SUMIF(Jul_Period_2_Tbl[[#All],[STAFF:]],$A61,Jul_Period_2_Tbl[[#All],['# POINTS EARNED]])+  SUMIF(Aug_Period_2_Tbl[[#All],[STAFF:]],$A61,Aug_Period_2_Tbl[[#All],['# POINTS EARNED]])+  SUMIF(Sep_Period_2_Tbl[[#All],[STAFF:]],$A61,Sep_Period_2_Tbl[[#All],['# POINTS EARNED]])+  SUMIF(Oct_Period_2_Tbl[[#All],[STAFF:]],$A61,Oct_Period_2_Tbl[[#All],['# POINTS EARNED]])+     SUMIF(Nov_Period_2_Tbl[[#All],[STAFF:]],$A61,Nov_Period_2_Tbl[[#All],['# POINTS EARNED]])+  SUMIF(Dec_Period_2_Tbl[[#All],[STAFF:]],$A61,Dec_Period_2_Tbl[[#All],['# POINTS EARNED]]))</f>
        <v>0</v>
      </c>
      <c r="S61" s="153">
        <f>(SUMIF(Jan_Period_1_Tbl[[#All],[STAFF:]],$A61,Jan_Period_1_Tbl[[#All],['# POINTS USED]])+
SUMIF(Feb_Period_1_Tbl[[#All],[STAFF:]],$A61,Feb_Period_1_Tbl[[#All],['# POINTS USED]])+SUMIF(Mar_Period_1_Tbl[[#All],[STAFF:]],$A61,Mar_Period_1_Tbl[[#All],['# POINTS USED]])+SUMIF(Apr_Period_1_Tbl[[#All],[STAFF:]],$A61,Apr_Period_1_Tbl[[#All],['# POINTS USED]])+   SUMIF(May_Period_1_Tbl[[#All],[STAFF:]],$A61,May_Period_1_Tbl[[#All],['# POINTS USED]])+   SUMIF(Jun_Period_1_Tbl[[#All],[STAFF:]],$A61,Jun_Period_1_Tbl[[#All],['# POINTS USED]])+  SUMIF(Jul_Period_1_Tbl[[#All],[STAFF:]],$A61,Jul_Period_1_Tbl[[#All],['# POINTS USED]])+  SUMIF(Aug_Period_1_Tbl[[#All],[STAFF:]],$A61,Aug_Period_1_Tbl[[#All],['# POINTS USED]])+  SUMIF(Sep_Period_1_Tbl[[#All],[STAFF:]],$A61,Sep_Period_1_Tbl[[#All],['# POINTS USED]])+  SUMIF(Oct_Period_1_Tbl[[#All],[STAFF:]],$A61,Oct_Period_1_Tbl[[#All],['# POINTS USED]])+     SUMIF(Nov_Period_1_Tbl[[#All],[STAFF:]],$A61,Nov_Period_1_Tbl[[#All],['# POINTS USED]])+  SUMIF(Dec_Period_1_Tbl[[#All],[STAFF:]],$A61,Dec_Period_1_Tbl[[#All],['# POINTS USED]]))+   (SUMIF(Jan_Period_2_Tbl[[#All],[STAFF:]],$A61,Jan_Period_2_Tbl[[#All],['# POINTS USED]])+
SUMIF(Feb_Period_2_Tbl[[#All],[STAFF:]],$A61,Feb_Period_2_Tbl[[#All],['# POINTS USED]])+SUMIF(Mar_Period_2_Tbl[[#All],[STAFF:]],$A61,Mar_Period_2_Tbl[[#All],['# POINTS USED]])+SUMIF(Apr_Period_2_Tbl[[#All],[STAFF:]],$A61,Apr_Period_2_Tbl[[#All],['# POINTS USED]])+   SUMIF(May_Period_2_Tbl[[#All],[STAFF:]],$A61,May_Period_2_Tbl[[#All],['# POINTS USED]])+   SUMIF(Jun_Period_2_Tbl[[#All],[STAFF:]],$A61,Jun_Period_2_Tbl[[#All],['# POINTS USED]])+  SUMIF(Jul_Period_2_Tbl[[#All],[STAFF:]],$A61,Jul_Period_2_Tbl[[#All],['# POINTS USED]])+  SUMIF(Aug_Period_2_Tbl[[#All],[STAFF:]],$A61,Aug_Period_2_Tbl[[#All],['# POINTS USED]])+  SUMIF(Sep_Period_2_Tbl[[#All],[STAFF:]],$A61,Sep_Period_2_Tbl[[#All],['# POINTS USED]])+  SUMIF(Oct_Period_2_Tbl[[#All],[STAFF:]],$A61,Oct_Period_2_Tbl[[#All],['# POINTS USED]])+     SUMIF(Nov_Period_2_Tbl[[#All],[STAFF:]],$A61,Nov_Period_2_Tbl[[#All],['# POINTS USED]])+  SUMIF(Dec_Period_2_Tbl[[#All],[STAFF:]],$A61,Dec_Period_2_Tbl[[#All],['# POINTS USED]]))</f>
        <v>0</v>
      </c>
      <c r="T61" s="153">
        <f>(SUMIF(Jan_Period_1_Tbl[[#All],[STAFF:]],$A61,Jan_Period_1_Tbl[[#All],['# CLASSES LEAD]])+
SUMIF(Feb_Period_1_Tbl[[#All],[STAFF:]],$A61,Feb_Period_1_Tbl[[#All],['# CLASSES LEAD]])+SUMIF(Mar_Period_1_Tbl[[#All],[STAFF:]],$A61,Mar_Period_1_Tbl[[#All],['# CLASSES LEAD]])+SUMIF(Apr_Period_1_Tbl[[#All],[STAFF:]],$A61,Apr_Period_1_Tbl[[#All],['# CLASSES LEAD]])+   SUMIF(May_Period_1_Tbl[[#All],[STAFF:]],$A61,May_Period_1_Tbl[[#All],['# CLASSES LEAD]])+   SUMIF(Jun_Period_1_Tbl[[#All],[STAFF:]],$A61,Jun_Period_1_Tbl[[#All],['# CLASSES LEAD]])+  SUMIF(Jul_Period_1_Tbl[[#All],[STAFF:]],$A61,Jul_Period_1_Tbl[[#All],['# CLASSES LEAD]])+  SUMIF(Aug_Period_1_Tbl[[#All],[STAFF:]],$A61,Aug_Period_1_Tbl[[#All],['# CLASSES LEAD]])+  SUMIF(Sep_Period_1_Tbl[[#All],[STAFF:]],$A61,Sep_Period_1_Tbl[[#All],['# CLASSES LEAD]])+  SUMIF(Oct_Period_1_Tbl[[#All],[STAFF:]],$A61,Oct_Period_1_Tbl[[#All],['# CLASSES LEAD]])+     SUMIF(Nov_Period_1_Tbl[[#All],[STAFF:]],$A61,Nov_Period_1_Tbl[[#All],['# CLASSES LEAD]])+  SUMIF(Dec_Period_1_Tbl[[#All],[STAFF:]],$A61,Dec_Period_1_Tbl[[#All],['# CLASSES LEAD]]))+   (SUMIF(Jan_Period_2_Tbl[[#All],[STAFF:]],$A61,Jan_Period_2_Tbl[[#All],['# CLASSES LEAD]])+
SUMIF(Feb_Period_2_Tbl[[#All],[STAFF:]],$A61,Feb_Period_2_Tbl[[#All],['# CLASSES LEAD]])+SUMIF(Mar_Period_2_Tbl[[#All],[STAFF:]],$A61,Mar_Period_2_Tbl[[#All],['# CLASSES LEAD]])+SUMIF(Apr_Period_2_Tbl[[#All],[STAFF:]],$A61,Apr_Period_2_Tbl[[#All],['# CLASSES LEAD]])+   SUMIF(May_Period_2_Tbl[[#All],[STAFF:]],$A61,May_Period_2_Tbl[[#All],['# CLASSES LEAD]])+   SUMIF(Jun_Period_2_Tbl[[#All],[STAFF:]],$A61,Jun_Period_2_Tbl[[#All],['# CLASSES LEAD]])+  SUMIF(Jul_Period_2_Tbl[[#All],[STAFF:]],$A61,Jul_Period_2_Tbl[[#All],['# CLASSES LEAD]])+  SUMIF(Aug_Period_2_Tbl[[#All],[STAFF:]],$A61,Aug_Period_2_Tbl[[#All],['# CLASSES LEAD]])+  SUMIF(Sep_Period_2_Tbl[[#All],[STAFF:]],$A61,Sep_Period_2_Tbl[[#All],['# CLASSES LEAD]])+  SUMIF(Oct_Period_2_Tbl[[#All],[STAFF:]],$A61,Oct_Period_2_Tbl[[#All],['# CLASSES LEAD]])+     SUMIF(Nov_Period_2_Tbl[[#All],[STAFF:]],$A61,Nov_Period_2_Tbl[[#All],['# CLASSES LEAD]])+  SUMIF(Dec_Period_2_Tbl[[#All],[STAFF:]],$A61,Dec_Period_2_Tbl[[#All],['# CLASSES LEAD]]))</f>
        <v>0</v>
      </c>
      <c r="U61" s="153">
        <f>(SUMIF(Jan_Period_1_Tbl[[#All],[STAFF:]],$A61,Jan_Period_1_Tbl[[#All],['# CLASSES SHOW]])+
SUMIF(Feb_Period_1_Tbl[[#All],[STAFF:]],$A61,Feb_Period_1_Tbl[[#All],['# CLASSES SHOW]])+SUMIF(Mar_Period_1_Tbl[[#All],[STAFF:]],$A61,Mar_Period_1_Tbl[[#All],['# CLASSES SHOW]])+SUMIF(Apr_Period_1_Tbl[[#All],[STAFF:]],$A61,Apr_Period_1_Tbl[[#All],['# CLASSES SHOW]])+   SUMIF(May_Period_1_Tbl[[#All],[STAFF:]],$A61,May_Period_1_Tbl[[#All],['# CLASSES SHOW]])+   SUMIF(Jun_Period_1_Tbl[[#All],[STAFF:]],$A61,Jun_Period_1_Tbl[[#All],['# CLASSES SHOW]])+  SUMIF(Jul_Period_1_Tbl[[#All],[STAFF:]],$A61,Jul_Period_1_Tbl[[#All],['# CLASSES SHOW]])+  SUMIF(Aug_Period_1_Tbl[[#All],[STAFF:]],$A61,Aug_Period_1_Tbl[[#All],['# CLASSES SHOW]])+  SUMIF(Sep_Period_1_Tbl[[#All],[STAFF:]],$A61,Sep_Period_1_Tbl[[#All],['# CLASSES SHOW]])+  SUMIF(Oct_Period_1_Tbl[[#All],[STAFF:]],$A61,Oct_Period_1_Tbl[[#All],['# CLASSES SHOW]])+     SUMIF(Nov_Period_1_Tbl[[#All],[STAFF:]],$A61,Nov_Period_1_Tbl[[#All],['# CLASSES SHOW]])+  SUMIF(Dec_Period_1_Tbl[[#All],[STAFF:]],$A61,Dec_Period_1_Tbl[[#All],['# CLASSES SHOW]]))+   (SUMIF(Jan_Period_2_Tbl[[#All],[STAFF:]],$A61,Jan_Period_2_Tbl[[#All],['# CLASSES SHOW]])+
SUMIF(Feb_Period_2_Tbl[[#All],[STAFF:]],$A61,Feb_Period_2_Tbl[[#All],['# CLASSES SHOW]])+SUMIF(Mar_Period_2_Tbl[[#All],[STAFF:]],$A61,Mar_Period_2_Tbl[[#All],['# CLASSES SHOW]])+SUMIF(Apr_Period_2_Tbl[[#All],[STAFF:]],$A61,Apr_Period_2_Tbl[[#All],['# CLASSES SHOW]])+   SUMIF(May_Period_2_Tbl[[#All],[STAFF:]],$A61,May_Period_2_Tbl[[#All],['# CLASSES SHOW]])+   SUMIF(Jun_Period_2_Tbl[[#All],[STAFF:]],$A61,Jun_Period_2_Tbl[[#All],['# CLASSES SHOW]])+  SUMIF(Jul_Period_2_Tbl[[#All],[STAFF:]],$A61,Jul_Period_2_Tbl[[#All],['# CLASSES SHOW]])+  SUMIF(Aug_Period_2_Tbl[[#All],[STAFF:]],$A61,Aug_Period_2_Tbl[[#All],['# CLASSES SHOW]])+  SUMIF(Sep_Period_2_Tbl[[#All],[STAFF:]],$A61,Sep_Period_2_Tbl[[#All],['# CLASSES SHOW]])+  SUMIF(Oct_Period_2_Tbl[[#All],[STAFF:]],$A61,Oct_Period_2_Tbl[[#All],['# CLASSES SHOW]])+     SUMIF(Nov_Period_2_Tbl[[#All],[STAFF:]],$A61,Nov_Period_2_Tbl[[#All],['# CLASSES SHOW]])+  SUMIF(Dec_Period_2_Tbl[[#All],[STAFF:]],$A61,Dec_Period_2_Tbl[[#All],['# CLASSES SHOW]]))</f>
        <v>0</v>
      </c>
      <c r="V61" s="156"/>
      <c r="W61" s="156"/>
      <c r="X61" s="155">
        <f t="shared" si="10"/>
        <v>0</v>
      </c>
      <c r="Y61" s="155">
        <f t="shared" si="11"/>
        <v>0</v>
      </c>
      <c r="Z61" s="155">
        <f t="shared" si="12"/>
        <v>0</v>
      </c>
      <c r="AA61" s="155">
        <f t="shared" si="13"/>
        <v>0</v>
      </c>
      <c r="AB61" s="155">
        <f t="shared" si="14"/>
        <v>0</v>
      </c>
      <c r="AC61" s="155">
        <f t="shared" si="15"/>
        <v>0</v>
      </c>
      <c r="AD61" s="155">
        <f t="shared" si="16"/>
        <v>0</v>
      </c>
      <c r="AE61" s="149"/>
      <c r="AF61" s="149"/>
      <c r="AG61" s="149"/>
      <c r="AH61" s="149"/>
      <c r="AJ61" s="75" t="str">
        <f t="shared" si="17"/>
        <v>zBlank</v>
      </c>
      <c r="AK61" s="210"/>
      <c r="AL61" s="168">
        <f>IFERROR(VLOOKUP(B61,List!$A:$B,2,FALSE),-1)</f>
        <v>-1</v>
      </c>
      <c r="AM61" s="168">
        <f>IFERROR(VLOOKUP(C61,List!$A:$B,2,FALSE),-1)</f>
        <v>-1</v>
      </c>
    </row>
    <row r="62" spans="1:39" ht="15" hidden="1" customHeight="1" x14ac:dyDescent="0.25">
      <c r="A62" s="20"/>
      <c r="B62" s="186"/>
      <c r="C62" s="186"/>
      <c r="D62" s="187"/>
      <c r="E62" s="188">
        <f>(SUMIF(Jan_Period_1_Tbl[[#All],[STAFF:]],$A62,Jan_Period_1_Tbl[[#All],['# PTO USED]])+
SUMIF(Feb_Period_1_Tbl[[#All],[STAFF:]],$A62,Feb_Period_1_Tbl[[#All],['# PTO USED]])+SUMIF(Mar_Period_1_Tbl[[#All],[STAFF:]],$A62,Mar_Period_1_Tbl[[#All],['# PTO USED]])+SUMIF(Apr_Period_1_Tbl[[#All],[STAFF:]],$A62,Apr_Period_1_Tbl[[#All],['# PTO USED]])+   SUMIF(May_Period_1_Tbl[[#All],[STAFF:]],$A62,May_Period_1_Tbl[[#All],['# PTO USED]])+   SUMIF(Jun_Period_1_Tbl[[#All],[STAFF:]],$A62,Jun_Period_1_Tbl[[#All],['# PTO USED]])+  SUMIF(Jul_Period_1_Tbl[[#All],[STAFF:]],$A62,Jul_Period_1_Tbl[[#All],['# PTO USED]])+  SUMIF(Aug_Period_1_Tbl[[#All],[STAFF:]],$A62,Aug_Period_1_Tbl[[#All],['# PTO USED]])+  SUMIF(Sep_Period_1_Tbl[[#All],[STAFF:]],$A62,Sep_Period_1_Tbl[[#All],['# PTO USED]])+  SUMIF(Oct_Period_1_Tbl[[#All],[STAFF:]],$A62,Oct_Period_1_Tbl[[#All],['# PTO USED]])+     SUMIF(Nov_Period_1_Tbl[[#All],[STAFF:]],$A62,Nov_Period_1_Tbl[[#All],['# PTO USED]])+  SUMIF(Dec_Period_1_Tbl[[#All],[STAFF:]],$A62,Dec_Period_1_Tbl[[#All],['# PTO USED]]))+   (SUMIF(Jan_Period_2_Tbl[[#All],[STAFF:]],$A62,Jan_Period_2_Tbl[[#All],['# PTO USED]])+
SUMIF(Feb_Period_2_Tbl[[#All],[STAFF:]],$A62,Feb_Period_2_Tbl[[#All],['# PTO USED]])+SUMIF(Mar_Period_2_Tbl[[#All],[STAFF:]],$A62,Mar_Period_2_Tbl[[#All],['# PTO USED]])+SUMIF(Apr_Period_2_Tbl[[#All],[STAFF:]],$A62,Apr_Period_2_Tbl[[#All],['# PTO USED]])+   SUMIF(May_Period_2_Tbl[[#All],[STAFF:]],$A62,May_Period_2_Tbl[[#All],['# PTO USED]])+   SUMIF(Jun_Period_2_Tbl[[#All],[STAFF:]],$A62,Jun_Period_2_Tbl[[#All],['# PTO USED]])+  SUMIF(Jul_Period_2_Tbl[[#All],[STAFF:]],$A62,Jul_Period_2_Tbl[[#All],['# PTO USED]])+  SUMIF(Aug_Period_2_Tbl[[#All],[STAFF:]],$A62,Aug_Period_2_Tbl[[#All],['# PTO USED]])+  SUMIF(Sep_Period_2_Tbl[[#All],[STAFF:]],$A62,Sep_Period_2_Tbl[[#All],['# PTO USED]])+  SUMIF(Oct_Period_2_Tbl[[#All],[STAFF:]],$A62,Oct_Period_2_Tbl[[#All],['# PTO USED]])+     SUMIF(Nov_Period_2_Tbl[[#All],[STAFF:]],$A62,Nov_Period_2_Tbl[[#All],['# PTO USED]])+  SUMIF(Dec_Period_2_Tbl[[#All],[STAFF:]],$A62,Dec_Period_2_Tbl[[#All],['# PTO USED]]))</f>
        <v>0</v>
      </c>
      <c r="F62" s="189">
        <f>(SUMIF(Jan_Period_1_Tbl[[#All],[STAFF:]],$A62,Jan_Period_1_Tbl[[#All],['# HRS WORKED]])+
SUMIF(Feb_Period_1_Tbl[[#All],[STAFF:]],$A62,Feb_Period_1_Tbl[[#All],['# HRS WORKED]])+SUMIF(Mar_Period_1_Tbl[[#All],[STAFF:]],$A62,Mar_Period_1_Tbl[[#All],['# HRS WORKED]])+SUMIF(Apr_Period_1_Tbl[[#All],[STAFF:]],$A62,Apr_Period_1_Tbl[[#All],['# HRS WORKED]])+   SUMIF(May_Period_1_Tbl[[#All],[STAFF:]],$A62,May_Period_1_Tbl[[#All],['# HRS WORKED]])+   SUMIF(Jun_Period_1_Tbl[[#All],[STAFF:]],$A62,Jun_Period_1_Tbl[[#All],['# HRS WORKED]])+  SUMIF(Jul_Period_1_Tbl[[#All],[STAFF:]],$A62,Jul_Period_1_Tbl[[#All],['# HRS WORKED]])+  SUMIF(Aug_Period_1_Tbl[[#All],[STAFF:]],$A62,Aug_Period_1_Tbl[[#All],['# HRS WORKED]])+  SUMIF(Sep_Period_1_Tbl[[#All],[STAFF:]],$A62,Sep_Period_1_Tbl[[#All],['# HRS WORKED]])+  SUMIF(Oct_Period_1_Tbl[[#All],[STAFF:]],$A62,Oct_Period_1_Tbl[[#All],['# HRS WORKED]])+     SUMIF(Nov_Period_1_Tbl[[#All],[STAFF:]],$A62,Nov_Period_1_Tbl[[#All],['# HRS WORKED]])+  SUMIF(Dec_Period_1_Tbl[[#All],[STAFF:]],$A62,Dec_Period_1_Tbl[[#All],['# HRS WORKED]]))+   (SUMIF(Jan_Period_2_Tbl[[#All],[STAFF:]],$A62,Jan_Period_2_Tbl[[#All],['# HRS WORKED]])+
SUMIF(Feb_Period_2_Tbl[[#All],[STAFF:]],$A62,Feb_Period_2_Tbl[[#All],['# HRS WORKED]])+SUMIF(Mar_Period_2_Tbl[[#All],[STAFF:]],$A62,Mar_Period_2_Tbl[[#All],['# HRS WORKED]])+SUMIF(Apr_Period_2_Tbl[[#All],[STAFF:]],$A62,Apr_Period_2_Tbl[[#All],['# HRS WORKED]])+   SUMIF(May_Period_2_Tbl[[#All],[STAFF:]],$A62,May_Period_2_Tbl[[#All],['# HRS WORKED]])+   SUMIF(Jun_Period_2_Tbl[[#All],[STAFF:]],$A62,Jun_Period_2_Tbl[[#All],['# HRS WORKED]])+  SUMIF(Jul_Period_2_Tbl[[#All],[STAFF:]],$A62,Jul_Period_2_Tbl[[#All],['# HRS WORKED]])+  SUMIF(Aug_Period_2_Tbl[[#All],[STAFF:]],$A62,Aug_Period_2_Tbl[[#All],['# HRS WORKED]])+  SUMIF(Sep_Period_2_Tbl[[#All],[STAFF:]],$A62,Sep_Period_2_Tbl[[#All],['# HRS WORKED]])+  SUMIF(Oct_Period_2_Tbl[[#All],[STAFF:]],$A62,Oct_Period_2_Tbl[[#All],['# HRS WORKED]])+     SUMIF(Nov_Period_2_Tbl[[#All],[STAFF:]],$A62,Nov_Period_2_Tbl[[#All],['# HRS WORKED]])+  SUMIF(Dec_Period_2_Tbl[[#All],[STAFF:]],$A62,Dec_Period_2_Tbl[[#All],['# HRS WORKED]]))</f>
        <v>0</v>
      </c>
      <c r="G62" s="190">
        <f>(SUMIF(Jan_Period_1_Tbl[[#All],[STAFF:]],$A62,Jan_Period_1_Tbl[[#All],[$ Hourly WAGES]])+
SUMIF(Feb_Period_1_Tbl[[#All],[STAFF:]],$A62,Feb_Period_1_Tbl[[#All],[$ Hourly WAGES]])+SUMIF(Mar_Period_1_Tbl[[#All],[STAFF:]],$A62,Mar_Period_1_Tbl[[#All],[$ Hourly WAGES]])+SUMIF(Apr_Period_1_Tbl[[#All],[STAFF:]],$A62,Apr_Period_1_Tbl[[#All],[$ Hourly WAGES]])+   SUMIF(May_Period_1_Tbl[[#All],[STAFF:]],$A62,May_Period_1_Tbl[[#All],[$ Hourly WAGES]])+   SUMIF(Jun_Period_1_Tbl[[#All],[STAFF:]],$A62,Jun_Period_1_Tbl[[#All],[$ Hourly WAGES]])+  SUMIF(Jul_Period_1_Tbl[[#All],[STAFF:]],$A62,Jul_Period_1_Tbl[[#All],[$ Hourly WAGES]])+  SUMIF(Aug_Period_1_Tbl[[#All],[STAFF:]],$A62,Aug_Period_1_Tbl[[#All],[$ Hourly WAGES]])+  SUMIF(Sep_Period_1_Tbl[[#All],[STAFF:]],$A62,Sep_Period_1_Tbl[[#All],[$ Hourly WAGES]])+  SUMIF(Oct_Period_1_Tbl[[#All],[STAFF:]],$A62,Oct_Period_1_Tbl[[#All],[$ Hourly WAGES]])+     SUMIF(Nov_Period_1_Tbl[[#All],[STAFF:]],$A62,Nov_Period_1_Tbl[[#All],[$ Hourly WAGES]])+  SUMIF(Dec_Period_1_Tbl[[#All],[STAFF:]],$A62,Dec_Period_1_Tbl[[#All],[$ Hourly WAGES]]))+   (SUMIF(Jan_Period_2_Tbl[[#All],[STAFF:]],$A62,Jan_Period_2_Tbl[[#All],[$ Hourly WAGES]])+
SUMIF(Feb_Period_2_Tbl[[#All],[STAFF:]],$A62,Feb_Period_2_Tbl[[#All],[$ Hourly WAGES]])+SUMIF(Mar_Period_2_Tbl[[#All],[STAFF:]],$A62,Mar_Period_2_Tbl[[#All],[$ Hourly WAGES]])+SUMIF(Apr_Period_2_Tbl[[#All],[STAFF:]],$A62,Apr_Period_2_Tbl[[#All],[$ Hourly WAGES]])+   SUMIF(May_Period_2_Tbl[[#All],[STAFF:]],$A62,May_Period_2_Tbl[[#All],[$ Hourly WAGES]])+   SUMIF(Jun_Period_2_Tbl[[#All],[STAFF:]],$A62,Jun_Period_2_Tbl[[#All],[$ Hourly WAGES]])+  SUMIF(Jul_Period_2_Tbl[[#All],[STAFF:]],$A62,Jul_Period_2_Tbl[[#All],[$ Hourly WAGES]])+  SUMIF(Aug_Period_2_Tbl[[#All],[STAFF:]],$A62,Aug_Period_2_Tbl[[#All],[$ Hourly WAGES]])+  SUMIF(Sep_Period_2_Tbl[[#All],[STAFF:]],$A62,Sep_Period_2_Tbl[[#All],[$ Hourly WAGES]])+  SUMIF(Oct_Period_2_Tbl[[#All],[STAFF:]],$A62,Oct_Period_2_Tbl[[#All],[$ Hourly WAGES]])+     SUMIF(Nov_Period_2_Tbl[[#All],[STAFF:]],$A62,Nov_Period_2_Tbl[[#All],[$ Hourly WAGES]])+  SUMIF(Dec_Period_2_Tbl[[#All],[STAFF:]],$A62,Dec_Period_2_Tbl[[#All],[$ Hourly WAGES]]))</f>
        <v>0</v>
      </c>
      <c r="H62" s="190">
        <f>(SUMIF(Jan_Period_1_Tbl[[#All],[STAFF:]],$A62,Jan_Period_1_Tbl[[#All],[$ SALARY]])+
SUMIF(Feb_Period_1_Tbl[[#All],[STAFF:]],$A62,Feb_Period_1_Tbl[[#All],[$ SALARY]])+SUMIF(Mar_Period_1_Tbl[[#All],[STAFF:]],$A62,Mar_Period_1_Tbl[[#All],[$ SALARY]])+SUMIF(Apr_Period_1_Tbl[[#All],[STAFF:]],$A62,Apr_Period_1_Tbl[[#All],[$ SALARY]])+   SUMIF(May_Period_1_Tbl[[#All],[STAFF:]],$A62,May_Period_1_Tbl[[#All],[$ SALARY]])+   SUMIF(Jun_Period_1_Tbl[[#All],[STAFF:]],$A62,Jun_Period_1_Tbl[[#All],[$ SALARY]])+  SUMIF(Jul_Period_1_Tbl[[#All],[STAFF:]],$A62,Jul_Period_1_Tbl[[#All],[$ SALARY]])+  SUMIF(Aug_Period_1_Tbl[[#All],[STAFF:]],$A62,Aug_Period_1_Tbl[[#All],[$ SALARY]])+  SUMIF(Sep_Period_1_Tbl[[#All],[STAFF:]],$A62,Sep_Period_1_Tbl[[#All],[$ SALARY]])+  SUMIF(Oct_Period_1_Tbl[[#All],[STAFF:]],$A62,Oct_Period_1_Tbl[[#All],[$ SALARY]])+     SUMIF(Nov_Period_1_Tbl[[#All],[STAFF:]],$A62,Nov_Period_1_Tbl[[#All],[$ SALARY]])+  SUMIF(Dec_Period_1_Tbl[[#All],[STAFF:]],$A62,Dec_Period_1_Tbl[[#All],[$ SALARY]]))+   (SUMIF(Jan_Period_2_Tbl[[#All],[STAFF:]],$A62,Jan_Period_2_Tbl[[#All],[$ SALARY]])+
SUMIF(Feb_Period_2_Tbl[[#All],[STAFF:]],$A62,Feb_Period_2_Tbl[[#All],[$ SALARY]])+SUMIF(Mar_Period_2_Tbl[[#All],[STAFF:]],$A62,Mar_Period_2_Tbl[[#All],[$ SALARY]])+SUMIF(Apr_Period_2_Tbl[[#All],[STAFF:]],$A62,Apr_Period_2_Tbl[[#All],[$ SALARY]])+   SUMIF(May_Period_2_Tbl[[#All],[STAFF:]],$A62,May_Period_2_Tbl[[#All],[$ SALARY]])+   SUMIF(Jun_Period_2_Tbl[[#All],[STAFF:]],$A62,Jun_Period_2_Tbl[[#All],[$ SALARY]])+  SUMIF(Jul_Period_2_Tbl[[#All],[STAFF:]],$A62,Jul_Period_2_Tbl[[#All],[$ SALARY]])+  SUMIF(Aug_Period_2_Tbl[[#All],[STAFF:]],$A62,Aug_Period_2_Tbl[[#All],[$ SALARY]])+  SUMIF(Sep_Period_2_Tbl[[#All],[STAFF:]],$A62,Sep_Period_2_Tbl[[#All],[$ SALARY]])+  SUMIF(Oct_Period_2_Tbl[[#All],[STAFF:]],$A62,Oct_Period_2_Tbl[[#All],[$ SALARY]])+     SUMIF(Nov_Period_2_Tbl[[#All],[STAFF:]],$A62,Nov_Period_2_Tbl[[#All],[$ SALARY]])+  SUMIF(Dec_Period_2_Tbl[[#All],[STAFF:]],$A62,Dec_Period_2_Tbl[[#All],[$ SALARY]]))</f>
        <v>0</v>
      </c>
      <c r="I62" s="190">
        <f>(SUMIF(Jan_Period_1_Tbl[[#All],[STAFF:]],$A62,Jan_Period_1_Tbl[[#All],[$ SALARY PT]])+
SUMIF(Feb_Period_1_Tbl[[#All],[STAFF:]],$A62,Feb_Period_1_Tbl[[#All],[$ SALARY PT]])+SUMIF(Mar_Period_1_Tbl[[#All],[STAFF:]],$A62,Mar_Period_1_Tbl[[#All],[$ SALARY PT]])+SUMIF(Apr_Period_1_Tbl[[#All],[STAFF:]],$A62,Apr_Period_1_Tbl[[#All],[$ SALARY PT]])+   SUMIF(May_Period_1_Tbl[[#All],[STAFF:]],$A62,May_Period_1_Tbl[[#All],[$ SALARY PT]])+   SUMIF(Jun_Period_1_Tbl[[#All],[STAFF:]],$A62,Jun_Period_1_Tbl[[#All],[$ SALARY PT]])+  SUMIF(Jul_Period_1_Tbl[[#All],[STAFF:]],$A62,Jul_Period_1_Tbl[[#All],[$ SALARY PT]])+  SUMIF(Aug_Period_1_Tbl[[#All],[STAFF:]],$A62,Aug_Period_1_Tbl[[#All],[$ SALARY PT]])+  SUMIF(Sep_Period_1_Tbl[[#All],[STAFF:]],$A62,Sep_Period_1_Tbl[[#All],[$ SALARY PT]])+  SUMIF(Oct_Period_1_Tbl[[#All],[STAFF:]],$A62,Oct_Period_1_Tbl[[#All],[$ SALARY PT]])+     SUMIF(Nov_Period_1_Tbl[[#All],[STAFF:]],$A62,Nov_Period_1_Tbl[[#All],[$ SALARY PT]])+  SUMIF(Dec_Period_1_Tbl[[#All],[STAFF:]],$A62,Dec_Period_1_Tbl[[#All],[$ SALARY PT]]))+   (SUMIF(Jan_Period_2_Tbl[[#All],[STAFF:]],$A62,Jan_Period_2_Tbl[[#All],[$ SALARY PT]])+
SUMIF(Feb_Period_2_Tbl[[#All],[STAFF:]],$A62,Feb_Period_2_Tbl[[#All],[$ SALARY PT]])+SUMIF(Mar_Period_2_Tbl[[#All],[STAFF:]],$A62,Mar_Period_2_Tbl[[#All],[$ SALARY PT]])+SUMIF(Apr_Period_2_Tbl[[#All],[STAFF:]],$A62,Apr_Period_2_Tbl[[#All],[$ SALARY PT]])+   SUMIF(May_Period_2_Tbl[[#All],[STAFF:]],$A62,May_Period_2_Tbl[[#All],[$ SALARY PT]])+   SUMIF(Jun_Period_2_Tbl[[#All],[STAFF:]],$A62,Jun_Period_2_Tbl[[#All],[$ SALARY PT]])+  SUMIF(Jul_Period_2_Tbl[[#All],[STAFF:]],$A62,Jul_Period_2_Tbl[[#All],[$ SALARY PT]])+  SUMIF(Aug_Period_2_Tbl[[#All],[STAFF:]],$A62,Aug_Period_2_Tbl[[#All],[$ SALARY PT]])+  SUMIF(Sep_Period_2_Tbl[[#All],[STAFF:]],$A62,Sep_Period_2_Tbl[[#All],[$ SALARY PT]])+  SUMIF(Oct_Period_2_Tbl[[#All],[STAFF:]],$A62,Oct_Period_2_Tbl[[#All],[$ SALARY PT]])+     SUMIF(Nov_Period_2_Tbl[[#All],[STAFF:]],$A62,Nov_Period_2_Tbl[[#All],[$ SALARY PT]])+  SUMIF(Dec_Period_2_Tbl[[#All],[STAFF:]],$A62,Dec_Period_2_Tbl[[#All],[$ SALARY PT]]))</f>
        <v>0</v>
      </c>
      <c r="J62" s="190">
        <f>(SUMIF(Jan_Period_1_Tbl[[#All],[STAFF:]],$A62,Jan_Period_1_Tbl[[#All],[$ FREE PT]])+
SUMIF(Feb_Period_1_Tbl[[#All],[STAFF:]],$A62,Feb_Period_1_Tbl[[#All],[$ FREE PT]])+SUMIF(Mar_Period_1_Tbl[[#All],[STAFF:]],$A62,Mar_Period_1_Tbl[[#All],[$ FREE PT]])+SUMIF(Apr_Period_1_Tbl[[#All],[STAFF:]],$A62,Apr_Period_1_Tbl[[#All],[$ FREE PT]])+   SUMIF(May_Period_1_Tbl[[#All],[STAFF:]],$A62,May_Period_1_Tbl[[#All],[$ FREE PT]])+   SUMIF(Jun_Period_1_Tbl[[#All],[STAFF:]],$A62,Jun_Period_1_Tbl[[#All],[$ FREE PT]])+  SUMIF(Jul_Period_1_Tbl[[#All],[STAFF:]],$A62,Jul_Period_1_Tbl[[#All],[$ FREE PT]])+  SUMIF(Aug_Period_1_Tbl[[#All],[STAFF:]],$A62,Aug_Period_1_Tbl[[#All],[$ FREE PT]])+  SUMIF(Sep_Period_1_Tbl[[#All],[STAFF:]],$A62,Sep_Period_1_Tbl[[#All],[$ FREE PT]])+  SUMIF(Oct_Period_1_Tbl[[#All],[STAFF:]],$A62,Oct_Period_1_Tbl[[#All],[$ FREE PT]])+     SUMIF(Nov_Period_1_Tbl[[#All],[STAFF:]],$A62,Nov_Period_1_Tbl[[#All],[$ FREE PT]])+  SUMIF(Dec_Period_1_Tbl[[#All],[STAFF:]],$A62,Dec_Period_1_Tbl[[#All],[$ FREE PT]]))+   (SUMIF(Jan_Period_2_Tbl[[#All],[STAFF:]],$A62,Jan_Period_2_Tbl[[#All],[$ FREE PT]])+
SUMIF(Feb_Period_2_Tbl[[#All],[STAFF:]],$A62,Feb_Period_2_Tbl[[#All],[$ FREE PT]])+SUMIF(Mar_Period_2_Tbl[[#All],[STAFF:]],$A62,Mar_Period_2_Tbl[[#All],[$ FREE PT]])+SUMIF(Apr_Period_2_Tbl[[#All],[STAFF:]],$A62,Apr_Period_2_Tbl[[#All],[$ FREE PT]])+   SUMIF(May_Period_2_Tbl[[#All],[STAFF:]],$A62,May_Period_2_Tbl[[#All],[$ FREE PT]])+   SUMIF(Jun_Period_2_Tbl[[#All],[STAFF:]],$A62,Jun_Period_2_Tbl[[#All],[$ FREE PT]])+  SUMIF(Jul_Period_2_Tbl[[#All],[STAFF:]],$A62,Jul_Period_2_Tbl[[#All],[$ FREE PT]])+  SUMIF(Aug_Period_2_Tbl[[#All],[STAFF:]],$A62,Aug_Period_2_Tbl[[#All],[$ FREE PT]])+  SUMIF(Sep_Period_2_Tbl[[#All],[STAFF:]],$A62,Sep_Period_2_Tbl[[#All],[$ FREE PT]])+  SUMIF(Oct_Period_2_Tbl[[#All],[STAFF:]],$A62,Oct_Period_2_Tbl[[#All],[$ FREE PT]])+     SUMIF(Nov_Period_2_Tbl[[#All],[STAFF:]],$A62,Nov_Period_2_Tbl[[#All],[$ FREE PT]])+  SUMIF(Dec_Period_2_Tbl[[#All],[STAFF:]],$A62,Dec_Period_2_Tbl[[#All],[$ FREE PT]]))</f>
        <v>0</v>
      </c>
      <c r="K62" s="190">
        <f>(SUMIF(Jan_Period_1_Tbl[[#All],[STAFF:]],$A62,Jan_Period_1_Tbl[[#All],[$ PAID PT]])+
SUMIF(Feb_Period_1_Tbl[[#All],[STAFF:]],$A62,Feb_Period_1_Tbl[[#All],[$ PAID PT]])+SUMIF(Mar_Period_1_Tbl[[#All],[STAFF:]],$A62,Mar_Period_1_Tbl[[#All],[$ PAID PT]])+SUMIF(Apr_Period_1_Tbl[[#All],[STAFF:]],$A62,Apr_Period_1_Tbl[[#All],[$ PAID PT]])+   SUMIF(May_Period_1_Tbl[[#All],[STAFF:]],$A62,May_Period_1_Tbl[[#All],[$ PAID PT]])+   SUMIF(Jun_Period_1_Tbl[[#All],[STAFF:]],$A62,Jun_Period_1_Tbl[[#All],[$ PAID PT]])+  SUMIF(Jul_Period_1_Tbl[[#All],[STAFF:]],$A62,Jul_Period_1_Tbl[[#All],[$ PAID PT]])+  SUMIF(Aug_Period_1_Tbl[[#All],[STAFF:]],$A62,Aug_Period_1_Tbl[[#All],[$ PAID PT]])+  SUMIF(Sep_Period_1_Tbl[[#All],[STAFF:]],$A62,Sep_Period_1_Tbl[[#All],[$ PAID PT]])+  SUMIF(Oct_Period_1_Tbl[[#All],[STAFF:]],$A62,Oct_Period_1_Tbl[[#All],[$ PAID PT]])+     SUMIF(Nov_Period_1_Tbl[[#All],[STAFF:]],$A62,Nov_Period_1_Tbl[[#All],[$ PAID PT]])+  SUMIF(Dec_Period_1_Tbl[[#All],[STAFF:]],$A62,Dec_Period_1_Tbl[[#All],[$ PAID PT]]))+   (SUMIF(Jan_Period_2_Tbl[[#All],[STAFF:]],$A62,Jan_Period_2_Tbl[[#All],[$ PAID PT]])+
SUMIF(Feb_Period_2_Tbl[[#All],[STAFF:]],$A62,Feb_Period_2_Tbl[[#All],[$ PAID PT]])+SUMIF(Mar_Period_2_Tbl[[#All],[STAFF:]],$A62,Mar_Period_2_Tbl[[#All],[$ PAID PT]])+SUMIF(Apr_Period_2_Tbl[[#All],[STAFF:]],$A62,Apr_Period_2_Tbl[[#All],[$ PAID PT]])+   SUMIF(May_Period_2_Tbl[[#All],[STAFF:]],$A62,May_Period_2_Tbl[[#All],[$ PAID PT]])+   SUMIF(Jun_Period_2_Tbl[[#All],[STAFF:]],$A62,Jun_Period_2_Tbl[[#All],[$ PAID PT]])+  SUMIF(Jul_Period_2_Tbl[[#All],[STAFF:]],$A62,Jul_Period_2_Tbl[[#All],[$ PAID PT]])+  SUMIF(Aug_Period_2_Tbl[[#All],[STAFF:]],$A62,Aug_Period_2_Tbl[[#All],[$ PAID PT]])+  SUMIF(Sep_Period_2_Tbl[[#All],[STAFF:]],$A62,Sep_Period_2_Tbl[[#All],[$ PAID PT]])+  SUMIF(Oct_Period_2_Tbl[[#All],[STAFF:]],$A62,Oct_Period_2_Tbl[[#All],[$ PAID PT]])+     SUMIF(Nov_Period_2_Tbl[[#All],[STAFF:]],$A62,Nov_Period_2_Tbl[[#All],[$ PAID PT]])+  SUMIF(Dec_Period_2_Tbl[[#All],[STAFF:]],$A62,Dec_Period_2_Tbl[[#All],[$ PAID PT]]))</f>
        <v>0</v>
      </c>
      <c r="L62" s="190">
        <f>(SUMIF(Jan_Period_1_Tbl[[#All],[STAFF:]],$A62,Jan_Period_1_Tbl[[#All],[$ PT COMM]])+
SUMIF(Feb_Period_1_Tbl[[#All],[STAFF:]],$A62,Feb_Period_1_Tbl[[#All],[$ PT COMM]])+SUMIF(Mar_Period_1_Tbl[[#All],[STAFF:]],$A62,Mar_Period_1_Tbl[[#All],[$ PT COMM]])+SUMIF(Apr_Period_1_Tbl[[#All],[STAFF:]],$A62,Apr_Period_1_Tbl[[#All],[$ PT COMM]])+   SUMIF(May_Period_1_Tbl[[#All],[STAFF:]],$A62,May_Period_1_Tbl[[#All],[$ PT COMM]])+   SUMIF(Jun_Period_1_Tbl[[#All],[STAFF:]],$A62,Jun_Period_1_Tbl[[#All],[$ PT COMM]])+  SUMIF(Jul_Period_1_Tbl[[#All],[STAFF:]],$A62,Jul_Period_1_Tbl[[#All],[$ PT COMM]])+  SUMIF(Aug_Period_1_Tbl[[#All],[STAFF:]],$A62,Aug_Period_1_Tbl[[#All],[$ PT COMM]])+  SUMIF(Sep_Period_1_Tbl[[#All],[STAFF:]],$A62,Sep_Period_1_Tbl[[#All],[$ PT COMM]])+  SUMIF(Oct_Period_1_Tbl[[#All],[STAFF:]],$A62,Oct_Period_1_Tbl[[#All],[$ PT COMM]])+     SUMIF(Nov_Period_1_Tbl[[#All],[STAFF:]],$A62,Nov_Period_1_Tbl[[#All],[$ PT COMM]])+  SUMIF(Dec_Period_1_Tbl[[#All],[STAFF:]],$A62,Dec_Period_1_Tbl[[#All],[$ PT COMM]]))+   (SUMIF(Jan_Period_2_Tbl[[#All],[STAFF:]],$A62,Jan_Period_2_Tbl[[#All],[$ PT COMM]])+
SUMIF(Feb_Period_2_Tbl[[#All],[STAFF:]],$A62,Feb_Period_2_Tbl[[#All],[$ PT COMM]])+SUMIF(Mar_Period_2_Tbl[[#All],[STAFF:]],$A62,Mar_Period_2_Tbl[[#All],[$ PT COMM]])+SUMIF(Apr_Period_2_Tbl[[#All],[STAFF:]],$A62,Apr_Period_2_Tbl[[#All],[$ PT COMM]])+   SUMIF(May_Period_2_Tbl[[#All],[STAFF:]],$A62,May_Period_2_Tbl[[#All],[$ PT COMM]])+   SUMIF(Jun_Period_2_Tbl[[#All],[STAFF:]],$A62,Jun_Period_2_Tbl[[#All],[$ PT COMM]])+  SUMIF(Jul_Period_2_Tbl[[#All],[STAFF:]],$A62,Jul_Period_2_Tbl[[#All],[$ PT COMM]])+  SUMIF(Aug_Period_2_Tbl[[#All],[STAFF:]],$A62,Aug_Period_2_Tbl[[#All],[$ PT COMM]])+  SUMIF(Sep_Period_2_Tbl[[#All],[STAFF:]],$A62,Sep_Period_2_Tbl[[#All],[$ PT COMM]])+  SUMIF(Oct_Period_2_Tbl[[#All],[STAFF:]],$A62,Oct_Period_2_Tbl[[#All],[$ PT COMM]])+     SUMIF(Nov_Period_2_Tbl[[#All],[STAFF:]],$A62,Nov_Period_2_Tbl[[#All],[$ PT COMM]])+  SUMIF(Dec_Period_2_Tbl[[#All],[STAFF:]],$A62,Dec_Period_2_Tbl[[#All],[$ PT COMM]]))</f>
        <v>0</v>
      </c>
      <c r="M62" s="190">
        <f>(SUMIF(Jan_Period_1_Tbl[[#All],[STAFF:]],$A62,Jan_Period_1_Tbl[[#All],[$ EFT COMM]])+
SUMIF(Feb_Period_1_Tbl[[#All],[STAFF:]],$A62,Feb_Period_1_Tbl[[#All],[$ EFT COMM]])+SUMIF(Mar_Period_1_Tbl[[#All],[STAFF:]],$A62,Mar_Period_1_Tbl[[#All],[$ EFT COMM]])+SUMIF(Apr_Period_1_Tbl[[#All],[STAFF:]],$A62,Apr_Period_1_Tbl[[#All],[$ EFT COMM]])+   SUMIF(May_Period_1_Tbl[[#All],[STAFF:]],$A62,May_Period_1_Tbl[[#All],[$ EFT COMM]])+   SUMIF(Jun_Period_1_Tbl[[#All],[STAFF:]],$A62,Jun_Period_1_Tbl[[#All],[$ EFT COMM]])+  SUMIF(Jul_Period_1_Tbl[[#All],[STAFF:]],$A62,Jul_Period_1_Tbl[[#All],[$ EFT COMM]])+  SUMIF(Aug_Period_1_Tbl[[#All],[STAFF:]],$A62,Aug_Period_1_Tbl[[#All],[$ EFT COMM]])+  SUMIF(Sep_Period_1_Tbl[[#All],[STAFF:]],$A62,Sep_Period_1_Tbl[[#All],[$ EFT COMM]])+  SUMIF(Oct_Period_1_Tbl[[#All],[STAFF:]],$A62,Oct_Period_1_Tbl[[#All],[$ EFT COMM]])+     SUMIF(Nov_Period_1_Tbl[[#All],[STAFF:]],$A62,Nov_Period_1_Tbl[[#All],[$ EFT COMM]])+  SUMIF(Dec_Period_1_Tbl[[#All],[STAFF:]],$A62,Dec_Period_1_Tbl[[#All],[$ EFT COMM]]))+   (SUMIF(Jan_Period_2_Tbl[[#All],[STAFF:]],$A62,Jan_Period_2_Tbl[[#All],[$ EFT COMM]])+
SUMIF(Feb_Period_2_Tbl[[#All],[STAFF:]],$A62,Feb_Period_2_Tbl[[#All],[$ EFT COMM]])+SUMIF(Mar_Period_2_Tbl[[#All],[STAFF:]],$A62,Mar_Period_2_Tbl[[#All],[$ EFT COMM]])+SUMIF(Apr_Period_2_Tbl[[#All],[STAFF:]],$A62,Apr_Period_2_Tbl[[#All],[$ EFT COMM]])+   SUMIF(May_Period_2_Tbl[[#All],[STAFF:]],$A62,May_Period_2_Tbl[[#All],[$ EFT COMM]])+   SUMIF(Jun_Period_2_Tbl[[#All],[STAFF:]],$A62,Jun_Period_2_Tbl[[#All],[$ EFT COMM]])+  SUMIF(Jul_Period_2_Tbl[[#All],[STAFF:]],$A62,Jul_Period_2_Tbl[[#All],[$ EFT COMM]])+  SUMIF(Aug_Period_2_Tbl[[#All],[STAFF:]],$A62,Aug_Period_2_Tbl[[#All],[$ EFT COMM]])+  SUMIF(Sep_Period_2_Tbl[[#All],[STAFF:]],$A62,Sep_Period_2_Tbl[[#All],[$ EFT COMM]])+  SUMIF(Oct_Period_2_Tbl[[#All],[STAFF:]],$A62,Oct_Period_2_Tbl[[#All],[$ EFT COMM]])+     SUMIF(Nov_Period_2_Tbl[[#All],[STAFF:]],$A62,Nov_Period_2_Tbl[[#All],[$ EFT COMM]])+  SUMIF(Dec_Period_2_Tbl[[#All],[STAFF:]],$A62,Dec_Period_2_Tbl[[#All],[$ EFT COMM]]))</f>
        <v>0</v>
      </c>
      <c r="N62" s="190">
        <f>(SUMIF(Jan_Period_1_Tbl[[#All],[STAFF:]],$A62,Jan_Period_1_Tbl[[#All],[$ CLASS PAY]])+
SUMIF(Feb_Period_1_Tbl[[#All],[STAFF:]],$A62,Feb_Period_1_Tbl[[#All],[$ CLASS PAY]])+SUMIF(Mar_Period_1_Tbl[[#All],[STAFF:]],$A62,Mar_Period_1_Tbl[[#All],[$ CLASS PAY]])+SUMIF(Apr_Period_1_Tbl[[#All],[STAFF:]],$A62,Apr_Period_1_Tbl[[#All],[$ CLASS PAY]])+   SUMIF(May_Period_1_Tbl[[#All],[STAFF:]],$A62,May_Period_1_Tbl[[#All],[$ CLASS PAY]])+   SUMIF(Jun_Period_1_Tbl[[#All],[STAFF:]],$A62,Jun_Period_1_Tbl[[#All],[$ CLASS PAY]])+  SUMIF(Jul_Period_1_Tbl[[#All],[STAFF:]],$A62,Jul_Period_1_Tbl[[#All],[$ CLASS PAY]])+  SUMIF(Aug_Period_1_Tbl[[#All],[STAFF:]],$A62,Aug_Period_1_Tbl[[#All],[$ CLASS PAY]])+  SUMIF(Sep_Period_1_Tbl[[#All],[STAFF:]],$A62,Sep_Period_1_Tbl[[#All],[$ CLASS PAY]])+  SUMIF(Oct_Period_1_Tbl[[#All],[STAFF:]],$A62,Oct_Period_1_Tbl[[#All],[$ CLASS PAY]])+     SUMIF(Nov_Period_1_Tbl[[#All],[STAFF:]],$A62,Nov_Period_1_Tbl[[#All],[$ CLASS PAY]])+  SUMIF(Dec_Period_1_Tbl[[#All],[STAFF:]],$A62,Dec_Period_1_Tbl[[#All],[$ CLASS PAY]]))+   (SUMIF(Jan_Period_2_Tbl[[#All],[STAFF:]],$A62,Jan_Period_2_Tbl[[#All],[$ CLASS PAY]])+
SUMIF(Feb_Period_2_Tbl[[#All],[STAFF:]],$A62,Feb_Period_2_Tbl[[#All],[$ CLASS PAY]])+SUMIF(Mar_Period_2_Tbl[[#All],[STAFF:]],$A62,Mar_Period_2_Tbl[[#All],[$ CLASS PAY]])+SUMIF(Apr_Period_2_Tbl[[#All],[STAFF:]],$A62,Apr_Period_2_Tbl[[#All],[$ CLASS PAY]])+   SUMIF(May_Period_2_Tbl[[#All],[STAFF:]],$A62,May_Period_2_Tbl[[#All],[$ CLASS PAY]])+   SUMIF(Jun_Period_2_Tbl[[#All],[STAFF:]],$A62,Jun_Period_2_Tbl[[#All],[$ CLASS PAY]])+  SUMIF(Jul_Period_2_Tbl[[#All],[STAFF:]],$A62,Jul_Period_2_Tbl[[#All],[$ CLASS PAY]])+  SUMIF(Aug_Period_2_Tbl[[#All],[STAFF:]],$A62,Aug_Period_2_Tbl[[#All],[$ CLASS PAY]])+  SUMIF(Sep_Period_2_Tbl[[#All],[STAFF:]],$A62,Sep_Period_2_Tbl[[#All],[$ CLASS PAY]])+  SUMIF(Oct_Period_2_Tbl[[#All],[STAFF:]],$A62,Oct_Period_2_Tbl[[#All],[$ CLASS PAY]])+     SUMIF(Nov_Period_2_Tbl[[#All],[STAFF:]],$A62,Nov_Period_2_Tbl[[#All],[$ CLASS PAY]])+  SUMIF(Dec_Period_2_Tbl[[#All],[STAFF:]],$A62,Dec_Period_2_Tbl[[#All],[$ CLASS PAY]]))</f>
        <v>0</v>
      </c>
      <c r="O62" s="191">
        <f>(SUMIF(Jan_Period_1_Tbl[[#All],[STAFF:]],$A62,Jan_Period_1_Tbl[[#All],[$ BONUS PAY]])+
SUMIF(Feb_Period_1_Tbl[[#All],[STAFF:]],$A62,Feb_Period_1_Tbl[[#All],[$ BONUS PAY]])+SUMIF(Mar_Period_1_Tbl[[#All],[STAFF:]],$A62,Mar_Period_1_Tbl[[#All],[$ BONUS PAY]])+SUMIF(Apr_Period_1_Tbl[[#All],[STAFF:]],$A62,Apr_Period_1_Tbl[[#All],[$ BONUS PAY]])+   SUMIF(May_Period_1_Tbl[[#All],[STAFF:]],$A62,May_Period_1_Tbl[[#All],[$ BONUS PAY]])+   SUMIF(Jun_Period_1_Tbl[[#All],[STAFF:]],$A62,Jun_Period_1_Tbl[[#All],[$ BONUS PAY]])+  SUMIF(Jul_Period_1_Tbl[[#All],[STAFF:]],$A62,Jul_Period_1_Tbl[[#All],[$ BONUS PAY]])+  SUMIF(Aug_Period_1_Tbl[[#All],[STAFF:]],$A62,Aug_Period_1_Tbl[[#All],[$ BONUS PAY]])+  SUMIF(Sep_Period_1_Tbl[[#All],[STAFF:]],$A62,Sep_Period_1_Tbl[[#All],[$ BONUS PAY]])+  SUMIF(Oct_Period_1_Tbl[[#All],[STAFF:]],$A62,Oct_Period_1_Tbl[[#All],[$ BONUS PAY]])+     SUMIF(Nov_Period_1_Tbl[[#All],[STAFF:]],$A62,Nov_Period_1_Tbl[[#All],[$ BONUS PAY]])+  SUMIF(Dec_Period_1_Tbl[[#All],[STAFF:]],$A62,Dec_Period_1_Tbl[[#All],[$ BONUS PAY]]))+   (SUMIF(Jan_Period_2_Tbl[[#All],[STAFF:]],$A62,Jan_Period_2_Tbl[[#All],[$ BONUS PAY]])+
SUMIF(Feb_Period_2_Tbl[[#All],[STAFF:]],$A62,Feb_Period_2_Tbl[[#All],[$ BONUS PAY]])+SUMIF(Mar_Period_2_Tbl[[#All],[STAFF:]],$A62,Mar_Period_2_Tbl[[#All],[$ BONUS PAY]])+SUMIF(Apr_Period_2_Tbl[[#All],[STAFF:]],$A62,Apr_Period_2_Tbl[[#All],[$ BONUS PAY]])+   SUMIF(May_Period_2_Tbl[[#All],[STAFF:]],$A62,May_Period_2_Tbl[[#All],[$ BONUS PAY]])+   SUMIF(Jun_Period_2_Tbl[[#All],[STAFF:]],$A62,Jun_Period_2_Tbl[[#All],[$ BONUS PAY]])+  SUMIF(Jul_Period_2_Tbl[[#All],[STAFF:]],$A62,Jul_Period_2_Tbl[[#All],[$ BONUS PAY]])+  SUMIF(Aug_Period_2_Tbl[[#All],[STAFF:]],$A62,Aug_Period_2_Tbl[[#All],[$ BONUS PAY]])+  SUMIF(Sep_Period_2_Tbl[[#All],[STAFF:]],$A62,Sep_Period_2_Tbl[[#All],[$ BONUS PAY]])+  SUMIF(Oct_Period_2_Tbl[[#All],[STAFF:]],$A62,Oct_Period_2_Tbl[[#All],[$ BONUS PAY]])+     SUMIF(Nov_Period_2_Tbl[[#All],[STAFF:]],$A62,Nov_Period_2_Tbl[[#All],[$ BONUS PAY]])+  SUMIF(Dec_Period_2_Tbl[[#All],[STAFF:]],$A62,Dec_Period_2_Tbl[[#All],[$ BONUS PAY]]))</f>
        <v>0</v>
      </c>
      <c r="P62" s="179">
        <f t="shared" si="9"/>
        <v>0</v>
      </c>
      <c r="Q62" s="149"/>
      <c r="R62" s="152">
        <f>(SUMIF(Jan_Period_1_Tbl[[#All],[STAFF:]],$A62,Jan_Period_1_Tbl[[#All],['# POINTS EARNED]])+
SUMIF(Feb_Period_1_Tbl[[#All],[STAFF:]],$A62,Feb_Period_1_Tbl[[#All],['# POINTS EARNED]])+SUMIF(Mar_Period_1_Tbl[[#All],[STAFF:]],$A62,Mar_Period_1_Tbl[[#All],['# POINTS EARNED]])+SUMIF(Apr_Period_1_Tbl[[#All],[STAFF:]],$A62,Apr_Period_1_Tbl[[#All],['# POINTS EARNED]])+   SUMIF(May_Period_1_Tbl[[#All],[STAFF:]],$A62,May_Period_1_Tbl[[#All],['# POINTS EARNED]])+   SUMIF(Jun_Period_1_Tbl[[#All],[STAFF:]],$A62,Jun_Period_1_Tbl[[#All],['# POINTS EARNED]])+  SUMIF(Jul_Period_1_Tbl[[#All],[STAFF:]],$A62,Jul_Period_1_Tbl[[#All],['# POINTS EARNED]])+  SUMIF(Aug_Period_1_Tbl[[#All],[STAFF:]],$A62,Aug_Period_1_Tbl[[#All],['# POINTS EARNED]])+  SUMIF(Sep_Period_1_Tbl[[#All],[STAFF:]],$A62,Sep_Period_1_Tbl[[#All],['# POINTS EARNED]])+  SUMIF(Oct_Period_1_Tbl[[#All],[STAFF:]],$A62,Oct_Period_1_Tbl[[#All],['# POINTS EARNED]])+     SUMIF(Nov_Period_1_Tbl[[#All],[STAFF:]],$A62,Nov_Period_1_Tbl[[#All],['# POINTS EARNED]])+  SUMIF(Dec_Period_1_Tbl[[#All],[STAFF:]],$A62,Dec_Period_1_Tbl[[#All],['# POINTS EARNED]]))+   (SUMIF(Jan_Period_2_Tbl[[#All],[STAFF:]],$A62,Jan_Period_2_Tbl[[#All],['# POINTS EARNED]])+
SUMIF(Feb_Period_2_Tbl[[#All],[STAFF:]],$A62,Feb_Period_2_Tbl[[#All],['# POINTS EARNED]])+SUMIF(Mar_Period_2_Tbl[[#All],[STAFF:]],$A62,Mar_Period_2_Tbl[[#All],['# POINTS EARNED]])+SUMIF(Apr_Period_2_Tbl[[#All],[STAFF:]],$A62,Apr_Period_2_Tbl[[#All],['# POINTS EARNED]])+   SUMIF(May_Period_2_Tbl[[#All],[STAFF:]],$A62,May_Period_2_Tbl[[#All],['# POINTS EARNED]])+   SUMIF(Jun_Period_2_Tbl[[#All],[STAFF:]],$A62,Jun_Period_2_Tbl[[#All],['# POINTS EARNED]])+  SUMIF(Jul_Period_2_Tbl[[#All],[STAFF:]],$A62,Jul_Period_2_Tbl[[#All],['# POINTS EARNED]])+  SUMIF(Aug_Period_2_Tbl[[#All],[STAFF:]],$A62,Aug_Period_2_Tbl[[#All],['# POINTS EARNED]])+  SUMIF(Sep_Period_2_Tbl[[#All],[STAFF:]],$A62,Sep_Period_2_Tbl[[#All],['# POINTS EARNED]])+  SUMIF(Oct_Period_2_Tbl[[#All],[STAFF:]],$A62,Oct_Period_2_Tbl[[#All],['# POINTS EARNED]])+     SUMIF(Nov_Period_2_Tbl[[#All],[STAFF:]],$A62,Nov_Period_2_Tbl[[#All],['# POINTS EARNED]])+  SUMIF(Dec_Period_2_Tbl[[#All],[STAFF:]],$A62,Dec_Period_2_Tbl[[#All],['# POINTS EARNED]]))</f>
        <v>0</v>
      </c>
      <c r="S62" s="152">
        <f>(SUMIF(Jan_Period_1_Tbl[[#All],[STAFF:]],$A62,Jan_Period_1_Tbl[[#All],['# POINTS USED]])+
SUMIF(Feb_Period_1_Tbl[[#All],[STAFF:]],$A62,Feb_Period_1_Tbl[[#All],['# POINTS USED]])+SUMIF(Mar_Period_1_Tbl[[#All],[STAFF:]],$A62,Mar_Period_1_Tbl[[#All],['# POINTS USED]])+SUMIF(Apr_Period_1_Tbl[[#All],[STAFF:]],$A62,Apr_Period_1_Tbl[[#All],['# POINTS USED]])+   SUMIF(May_Period_1_Tbl[[#All],[STAFF:]],$A62,May_Period_1_Tbl[[#All],['# POINTS USED]])+   SUMIF(Jun_Period_1_Tbl[[#All],[STAFF:]],$A62,Jun_Period_1_Tbl[[#All],['# POINTS USED]])+  SUMIF(Jul_Period_1_Tbl[[#All],[STAFF:]],$A62,Jul_Period_1_Tbl[[#All],['# POINTS USED]])+  SUMIF(Aug_Period_1_Tbl[[#All],[STAFF:]],$A62,Aug_Period_1_Tbl[[#All],['# POINTS USED]])+  SUMIF(Sep_Period_1_Tbl[[#All],[STAFF:]],$A62,Sep_Period_1_Tbl[[#All],['# POINTS USED]])+  SUMIF(Oct_Period_1_Tbl[[#All],[STAFF:]],$A62,Oct_Period_1_Tbl[[#All],['# POINTS USED]])+     SUMIF(Nov_Period_1_Tbl[[#All],[STAFF:]],$A62,Nov_Period_1_Tbl[[#All],['# POINTS USED]])+  SUMIF(Dec_Period_1_Tbl[[#All],[STAFF:]],$A62,Dec_Period_1_Tbl[[#All],['# POINTS USED]]))+   (SUMIF(Jan_Period_2_Tbl[[#All],[STAFF:]],$A62,Jan_Period_2_Tbl[[#All],['# POINTS USED]])+
SUMIF(Feb_Period_2_Tbl[[#All],[STAFF:]],$A62,Feb_Period_2_Tbl[[#All],['# POINTS USED]])+SUMIF(Mar_Period_2_Tbl[[#All],[STAFF:]],$A62,Mar_Period_2_Tbl[[#All],['# POINTS USED]])+SUMIF(Apr_Period_2_Tbl[[#All],[STAFF:]],$A62,Apr_Period_2_Tbl[[#All],['# POINTS USED]])+   SUMIF(May_Period_2_Tbl[[#All],[STAFF:]],$A62,May_Period_2_Tbl[[#All],['# POINTS USED]])+   SUMIF(Jun_Period_2_Tbl[[#All],[STAFF:]],$A62,Jun_Period_2_Tbl[[#All],['# POINTS USED]])+  SUMIF(Jul_Period_2_Tbl[[#All],[STAFF:]],$A62,Jul_Period_2_Tbl[[#All],['# POINTS USED]])+  SUMIF(Aug_Period_2_Tbl[[#All],[STAFF:]],$A62,Aug_Period_2_Tbl[[#All],['# POINTS USED]])+  SUMIF(Sep_Period_2_Tbl[[#All],[STAFF:]],$A62,Sep_Period_2_Tbl[[#All],['# POINTS USED]])+  SUMIF(Oct_Period_2_Tbl[[#All],[STAFF:]],$A62,Oct_Period_2_Tbl[[#All],['# POINTS USED]])+     SUMIF(Nov_Period_2_Tbl[[#All],[STAFF:]],$A62,Nov_Period_2_Tbl[[#All],['# POINTS USED]])+  SUMIF(Dec_Period_2_Tbl[[#All],[STAFF:]],$A62,Dec_Period_2_Tbl[[#All],['# POINTS USED]]))</f>
        <v>0</v>
      </c>
      <c r="T62" s="152">
        <f>(SUMIF(Jan_Period_1_Tbl[[#All],[STAFF:]],$A62,Jan_Period_1_Tbl[[#All],['# CLASSES LEAD]])+
SUMIF(Feb_Period_1_Tbl[[#All],[STAFF:]],$A62,Feb_Period_1_Tbl[[#All],['# CLASSES LEAD]])+SUMIF(Mar_Period_1_Tbl[[#All],[STAFF:]],$A62,Mar_Period_1_Tbl[[#All],['# CLASSES LEAD]])+SUMIF(Apr_Period_1_Tbl[[#All],[STAFF:]],$A62,Apr_Period_1_Tbl[[#All],['# CLASSES LEAD]])+   SUMIF(May_Period_1_Tbl[[#All],[STAFF:]],$A62,May_Period_1_Tbl[[#All],['# CLASSES LEAD]])+   SUMIF(Jun_Period_1_Tbl[[#All],[STAFF:]],$A62,Jun_Period_1_Tbl[[#All],['# CLASSES LEAD]])+  SUMIF(Jul_Period_1_Tbl[[#All],[STAFF:]],$A62,Jul_Period_1_Tbl[[#All],['# CLASSES LEAD]])+  SUMIF(Aug_Period_1_Tbl[[#All],[STAFF:]],$A62,Aug_Period_1_Tbl[[#All],['# CLASSES LEAD]])+  SUMIF(Sep_Period_1_Tbl[[#All],[STAFF:]],$A62,Sep_Period_1_Tbl[[#All],['# CLASSES LEAD]])+  SUMIF(Oct_Period_1_Tbl[[#All],[STAFF:]],$A62,Oct_Period_1_Tbl[[#All],['# CLASSES LEAD]])+     SUMIF(Nov_Period_1_Tbl[[#All],[STAFF:]],$A62,Nov_Period_1_Tbl[[#All],['# CLASSES LEAD]])+  SUMIF(Dec_Period_1_Tbl[[#All],[STAFF:]],$A62,Dec_Period_1_Tbl[[#All],['# CLASSES LEAD]]))+   (SUMIF(Jan_Period_2_Tbl[[#All],[STAFF:]],$A62,Jan_Period_2_Tbl[[#All],['# CLASSES LEAD]])+
SUMIF(Feb_Period_2_Tbl[[#All],[STAFF:]],$A62,Feb_Period_2_Tbl[[#All],['# CLASSES LEAD]])+SUMIF(Mar_Period_2_Tbl[[#All],[STAFF:]],$A62,Mar_Period_2_Tbl[[#All],['# CLASSES LEAD]])+SUMIF(Apr_Period_2_Tbl[[#All],[STAFF:]],$A62,Apr_Period_2_Tbl[[#All],['# CLASSES LEAD]])+   SUMIF(May_Period_2_Tbl[[#All],[STAFF:]],$A62,May_Period_2_Tbl[[#All],['# CLASSES LEAD]])+   SUMIF(Jun_Period_2_Tbl[[#All],[STAFF:]],$A62,Jun_Period_2_Tbl[[#All],['# CLASSES LEAD]])+  SUMIF(Jul_Period_2_Tbl[[#All],[STAFF:]],$A62,Jul_Period_2_Tbl[[#All],['# CLASSES LEAD]])+  SUMIF(Aug_Period_2_Tbl[[#All],[STAFF:]],$A62,Aug_Period_2_Tbl[[#All],['# CLASSES LEAD]])+  SUMIF(Sep_Period_2_Tbl[[#All],[STAFF:]],$A62,Sep_Period_2_Tbl[[#All],['# CLASSES LEAD]])+  SUMIF(Oct_Period_2_Tbl[[#All],[STAFF:]],$A62,Oct_Period_2_Tbl[[#All],['# CLASSES LEAD]])+     SUMIF(Nov_Period_2_Tbl[[#All],[STAFF:]],$A62,Nov_Period_2_Tbl[[#All],['# CLASSES LEAD]])+  SUMIF(Dec_Period_2_Tbl[[#All],[STAFF:]],$A62,Dec_Period_2_Tbl[[#All],['# CLASSES LEAD]]))</f>
        <v>0</v>
      </c>
      <c r="U62" s="152">
        <f>(SUMIF(Jan_Period_1_Tbl[[#All],[STAFF:]],$A62,Jan_Period_1_Tbl[[#All],['# CLASSES SHOW]])+
SUMIF(Feb_Period_1_Tbl[[#All],[STAFF:]],$A62,Feb_Period_1_Tbl[[#All],['# CLASSES SHOW]])+SUMIF(Mar_Period_1_Tbl[[#All],[STAFF:]],$A62,Mar_Period_1_Tbl[[#All],['# CLASSES SHOW]])+SUMIF(Apr_Period_1_Tbl[[#All],[STAFF:]],$A62,Apr_Period_1_Tbl[[#All],['# CLASSES SHOW]])+   SUMIF(May_Period_1_Tbl[[#All],[STAFF:]],$A62,May_Period_1_Tbl[[#All],['# CLASSES SHOW]])+   SUMIF(Jun_Period_1_Tbl[[#All],[STAFF:]],$A62,Jun_Period_1_Tbl[[#All],['# CLASSES SHOW]])+  SUMIF(Jul_Period_1_Tbl[[#All],[STAFF:]],$A62,Jul_Period_1_Tbl[[#All],['# CLASSES SHOW]])+  SUMIF(Aug_Period_1_Tbl[[#All],[STAFF:]],$A62,Aug_Period_1_Tbl[[#All],['# CLASSES SHOW]])+  SUMIF(Sep_Period_1_Tbl[[#All],[STAFF:]],$A62,Sep_Period_1_Tbl[[#All],['# CLASSES SHOW]])+  SUMIF(Oct_Period_1_Tbl[[#All],[STAFF:]],$A62,Oct_Period_1_Tbl[[#All],['# CLASSES SHOW]])+     SUMIF(Nov_Period_1_Tbl[[#All],[STAFF:]],$A62,Nov_Period_1_Tbl[[#All],['# CLASSES SHOW]])+  SUMIF(Dec_Period_1_Tbl[[#All],[STAFF:]],$A62,Dec_Period_1_Tbl[[#All],['# CLASSES SHOW]]))+   (SUMIF(Jan_Period_2_Tbl[[#All],[STAFF:]],$A62,Jan_Period_2_Tbl[[#All],['# CLASSES SHOW]])+
SUMIF(Feb_Period_2_Tbl[[#All],[STAFF:]],$A62,Feb_Period_2_Tbl[[#All],['# CLASSES SHOW]])+SUMIF(Mar_Period_2_Tbl[[#All],[STAFF:]],$A62,Mar_Period_2_Tbl[[#All],['# CLASSES SHOW]])+SUMIF(Apr_Period_2_Tbl[[#All],[STAFF:]],$A62,Apr_Period_2_Tbl[[#All],['# CLASSES SHOW]])+   SUMIF(May_Period_2_Tbl[[#All],[STAFF:]],$A62,May_Period_2_Tbl[[#All],['# CLASSES SHOW]])+   SUMIF(Jun_Period_2_Tbl[[#All],[STAFF:]],$A62,Jun_Period_2_Tbl[[#All],['# CLASSES SHOW]])+  SUMIF(Jul_Period_2_Tbl[[#All],[STAFF:]],$A62,Jul_Period_2_Tbl[[#All],['# CLASSES SHOW]])+  SUMIF(Aug_Period_2_Tbl[[#All],[STAFF:]],$A62,Aug_Period_2_Tbl[[#All],['# CLASSES SHOW]])+  SUMIF(Sep_Period_2_Tbl[[#All],[STAFF:]],$A62,Sep_Period_2_Tbl[[#All],['# CLASSES SHOW]])+  SUMIF(Oct_Period_2_Tbl[[#All],[STAFF:]],$A62,Oct_Period_2_Tbl[[#All],['# CLASSES SHOW]])+     SUMIF(Nov_Period_2_Tbl[[#All],[STAFF:]],$A62,Nov_Period_2_Tbl[[#All],['# CLASSES SHOW]])+  SUMIF(Dec_Period_2_Tbl[[#All],[STAFF:]],$A62,Dec_Period_2_Tbl[[#All],['# CLASSES SHOW]]))</f>
        <v>0</v>
      </c>
      <c r="V62" s="156"/>
      <c r="W62" s="156"/>
      <c r="X62" s="154">
        <f t="shared" si="10"/>
        <v>0</v>
      </c>
      <c r="Y62" s="154">
        <f t="shared" si="11"/>
        <v>0</v>
      </c>
      <c r="Z62" s="154">
        <f t="shared" si="12"/>
        <v>0</v>
      </c>
      <c r="AA62" s="154">
        <f t="shared" si="13"/>
        <v>0</v>
      </c>
      <c r="AB62" s="154">
        <f t="shared" si="14"/>
        <v>0</v>
      </c>
      <c r="AC62" s="154">
        <f t="shared" si="15"/>
        <v>0</v>
      </c>
      <c r="AD62" s="154">
        <f t="shared" si="16"/>
        <v>0</v>
      </c>
      <c r="AE62" s="149"/>
      <c r="AF62" s="149"/>
      <c r="AG62" s="149"/>
      <c r="AH62" s="149"/>
      <c r="AJ62" s="75" t="str">
        <f t="shared" si="17"/>
        <v>zBlank</v>
      </c>
      <c r="AK62" s="210"/>
      <c r="AL62" s="168">
        <f>IFERROR(VLOOKUP(B62,List!$A:$B,2,FALSE),-1)</f>
        <v>-1</v>
      </c>
      <c r="AM62" s="168">
        <f>IFERROR(VLOOKUP(C62,List!$A:$B,2,FALSE),-1)</f>
        <v>-1</v>
      </c>
    </row>
    <row r="63" spans="1:39" ht="15" hidden="1" customHeight="1" x14ac:dyDescent="0.25">
      <c r="A63" s="20"/>
      <c r="B63" s="186"/>
      <c r="C63" s="186"/>
      <c r="D63" s="187"/>
      <c r="E63" s="188">
        <f>(SUMIF(Jan_Period_1_Tbl[[#All],[STAFF:]],$A63,Jan_Period_1_Tbl[[#All],['# PTO USED]])+
SUMIF(Feb_Period_1_Tbl[[#All],[STAFF:]],$A63,Feb_Period_1_Tbl[[#All],['# PTO USED]])+SUMIF(Mar_Period_1_Tbl[[#All],[STAFF:]],$A63,Mar_Period_1_Tbl[[#All],['# PTO USED]])+SUMIF(Apr_Period_1_Tbl[[#All],[STAFF:]],$A63,Apr_Period_1_Tbl[[#All],['# PTO USED]])+   SUMIF(May_Period_1_Tbl[[#All],[STAFF:]],$A63,May_Period_1_Tbl[[#All],['# PTO USED]])+   SUMIF(Jun_Period_1_Tbl[[#All],[STAFF:]],$A63,Jun_Period_1_Tbl[[#All],['# PTO USED]])+  SUMIF(Jul_Period_1_Tbl[[#All],[STAFF:]],$A63,Jul_Period_1_Tbl[[#All],['# PTO USED]])+  SUMIF(Aug_Period_1_Tbl[[#All],[STAFF:]],$A63,Aug_Period_1_Tbl[[#All],['# PTO USED]])+  SUMIF(Sep_Period_1_Tbl[[#All],[STAFF:]],$A63,Sep_Period_1_Tbl[[#All],['# PTO USED]])+  SUMIF(Oct_Period_1_Tbl[[#All],[STAFF:]],$A63,Oct_Period_1_Tbl[[#All],['# PTO USED]])+     SUMIF(Nov_Period_1_Tbl[[#All],[STAFF:]],$A63,Nov_Period_1_Tbl[[#All],['# PTO USED]])+  SUMIF(Dec_Period_1_Tbl[[#All],[STAFF:]],$A63,Dec_Period_1_Tbl[[#All],['# PTO USED]]))+   (SUMIF(Jan_Period_2_Tbl[[#All],[STAFF:]],$A63,Jan_Period_2_Tbl[[#All],['# PTO USED]])+
SUMIF(Feb_Period_2_Tbl[[#All],[STAFF:]],$A63,Feb_Period_2_Tbl[[#All],['# PTO USED]])+SUMIF(Mar_Period_2_Tbl[[#All],[STAFF:]],$A63,Mar_Period_2_Tbl[[#All],['# PTO USED]])+SUMIF(Apr_Period_2_Tbl[[#All],[STAFF:]],$A63,Apr_Period_2_Tbl[[#All],['# PTO USED]])+   SUMIF(May_Period_2_Tbl[[#All],[STAFF:]],$A63,May_Period_2_Tbl[[#All],['# PTO USED]])+   SUMIF(Jun_Period_2_Tbl[[#All],[STAFF:]],$A63,Jun_Period_2_Tbl[[#All],['# PTO USED]])+  SUMIF(Jul_Period_2_Tbl[[#All],[STAFF:]],$A63,Jul_Period_2_Tbl[[#All],['# PTO USED]])+  SUMIF(Aug_Period_2_Tbl[[#All],[STAFF:]],$A63,Aug_Period_2_Tbl[[#All],['# PTO USED]])+  SUMIF(Sep_Period_2_Tbl[[#All],[STAFF:]],$A63,Sep_Period_2_Tbl[[#All],['# PTO USED]])+  SUMIF(Oct_Period_2_Tbl[[#All],[STAFF:]],$A63,Oct_Period_2_Tbl[[#All],['# PTO USED]])+     SUMIF(Nov_Period_2_Tbl[[#All],[STAFF:]],$A63,Nov_Period_2_Tbl[[#All],['# PTO USED]])+  SUMIF(Dec_Period_2_Tbl[[#All],[STAFF:]],$A63,Dec_Period_2_Tbl[[#All],['# PTO USED]]))</f>
        <v>0</v>
      </c>
      <c r="F63" s="189">
        <f>(SUMIF(Jan_Period_1_Tbl[[#All],[STAFF:]],$A63,Jan_Period_1_Tbl[[#All],['# HRS WORKED]])+
SUMIF(Feb_Period_1_Tbl[[#All],[STAFF:]],$A63,Feb_Period_1_Tbl[[#All],['# HRS WORKED]])+SUMIF(Mar_Period_1_Tbl[[#All],[STAFF:]],$A63,Mar_Period_1_Tbl[[#All],['# HRS WORKED]])+SUMIF(Apr_Period_1_Tbl[[#All],[STAFF:]],$A63,Apr_Period_1_Tbl[[#All],['# HRS WORKED]])+   SUMIF(May_Period_1_Tbl[[#All],[STAFF:]],$A63,May_Period_1_Tbl[[#All],['# HRS WORKED]])+   SUMIF(Jun_Period_1_Tbl[[#All],[STAFF:]],$A63,Jun_Period_1_Tbl[[#All],['# HRS WORKED]])+  SUMIF(Jul_Period_1_Tbl[[#All],[STAFF:]],$A63,Jul_Period_1_Tbl[[#All],['# HRS WORKED]])+  SUMIF(Aug_Period_1_Tbl[[#All],[STAFF:]],$A63,Aug_Period_1_Tbl[[#All],['# HRS WORKED]])+  SUMIF(Sep_Period_1_Tbl[[#All],[STAFF:]],$A63,Sep_Period_1_Tbl[[#All],['# HRS WORKED]])+  SUMIF(Oct_Period_1_Tbl[[#All],[STAFF:]],$A63,Oct_Period_1_Tbl[[#All],['# HRS WORKED]])+     SUMIF(Nov_Period_1_Tbl[[#All],[STAFF:]],$A63,Nov_Period_1_Tbl[[#All],['# HRS WORKED]])+  SUMIF(Dec_Period_1_Tbl[[#All],[STAFF:]],$A63,Dec_Period_1_Tbl[[#All],['# HRS WORKED]]))+   (SUMIF(Jan_Period_2_Tbl[[#All],[STAFF:]],$A63,Jan_Period_2_Tbl[[#All],['# HRS WORKED]])+
SUMIF(Feb_Period_2_Tbl[[#All],[STAFF:]],$A63,Feb_Period_2_Tbl[[#All],['# HRS WORKED]])+SUMIF(Mar_Period_2_Tbl[[#All],[STAFF:]],$A63,Mar_Period_2_Tbl[[#All],['# HRS WORKED]])+SUMIF(Apr_Period_2_Tbl[[#All],[STAFF:]],$A63,Apr_Period_2_Tbl[[#All],['# HRS WORKED]])+   SUMIF(May_Period_2_Tbl[[#All],[STAFF:]],$A63,May_Period_2_Tbl[[#All],['# HRS WORKED]])+   SUMIF(Jun_Period_2_Tbl[[#All],[STAFF:]],$A63,Jun_Period_2_Tbl[[#All],['# HRS WORKED]])+  SUMIF(Jul_Period_2_Tbl[[#All],[STAFF:]],$A63,Jul_Period_2_Tbl[[#All],['# HRS WORKED]])+  SUMIF(Aug_Period_2_Tbl[[#All],[STAFF:]],$A63,Aug_Period_2_Tbl[[#All],['# HRS WORKED]])+  SUMIF(Sep_Period_2_Tbl[[#All],[STAFF:]],$A63,Sep_Period_2_Tbl[[#All],['# HRS WORKED]])+  SUMIF(Oct_Period_2_Tbl[[#All],[STAFF:]],$A63,Oct_Period_2_Tbl[[#All],['# HRS WORKED]])+     SUMIF(Nov_Period_2_Tbl[[#All],[STAFF:]],$A63,Nov_Period_2_Tbl[[#All],['# HRS WORKED]])+  SUMIF(Dec_Period_2_Tbl[[#All],[STAFF:]],$A63,Dec_Period_2_Tbl[[#All],['# HRS WORKED]]))</f>
        <v>0</v>
      </c>
      <c r="G63" s="190">
        <f>(SUMIF(Jan_Period_1_Tbl[[#All],[STAFF:]],$A63,Jan_Period_1_Tbl[[#All],[$ Hourly WAGES]])+
SUMIF(Feb_Period_1_Tbl[[#All],[STAFF:]],$A63,Feb_Period_1_Tbl[[#All],[$ Hourly WAGES]])+SUMIF(Mar_Period_1_Tbl[[#All],[STAFF:]],$A63,Mar_Period_1_Tbl[[#All],[$ Hourly WAGES]])+SUMIF(Apr_Period_1_Tbl[[#All],[STAFF:]],$A63,Apr_Period_1_Tbl[[#All],[$ Hourly WAGES]])+   SUMIF(May_Period_1_Tbl[[#All],[STAFF:]],$A63,May_Period_1_Tbl[[#All],[$ Hourly WAGES]])+   SUMIF(Jun_Period_1_Tbl[[#All],[STAFF:]],$A63,Jun_Period_1_Tbl[[#All],[$ Hourly WAGES]])+  SUMIF(Jul_Period_1_Tbl[[#All],[STAFF:]],$A63,Jul_Period_1_Tbl[[#All],[$ Hourly WAGES]])+  SUMIF(Aug_Period_1_Tbl[[#All],[STAFF:]],$A63,Aug_Period_1_Tbl[[#All],[$ Hourly WAGES]])+  SUMIF(Sep_Period_1_Tbl[[#All],[STAFF:]],$A63,Sep_Period_1_Tbl[[#All],[$ Hourly WAGES]])+  SUMIF(Oct_Period_1_Tbl[[#All],[STAFF:]],$A63,Oct_Period_1_Tbl[[#All],[$ Hourly WAGES]])+     SUMIF(Nov_Period_1_Tbl[[#All],[STAFF:]],$A63,Nov_Period_1_Tbl[[#All],[$ Hourly WAGES]])+  SUMIF(Dec_Period_1_Tbl[[#All],[STAFF:]],$A63,Dec_Period_1_Tbl[[#All],[$ Hourly WAGES]]))+   (SUMIF(Jan_Period_2_Tbl[[#All],[STAFF:]],$A63,Jan_Period_2_Tbl[[#All],[$ Hourly WAGES]])+
SUMIF(Feb_Period_2_Tbl[[#All],[STAFF:]],$A63,Feb_Period_2_Tbl[[#All],[$ Hourly WAGES]])+SUMIF(Mar_Period_2_Tbl[[#All],[STAFF:]],$A63,Mar_Period_2_Tbl[[#All],[$ Hourly WAGES]])+SUMIF(Apr_Period_2_Tbl[[#All],[STAFF:]],$A63,Apr_Period_2_Tbl[[#All],[$ Hourly WAGES]])+   SUMIF(May_Period_2_Tbl[[#All],[STAFF:]],$A63,May_Period_2_Tbl[[#All],[$ Hourly WAGES]])+   SUMIF(Jun_Period_2_Tbl[[#All],[STAFF:]],$A63,Jun_Period_2_Tbl[[#All],[$ Hourly WAGES]])+  SUMIF(Jul_Period_2_Tbl[[#All],[STAFF:]],$A63,Jul_Period_2_Tbl[[#All],[$ Hourly WAGES]])+  SUMIF(Aug_Period_2_Tbl[[#All],[STAFF:]],$A63,Aug_Period_2_Tbl[[#All],[$ Hourly WAGES]])+  SUMIF(Sep_Period_2_Tbl[[#All],[STAFF:]],$A63,Sep_Period_2_Tbl[[#All],[$ Hourly WAGES]])+  SUMIF(Oct_Period_2_Tbl[[#All],[STAFF:]],$A63,Oct_Period_2_Tbl[[#All],[$ Hourly WAGES]])+     SUMIF(Nov_Period_2_Tbl[[#All],[STAFF:]],$A63,Nov_Period_2_Tbl[[#All],[$ Hourly WAGES]])+  SUMIF(Dec_Period_2_Tbl[[#All],[STAFF:]],$A63,Dec_Period_2_Tbl[[#All],[$ Hourly WAGES]]))</f>
        <v>0</v>
      </c>
      <c r="H63" s="190">
        <f>(SUMIF(Jan_Period_1_Tbl[[#All],[STAFF:]],$A63,Jan_Period_1_Tbl[[#All],[$ SALARY]])+
SUMIF(Feb_Period_1_Tbl[[#All],[STAFF:]],$A63,Feb_Period_1_Tbl[[#All],[$ SALARY]])+SUMIF(Mar_Period_1_Tbl[[#All],[STAFF:]],$A63,Mar_Period_1_Tbl[[#All],[$ SALARY]])+SUMIF(Apr_Period_1_Tbl[[#All],[STAFF:]],$A63,Apr_Period_1_Tbl[[#All],[$ SALARY]])+   SUMIF(May_Period_1_Tbl[[#All],[STAFF:]],$A63,May_Period_1_Tbl[[#All],[$ SALARY]])+   SUMIF(Jun_Period_1_Tbl[[#All],[STAFF:]],$A63,Jun_Period_1_Tbl[[#All],[$ SALARY]])+  SUMIF(Jul_Period_1_Tbl[[#All],[STAFF:]],$A63,Jul_Period_1_Tbl[[#All],[$ SALARY]])+  SUMIF(Aug_Period_1_Tbl[[#All],[STAFF:]],$A63,Aug_Period_1_Tbl[[#All],[$ SALARY]])+  SUMIF(Sep_Period_1_Tbl[[#All],[STAFF:]],$A63,Sep_Period_1_Tbl[[#All],[$ SALARY]])+  SUMIF(Oct_Period_1_Tbl[[#All],[STAFF:]],$A63,Oct_Period_1_Tbl[[#All],[$ SALARY]])+     SUMIF(Nov_Period_1_Tbl[[#All],[STAFF:]],$A63,Nov_Period_1_Tbl[[#All],[$ SALARY]])+  SUMIF(Dec_Period_1_Tbl[[#All],[STAFF:]],$A63,Dec_Period_1_Tbl[[#All],[$ SALARY]]))+   (SUMIF(Jan_Period_2_Tbl[[#All],[STAFF:]],$A63,Jan_Period_2_Tbl[[#All],[$ SALARY]])+
SUMIF(Feb_Period_2_Tbl[[#All],[STAFF:]],$A63,Feb_Period_2_Tbl[[#All],[$ SALARY]])+SUMIF(Mar_Period_2_Tbl[[#All],[STAFF:]],$A63,Mar_Period_2_Tbl[[#All],[$ SALARY]])+SUMIF(Apr_Period_2_Tbl[[#All],[STAFF:]],$A63,Apr_Period_2_Tbl[[#All],[$ SALARY]])+   SUMIF(May_Period_2_Tbl[[#All],[STAFF:]],$A63,May_Period_2_Tbl[[#All],[$ SALARY]])+   SUMIF(Jun_Period_2_Tbl[[#All],[STAFF:]],$A63,Jun_Period_2_Tbl[[#All],[$ SALARY]])+  SUMIF(Jul_Period_2_Tbl[[#All],[STAFF:]],$A63,Jul_Period_2_Tbl[[#All],[$ SALARY]])+  SUMIF(Aug_Period_2_Tbl[[#All],[STAFF:]],$A63,Aug_Period_2_Tbl[[#All],[$ SALARY]])+  SUMIF(Sep_Period_2_Tbl[[#All],[STAFF:]],$A63,Sep_Period_2_Tbl[[#All],[$ SALARY]])+  SUMIF(Oct_Period_2_Tbl[[#All],[STAFF:]],$A63,Oct_Period_2_Tbl[[#All],[$ SALARY]])+     SUMIF(Nov_Period_2_Tbl[[#All],[STAFF:]],$A63,Nov_Period_2_Tbl[[#All],[$ SALARY]])+  SUMIF(Dec_Period_2_Tbl[[#All],[STAFF:]],$A63,Dec_Period_2_Tbl[[#All],[$ SALARY]]))</f>
        <v>0</v>
      </c>
      <c r="I63" s="190">
        <f>(SUMIF(Jan_Period_1_Tbl[[#All],[STAFF:]],$A63,Jan_Period_1_Tbl[[#All],[$ SALARY PT]])+
SUMIF(Feb_Period_1_Tbl[[#All],[STAFF:]],$A63,Feb_Period_1_Tbl[[#All],[$ SALARY PT]])+SUMIF(Mar_Period_1_Tbl[[#All],[STAFF:]],$A63,Mar_Period_1_Tbl[[#All],[$ SALARY PT]])+SUMIF(Apr_Period_1_Tbl[[#All],[STAFF:]],$A63,Apr_Period_1_Tbl[[#All],[$ SALARY PT]])+   SUMIF(May_Period_1_Tbl[[#All],[STAFF:]],$A63,May_Period_1_Tbl[[#All],[$ SALARY PT]])+   SUMIF(Jun_Period_1_Tbl[[#All],[STAFF:]],$A63,Jun_Period_1_Tbl[[#All],[$ SALARY PT]])+  SUMIF(Jul_Period_1_Tbl[[#All],[STAFF:]],$A63,Jul_Period_1_Tbl[[#All],[$ SALARY PT]])+  SUMIF(Aug_Period_1_Tbl[[#All],[STAFF:]],$A63,Aug_Period_1_Tbl[[#All],[$ SALARY PT]])+  SUMIF(Sep_Period_1_Tbl[[#All],[STAFF:]],$A63,Sep_Period_1_Tbl[[#All],[$ SALARY PT]])+  SUMIF(Oct_Period_1_Tbl[[#All],[STAFF:]],$A63,Oct_Period_1_Tbl[[#All],[$ SALARY PT]])+     SUMIF(Nov_Period_1_Tbl[[#All],[STAFF:]],$A63,Nov_Period_1_Tbl[[#All],[$ SALARY PT]])+  SUMIF(Dec_Period_1_Tbl[[#All],[STAFF:]],$A63,Dec_Period_1_Tbl[[#All],[$ SALARY PT]]))+   (SUMIF(Jan_Period_2_Tbl[[#All],[STAFF:]],$A63,Jan_Period_2_Tbl[[#All],[$ SALARY PT]])+
SUMIF(Feb_Period_2_Tbl[[#All],[STAFF:]],$A63,Feb_Period_2_Tbl[[#All],[$ SALARY PT]])+SUMIF(Mar_Period_2_Tbl[[#All],[STAFF:]],$A63,Mar_Period_2_Tbl[[#All],[$ SALARY PT]])+SUMIF(Apr_Period_2_Tbl[[#All],[STAFF:]],$A63,Apr_Period_2_Tbl[[#All],[$ SALARY PT]])+   SUMIF(May_Period_2_Tbl[[#All],[STAFF:]],$A63,May_Period_2_Tbl[[#All],[$ SALARY PT]])+   SUMIF(Jun_Period_2_Tbl[[#All],[STAFF:]],$A63,Jun_Period_2_Tbl[[#All],[$ SALARY PT]])+  SUMIF(Jul_Period_2_Tbl[[#All],[STAFF:]],$A63,Jul_Period_2_Tbl[[#All],[$ SALARY PT]])+  SUMIF(Aug_Period_2_Tbl[[#All],[STAFF:]],$A63,Aug_Period_2_Tbl[[#All],[$ SALARY PT]])+  SUMIF(Sep_Period_2_Tbl[[#All],[STAFF:]],$A63,Sep_Period_2_Tbl[[#All],[$ SALARY PT]])+  SUMIF(Oct_Period_2_Tbl[[#All],[STAFF:]],$A63,Oct_Period_2_Tbl[[#All],[$ SALARY PT]])+     SUMIF(Nov_Period_2_Tbl[[#All],[STAFF:]],$A63,Nov_Period_2_Tbl[[#All],[$ SALARY PT]])+  SUMIF(Dec_Period_2_Tbl[[#All],[STAFF:]],$A63,Dec_Period_2_Tbl[[#All],[$ SALARY PT]]))</f>
        <v>0</v>
      </c>
      <c r="J63" s="190">
        <f>(SUMIF(Jan_Period_1_Tbl[[#All],[STAFF:]],$A63,Jan_Period_1_Tbl[[#All],[$ FREE PT]])+
SUMIF(Feb_Period_1_Tbl[[#All],[STAFF:]],$A63,Feb_Period_1_Tbl[[#All],[$ FREE PT]])+SUMIF(Mar_Period_1_Tbl[[#All],[STAFF:]],$A63,Mar_Period_1_Tbl[[#All],[$ FREE PT]])+SUMIF(Apr_Period_1_Tbl[[#All],[STAFF:]],$A63,Apr_Period_1_Tbl[[#All],[$ FREE PT]])+   SUMIF(May_Period_1_Tbl[[#All],[STAFF:]],$A63,May_Period_1_Tbl[[#All],[$ FREE PT]])+   SUMIF(Jun_Period_1_Tbl[[#All],[STAFF:]],$A63,Jun_Period_1_Tbl[[#All],[$ FREE PT]])+  SUMIF(Jul_Period_1_Tbl[[#All],[STAFF:]],$A63,Jul_Period_1_Tbl[[#All],[$ FREE PT]])+  SUMIF(Aug_Period_1_Tbl[[#All],[STAFF:]],$A63,Aug_Period_1_Tbl[[#All],[$ FREE PT]])+  SUMIF(Sep_Period_1_Tbl[[#All],[STAFF:]],$A63,Sep_Period_1_Tbl[[#All],[$ FREE PT]])+  SUMIF(Oct_Period_1_Tbl[[#All],[STAFF:]],$A63,Oct_Period_1_Tbl[[#All],[$ FREE PT]])+     SUMIF(Nov_Period_1_Tbl[[#All],[STAFF:]],$A63,Nov_Period_1_Tbl[[#All],[$ FREE PT]])+  SUMIF(Dec_Period_1_Tbl[[#All],[STAFF:]],$A63,Dec_Period_1_Tbl[[#All],[$ FREE PT]]))+   (SUMIF(Jan_Period_2_Tbl[[#All],[STAFF:]],$A63,Jan_Period_2_Tbl[[#All],[$ FREE PT]])+
SUMIF(Feb_Period_2_Tbl[[#All],[STAFF:]],$A63,Feb_Period_2_Tbl[[#All],[$ FREE PT]])+SUMIF(Mar_Period_2_Tbl[[#All],[STAFF:]],$A63,Mar_Period_2_Tbl[[#All],[$ FREE PT]])+SUMIF(Apr_Period_2_Tbl[[#All],[STAFF:]],$A63,Apr_Period_2_Tbl[[#All],[$ FREE PT]])+   SUMIF(May_Period_2_Tbl[[#All],[STAFF:]],$A63,May_Period_2_Tbl[[#All],[$ FREE PT]])+   SUMIF(Jun_Period_2_Tbl[[#All],[STAFF:]],$A63,Jun_Period_2_Tbl[[#All],[$ FREE PT]])+  SUMIF(Jul_Period_2_Tbl[[#All],[STAFF:]],$A63,Jul_Period_2_Tbl[[#All],[$ FREE PT]])+  SUMIF(Aug_Period_2_Tbl[[#All],[STAFF:]],$A63,Aug_Period_2_Tbl[[#All],[$ FREE PT]])+  SUMIF(Sep_Period_2_Tbl[[#All],[STAFF:]],$A63,Sep_Period_2_Tbl[[#All],[$ FREE PT]])+  SUMIF(Oct_Period_2_Tbl[[#All],[STAFF:]],$A63,Oct_Period_2_Tbl[[#All],[$ FREE PT]])+     SUMIF(Nov_Period_2_Tbl[[#All],[STAFF:]],$A63,Nov_Period_2_Tbl[[#All],[$ FREE PT]])+  SUMIF(Dec_Period_2_Tbl[[#All],[STAFF:]],$A63,Dec_Period_2_Tbl[[#All],[$ FREE PT]]))</f>
        <v>0</v>
      </c>
      <c r="K63" s="190">
        <f>(SUMIF(Jan_Period_1_Tbl[[#All],[STAFF:]],$A63,Jan_Period_1_Tbl[[#All],[$ PAID PT]])+
SUMIF(Feb_Period_1_Tbl[[#All],[STAFF:]],$A63,Feb_Period_1_Tbl[[#All],[$ PAID PT]])+SUMIF(Mar_Period_1_Tbl[[#All],[STAFF:]],$A63,Mar_Period_1_Tbl[[#All],[$ PAID PT]])+SUMIF(Apr_Period_1_Tbl[[#All],[STAFF:]],$A63,Apr_Period_1_Tbl[[#All],[$ PAID PT]])+   SUMIF(May_Period_1_Tbl[[#All],[STAFF:]],$A63,May_Period_1_Tbl[[#All],[$ PAID PT]])+   SUMIF(Jun_Period_1_Tbl[[#All],[STAFF:]],$A63,Jun_Period_1_Tbl[[#All],[$ PAID PT]])+  SUMIF(Jul_Period_1_Tbl[[#All],[STAFF:]],$A63,Jul_Period_1_Tbl[[#All],[$ PAID PT]])+  SUMIF(Aug_Period_1_Tbl[[#All],[STAFF:]],$A63,Aug_Period_1_Tbl[[#All],[$ PAID PT]])+  SUMIF(Sep_Period_1_Tbl[[#All],[STAFF:]],$A63,Sep_Period_1_Tbl[[#All],[$ PAID PT]])+  SUMIF(Oct_Period_1_Tbl[[#All],[STAFF:]],$A63,Oct_Period_1_Tbl[[#All],[$ PAID PT]])+     SUMIF(Nov_Period_1_Tbl[[#All],[STAFF:]],$A63,Nov_Period_1_Tbl[[#All],[$ PAID PT]])+  SUMIF(Dec_Period_1_Tbl[[#All],[STAFF:]],$A63,Dec_Period_1_Tbl[[#All],[$ PAID PT]]))+   (SUMIF(Jan_Period_2_Tbl[[#All],[STAFF:]],$A63,Jan_Period_2_Tbl[[#All],[$ PAID PT]])+
SUMIF(Feb_Period_2_Tbl[[#All],[STAFF:]],$A63,Feb_Period_2_Tbl[[#All],[$ PAID PT]])+SUMIF(Mar_Period_2_Tbl[[#All],[STAFF:]],$A63,Mar_Period_2_Tbl[[#All],[$ PAID PT]])+SUMIF(Apr_Period_2_Tbl[[#All],[STAFF:]],$A63,Apr_Period_2_Tbl[[#All],[$ PAID PT]])+   SUMIF(May_Period_2_Tbl[[#All],[STAFF:]],$A63,May_Period_2_Tbl[[#All],[$ PAID PT]])+   SUMIF(Jun_Period_2_Tbl[[#All],[STAFF:]],$A63,Jun_Period_2_Tbl[[#All],[$ PAID PT]])+  SUMIF(Jul_Period_2_Tbl[[#All],[STAFF:]],$A63,Jul_Period_2_Tbl[[#All],[$ PAID PT]])+  SUMIF(Aug_Period_2_Tbl[[#All],[STAFF:]],$A63,Aug_Period_2_Tbl[[#All],[$ PAID PT]])+  SUMIF(Sep_Period_2_Tbl[[#All],[STAFF:]],$A63,Sep_Period_2_Tbl[[#All],[$ PAID PT]])+  SUMIF(Oct_Period_2_Tbl[[#All],[STAFF:]],$A63,Oct_Period_2_Tbl[[#All],[$ PAID PT]])+     SUMIF(Nov_Period_2_Tbl[[#All],[STAFF:]],$A63,Nov_Period_2_Tbl[[#All],[$ PAID PT]])+  SUMIF(Dec_Period_2_Tbl[[#All],[STAFF:]],$A63,Dec_Period_2_Tbl[[#All],[$ PAID PT]]))</f>
        <v>0</v>
      </c>
      <c r="L63" s="190">
        <f>(SUMIF(Jan_Period_1_Tbl[[#All],[STAFF:]],$A63,Jan_Period_1_Tbl[[#All],[$ PT COMM]])+
SUMIF(Feb_Period_1_Tbl[[#All],[STAFF:]],$A63,Feb_Period_1_Tbl[[#All],[$ PT COMM]])+SUMIF(Mar_Period_1_Tbl[[#All],[STAFF:]],$A63,Mar_Period_1_Tbl[[#All],[$ PT COMM]])+SUMIF(Apr_Period_1_Tbl[[#All],[STAFF:]],$A63,Apr_Period_1_Tbl[[#All],[$ PT COMM]])+   SUMIF(May_Period_1_Tbl[[#All],[STAFF:]],$A63,May_Period_1_Tbl[[#All],[$ PT COMM]])+   SUMIF(Jun_Period_1_Tbl[[#All],[STAFF:]],$A63,Jun_Period_1_Tbl[[#All],[$ PT COMM]])+  SUMIF(Jul_Period_1_Tbl[[#All],[STAFF:]],$A63,Jul_Period_1_Tbl[[#All],[$ PT COMM]])+  SUMIF(Aug_Period_1_Tbl[[#All],[STAFF:]],$A63,Aug_Period_1_Tbl[[#All],[$ PT COMM]])+  SUMIF(Sep_Period_1_Tbl[[#All],[STAFF:]],$A63,Sep_Period_1_Tbl[[#All],[$ PT COMM]])+  SUMIF(Oct_Period_1_Tbl[[#All],[STAFF:]],$A63,Oct_Period_1_Tbl[[#All],[$ PT COMM]])+     SUMIF(Nov_Period_1_Tbl[[#All],[STAFF:]],$A63,Nov_Period_1_Tbl[[#All],[$ PT COMM]])+  SUMIF(Dec_Period_1_Tbl[[#All],[STAFF:]],$A63,Dec_Period_1_Tbl[[#All],[$ PT COMM]]))+   (SUMIF(Jan_Period_2_Tbl[[#All],[STAFF:]],$A63,Jan_Period_2_Tbl[[#All],[$ PT COMM]])+
SUMIF(Feb_Period_2_Tbl[[#All],[STAFF:]],$A63,Feb_Period_2_Tbl[[#All],[$ PT COMM]])+SUMIF(Mar_Period_2_Tbl[[#All],[STAFF:]],$A63,Mar_Period_2_Tbl[[#All],[$ PT COMM]])+SUMIF(Apr_Period_2_Tbl[[#All],[STAFF:]],$A63,Apr_Period_2_Tbl[[#All],[$ PT COMM]])+   SUMIF(May_Period_2_Tbl[[#All],[STAFF:]],$A63,May_Period_2_Tbl[[#All],[$ PT COMM]])+   SUMIF(Jun_Period_2_Tbl[[#All],[STAFF:]],$A63,Jun_Period_2_Tbl[[#All],[$ PT COMM]])+  SUMIF(Jul_Period_2_Tbl[[#All],[STAFF:]],$A63,Jul_Period_2_Tbl[[#All],[$ PT COMM]])+  SUMIF(Aug_Period_2_Tbl[[#All],[STAFF:]],$A63,Aug_Period_2_Tbl[[#All],[$ PT COMM]])+  SUMIF(Sep_Period_2_Tbl[[#All],[STAFF:]],$A63,Sep_Period_2_Tbl[[#All],[$ PT COMM]])+  SUMIF(Oct_Period_2_Tbl[[#All],[STAFF:]],$A63,Oct_Period_2_Tbl[[#All],[$ PT COMM]])+     SUMIF(Nov_Period_2_Tbl[[#All],[STAFF:]],$A63,Nov_Period_2_Tbl[[#All],[$ PT COMM]])+  SUMIF(Dec_Period_2_Tbl[[#All],[STAFF:]],$A63,Dec_Period_2_Tbl[[#All],[$ PT COMM]]))</f>
        <v>0</v>
      </c>
      <c r="M63" s="190">
        <f>(SUMIF(Jan_Period_1_Tbl[[#All],[STAFF:]],$A63,Jan_Period_1_Tbl[[#All],[$ EFT COMM]])+
SUMIF(Feb_Period_1_Tbl[[#All],[STAFF:]],$A63,Feb_Period_1_Tbl[[#All],[$ EFT COMM]])+SUMIF(Mar_Period_1_Tbl[[#All],[STAFF:]],$A63,Mar_Period_1_Tbl[[#All],[$ EFT COMM]])+SUMIF(Apr_Period_1_Tbl[[#All],[STAFF:]],$A63,Apr_Period_1_Tbl[[#All],[$ EFT COMM]])+   SUMIF(May_Period_1_Tbl[[#All],[STAFF:]],$A63,May_Period_1_Tbl[[#All],[$ EFT COMM]])+   SUMIF(Jun_Period_1_Tbl[[#All],[STAFF:]],$A63,Jun_Period_1_Tbl[[#All],[$ EFT COMM]])+  SUMIF(Jul_Period_1_Tbl[[#All],[STAFF:]],$A63,Jul_Period_1_Tbl[[#All],[$ EFT COMM]])+  SUMIF(Aug_Period_1_Tbl[[#All],[STAFF:]],$A63,Aug_Period_1_Tbl[[#All],[$ EFT COMM]])+  SUMIF(Sep_Period_1_Tbl[[#All],[STAFF:]],$A63,Sep_Period_1_Tbl[[#All],[$ EFT COMM]])+  SUMIF(Oct_Period_1_Tbl[[#All],[STAFF:]],$A63,Oct_Period_1_Tbl[[#All],[$ EFT COMM]])+     SUMIF(Nov_Period_1_Tbl[[#All],[STAFF:]],$A63,Nov_Period_1_Tbl[[#All],[$ EFT COMM]])+  SUMIF(Dec_Period_1_Tbl[[#All],[STAFF:]],$A63,Dec_Period_1_Tbl[[#All],[$ EFT COMM]]))+   (SUMIF(Jan_Period_2_Tbl[[#All],[STAFF:]],$A63,Jan_Period_2_Tbl[[#All],[$ EFT COMM]])+
SUMIF(Feb_Period_2_Tbl[[#All],[STAFF:]],$A63,Feb_Period_2_Tbl[[#All],[$ EFT COMM]])+SUMIF(Mar_Period_2_Tbl[[#All],[STAFF:]],$A63,Mar_Period_2_Tbl[[#All],[$ EFT COMM]])+SUMIF(Apr_Period_2_Tbl[[#All],[STAFF:]],$A63,Apr_Period_2_Tbl[[#All],[$ EFT COMM]])+   SUMIF(May_Period_2_Tbl[[#All],[STAFF:]],$A63,May_Period_2_Tbl[[#All],[$ EFT COMM]])+   SUMIF(Jun_Period_2_Tbl[[#All],[STAFF:]],$A63,Jun_Period_2_Tbl[[#All],[$ EFT COMM]])+  SUMIF(Jul_Period_2_Tbl[[#All],[STAFF:]],$A63,Jul_Period_2_Tbl[[#All],[$ EFT COMM]])+  SUMIF(Aug_Period_2_Tbl[[#All],[STAFF:]],$A63,Aug_Period_2_Tbl[[#All],[$ EFT COMM]])+  SUMIF(Sep_Period_2_Tbl[[#All],[STAFF:]],$A63,Sep_Period_2_Tbl[[#All],[$ EFT COMM]])+  SUMIF(Oct_Period_2_Tbl[[#All],[STAFF:]],$A63,Oct_Period_2_Tbl[[#All],[$ EFT COMM]])+     SUMIF(Nov_Period_2_Tbl[[#All],[STAFF:]],$A63,Nov_Period_2_Tbl[[#All],[$ EFT COMM]])+  SUMIF(Dec_Period_2_Tbl[[#All],[STAFF:]],$A63,Dec_Period_2_Tbl[[#All],[$ EFT COMM]]))</f>
        <v>0</v>
      </c>
      <c r="N63" s="190">
        <f>(SUMIF(Jan_Period_1_Tbl[[#All],[STAFF:]],$A63,Jan_Period_1_Tbl[[#All],[$ CLASS PAY]])+
SUMIF(Feb_Period_1_Tbl[[#All],[STAFF:]],$A63,Feb_Period_1_Tbl[[#All],[$ CLASS PAY]])+SUMIF(Mar_Period_1_Tbl[[#All],[STAFF:]],$A63,Mar_Period_1_Tbl[[#All],[$ CLASS PAY]])+SUMIF(Apr_Period_1_Tbl[[#All],[STAFF:]],$A63,Apr_Period_1_Tbl[[#All],[$ CLASS PAY]])+   SUMIF(May_Period_1_Tbl[[#All],[STAFF:]],$A63,May_Period_1_Tbl[[#All],[$ CLASS PAY]])+   SUMIF(Jun_Period_1_Tbl[[#All],[STAFF:]],$A63,Jun_Period_1_Tbl[[#All],[$ CLASS PAY]])+  SUMIF(Jul_Period_1_Tbl[[#All],[STAFF:]],$A63,Jul_Period_1_Tbl[[#All],[$ CLASS PAY]])+  SUMIF(Aug_Period_1_Tbl[[#All],[STAFF:]],$A63,Aug_Period_1_Tbl[[#All],[$ CLASS PAY]])+  SUMIF(Sep_Period_1_Tbl[[#All],[STAFF:]],$A63,Sep_Period_1_Tbl[[#All],[$ CLASS PAY]])+  SUMIF(Oct_Period_1_Tbl[[#All],[STAFF:]],$A63,Oct_Period_1_Tbl[[#All],[$ CLASS PAY]])+     SUMIF(Nov_Period_1_Tbl[[#All],[STAFF:]],$A63,Nov_Period_1_Tbl[[#All],[$ CLASS PAY]])+  SUMIF(Dec_Period_1_Tbl[[#All],[STAFF:]],$A63,Dec_Period_1_Tbl[[#All],[$ CLASS PAY]]))+   (SUMIF(Jan_Period_2_Tbl[[#All],[STAFF:]],$A63,Jan_Period_2_Tbl[[#All],[$ CLASS PAY]])+
SUMIF(Feb_Period_2_Tbl[[#All],[STAFF:]],$A63,Feb_Period_2_Tbl[[#All],[$ CLASS PAY]])+SUMIF(Mar_Period_2_Tbl[[#All],[STAFF:]],$A63,Mar_Period_2_Tbl[[#All],[$ CLASS PAY]])+SUMIF(Apr_Period_2_Tbl[[#All],[STAFF:]],$A63,Apr_Period_2_Tbl[[#All],[$ CLASS PAY]])+   SUMIF(May_Period_2_Tbl[[#All],[STAFF:]],$A63,May_Period_2_Tbl[[#All],[$ CLASS PAY]])+   SUMIF(Jun_Period_2_Tbl[[#All],[STAFF:]],$A63,Jun_Period_2_Tbl[[#All],[$ CLASS PAY]])+  SUMIF(Jul_Period_2_Tbl[[#All],[STAFF:]],$A63,Jul_Period_2_Tbl[[#All],[$ CLASS PAY]])+  SUMIF(Aug_Period_2_Tbl[[#All],[STAFF:]],$A63,Aug_Period_2_Tbl[[#All],[$ CLASS PAY]])+  SUMIF(Sep_Period_2_Tbl[[#All],[STAFF:]],$A63,Sep_Period_2_Tbl[[#All],[$ CLASS PAY]])+  SUMIF(Oct_Period_2_Tbl[[#All],[STAFF:]],$A63,Oct_Period_2_Tbl[[#All],[$ CLASS PAY]])+     SUMIF(Nov_Period_2_Tbl[[#All],[STAFF:]],$A63,Nov_Period_2_Tbl[[#All],[$ CLASS PAY]])+  SUMIF(Dec_Period_2_Tbl[[#All],[STAFF:]],$A63,Dec_Period_2_Tbl[[#All],[$ CLASS PAY]]))</f>
        <v>0</v>
      </c>
      <c r="O63" s="191">
        <f>(SUMIF(Jan_Period_1_Tbl[[#All],[STAFF:]],$A63,Jan_Period_1_Tbl[[#All],[$ BONUS PAY]])+
SUMIF(Feb_Period_1_Tbl[[#All],[STAFF:]],$A63,Feb_Period_1_Tbl[[#All],[$ BONUS PAY]])+SUMIF(Mar_Period_1_Tbl[[#All],[STAFF:]],$A63,Mar_Period_1_Tbl[[#All],[$ BONUS PAY]])+SUMIF(Apr_Period_1_Tbl[[#All],[STAFF:]],$A63,Apr_Period_1_Tbl[[#All],[$ BONUS PAY]])+   SUMIF(May_Period_1_Tbl[[#All],[STAFF:]],$A63,May_Period_1_Tbl[[#All],[$ BONUS PAY]])+   SUMIF(Jun_Period_1_Tbl[[#All],[STAFF:]],$A63,Jun_Period_1_Tbl[[#All],[$ BONUS PAY]])+  SUMIF(Jul_Period_1_Tbl[[#All],[STAFF:]],$A63,Jul_Period_1_Tbl[[#All],[$ BONUS PAY]])+  SUMIF(Aug_Period_1_Tbl[[#All],[STAFF:]],$A63,Aug_Period_1_Tbl[[#All],[$ BONUS PAY]])+  SUMIF(Sep_Period_1_Tbl[[#All],[STAFF:]],$A63,Sep_Period_1_Tbl[[#All],[$ BONUS PAY]])+  SUMIF(Oct_Period_1_Tbl[[#All],[STAFF:]],$A63,Oct_Period_1_Tbl[[#All],[$ BONUS PAY]])+     SUMIF(Nov_Period_1_Tbl[[#All],[STAFF:]],$A63,Nov_Period_1_Tbl[[#All],[$ BONUS PAY]])+  SUMIF(Dec_Period_1_Tbl[[#All],[STAFF:]],$A63,Dec_Period_1_Tbl[[#All],[$ BONUS PAY]]))+   (SUMIF(Jan_Period_2_Tbl[[#All],[STAFF:]],$A63,Jan_Period_2_Tbl[[#All],[$ BONUS PAY]])+
SUMIF(Feb_Period_2_Tbl[[#All],[STAFF:]],$A63,Feb_Period_2_Tbl[[#All],[$ BONUS PAY]])+SUMIF(Mar_Period_2_Tbl[[#All],[STAFF:]],$A63,Mar_Period_2_Tbl[[#All],[$ BONUS PAY]])+SUMIF(Apr_Period_2_Tbl[[#All],[STAFF:]],$A63,Apr_Period_2_Tbl[[#All],[$ BONUS PAY]])+   SUMIF(May_Period_2_Tbl[[#All],[STAFF:]],$A63,May_Period_2_Tbl[[#All],[$ BONUS PAY]])+   SUMIF(Jun_Period_2_Tbl[[#All],[STAFF:]],$A63,Jun_Period_2_Tbl[[#All],[$ BONUS PAY]])+  SUMIF(Jul_Period_2_Tbl[[#All],[STAFF:]],$A63,Jul_Period_2_Tbl[[#All],[$ BONUS PAY]])+  SUMIF(Aug_Period_2_Tbl[[#All],[STAFF:]],$A63,Aug_Period_2_Tbl[[#All],[$ BONUS PAY]])+  SUMIF(Sep_Period_2_Tbl[[#All],[STAFF:]],$A63,Sep_Period_2_Tbl[[#All],[$ BONUS PAY]])+  SUMIF(Oct_Period_2_Tbl[[#All],[STAFF:]],$A63,Oct_Period_2_Tbl[[#All],[$ BONUS PAY]])+     SUMIF(Nov_Period_2_Tbl[[#All],[STAFF:]],$A63,Nov_Period_2_Tbl[[#All],[$ BONUS PAY]])+  SUMIF(Dec_Period_2_Tbl[[#All],[STAFF:]],$A63,Dec_Period_2_Tbl[[#All],[$ BONUS PAY]]))</f>
        <v>0</v>
      </c>
      <c r="P63" s="179">
        <f t="shared" si="9"/>
        <v>0</v>
      </c>
      <c r="Q63" s="149"/>
      <c r="R63" s="153">
        <f>(SUMIF(Jan_Period_1_Tbl[[#All],[STAFF:]],$A63,Jan_Period_1_Tbl[[#All],['# POINTS EARNED]])+
SUMIF(Feb_Period_1_Tbl[[#All],[STAFF:]],$A63,Feb_Period_1_Tbl[[#All],['# POINTS EARNED]])+SUMIF(Mar_Period_1_Tbl[[#All],[STAFF:]],$A63,Mar_Period_1_Tbl[[#All],['# POINTS EARNED]])+SUMIF(Apr_Period_1_Tbl[[#All],[STAFF:]],$A63,Apr_Period_1_Tbl[[#All],['# POINTS EARNED]])+   SUMIF(May_Period_1_Tbl[[#All],[STAFF:]],$A63,May_Period_1_Tbl[[#All],['# POINTS EARNED]])+   SUMIF(Jun_Period_1_Tbl[[#All],[STAFF:]],$A63,Jun_Period_1_Tbl[[#All],['# POINTS EARNED]])+  SUMIF(Jul_Period_1_Tbl[[#All],[STAFF:]],$A63,Jul_Period_1_Tbl[[#All],['# POINTS EARNED]])+  SUMIF(Aug_Period_1_Tbl[[#All],[STAFF:]],$A63,Aug_Period_1_Tbl[[#All],['# POINTS EARNED]])+  SUMIF(Sep_Period_1_Tbl[[#All],[STAFF:]],$A63,Sep_Period_1_Tbl[[#All],['# POINTS EARNED]])+  SUMIF(Oct_Period_1_Tbl[[#All],[STAFF:]],$A63,Oct_Period_1_Tbl[[#All],['# POINTS EARNED]])+     SUMIF(Nov_Period_1_Tbl[[#All],[STAFF:]],$A63,Nov_Period_1_Tbl[[#All],['# POINTS EARNED]])+  SUMIF(Dec_Period_1_Tbl[[#All],[STAFF:]],$A63,Dec_Period_1_Tbl[[#All],['# POINTS EARNED]]))+   (SUMIF(Jan_Period_2_Tbl[[#All],[STAFF:]],$A63,Jan_Period_2_Tbl[[#All],['# POINTS EARNED]])+
SUMIF(Feb_Period_2_Tbl[[#All],[STAFF:]],$A63,Feb_Period_2_Tbl[[#All],['# POINTS EARNED]])+SUMIF(Mar_Period_2_Tbl[[#All],[STAFF:]],$A63,Mar_Period_2_Tbl[[#All],['# POINTS EARNED]])+SUMIF(Apr_Period_2_Tbl[[#All],[STAFF:]],$A63,Apr_Period_2_Tbl[[#All],['# POINTS EARNED]])+   SUMIF(May_Period_2_Tbl[[#All],[STAFF:]],$A63,May_Period_2_Tbl[[#All],['# POINTS EARNED]])+   SUMIF(Jun_Period_2_Tbl[[#All],[STAFF:]],$A63,Jun_Period_2_Tbl[[#All],['# POINTS EARNED]])+  SUMIF(Jul_Period_2_Tbl[[#All],[STAFF:]],$A63,Jul_Period_2_Tbl[[#All],['# POINTS EARNED]])+  SUMIF(Aug_Period_2_Tbl[[#All],[STAFF:]],$A63,Aug_Period_2_Tbl[[#All],['# POINTS EARNED]])+  SUMIF(Sep_Period_2_Tbl[[#All],[STAFF:]],$A63,Sep_Period_2_Tbl[[#All],['# POINTS EARNED]])+  SUMIF(Oct_Period_2_Tbl[[#All],[STAFF:]],$A63,Oct_Period_2_Tbl[[#All],['# POINTS EARNED]])+     SUMIF(Nov_Period_2_Tbl[[#All],[STAFF:]],$A63,Nov_Period_2_Tbl[[#All],['# POINTS EARNED]])+  SUMIF(Dec_Period_2_Tbl[[#All],[STAFF:]],$A63,Dec_Period_2_Tbl[[#All],['# POINTS EARNED]]))</f>
        <v>0</v>
      </c>
      <c r="S63" s="153">
        <f>(SUMIF(Jan_Period_1_Tbl[[#All],[STAFF:]],$A63,Jan_Period_1_Tbl[[#All],['# POINTS USED]])+
SUMIF(Feb_Period_1_Tbl[[#All],[STAFF:]],$A63,Feb_Period_1_Tbl[[#All],['# POINTS USED]])+SUMIF(Mar_Period_1_Tbl[[#All],[STAFF:]],$A63,Mar_Period_1_Tbl[[#All],['# POINTS USED]])+SUMIF(Apr_Period_1_Tbl[[#All],[STAFF:]],$A63,Apr_Period_1_Tbl[[#All],['# POINTS USED]])+   SUMIF(May_Period_1_Tbl[[#All],[STAFF:]],$A63,May_Period_1_Tbl[[#All],['# POINTS USED]])+   SUMIF(Jun_Period_1_Tbl[[#All],[STAFF:]],$A63,Jun_Period_1_Tbl[[#All],['# POINTS USED]])+  SUMIF(Jul_Period_1_Tbl[[#All],[STAFF:]],$A63,Jul_Period_1_Tbl[[#All],['# POINTS USED]])+  SUMIF(Aug_Period_1_Tbl[[#All],[STAFF:]],$A63,Aug_Period_1_Tbl[[#All],['# POINTS USED]])+  SUMIF(Sep_Period_1_Tbl[[#All],[STAFF:]],$A63,Sep_Period_1_Tbl[[#All],['# POINTS USED]])+  SUMIF(Oct_Period_1_Tbl[[#All],[STAFF:]],$A63,Oct_Period_1_Tbl[[#All],['# POINTS USED]])+     SUMIF(Nov_Period_1_Tbl[[#All],[STAFF:]],$A63,Nov_Period_1_Tbl[[#All],['# POINTS USED]])+  SUMIF(Dec_Period_1_Tbl[[#All],[STAFF:]],$A63,Dec_Period_1_Tbl[[#All],['# POINTS USED]]))+   (SUMIF(Jan_Period_2_Tbl[[#All],[STAFF:]],$A63,Jan_Period_2_Tbl[[#All],['# POINTS USED]])+
SUMIF(Feb_Period_2_Tbl[[#All],[STAFF:]],$A63,Feb_Period_2_Tbl[[#All],['# POINTS USED]])+SUMIF(Mar_Period_2_Tbl[[#All],[STAFF:]],$A63,Mar_Period_2_Tbl[[#All],['# POINTS USED]])+SUMIF(Apr_Period_2_Tbl[[#All],[STAFF:]],$A63,Apr_Period_2_Tbl[[#All],['# POINTS USED]])+   SUMIF(May_Period_2_Tbl[[#All],[STAFF:]],$A63,May_Period_2_Tbl[[#All],['# POINTS USED]])+   SUMIF(Jun_Period_2_Tbl[[#All],[STAFF:]],$A63,Jun_Period_2_Tbl[[#All],['# POINTS USED]])+  SUMIF(Jul_Period_2_Tbl[[#All],[STAFF:]],$A63,Jul_Period_2_Tbl[[#All],['# POINTS USED]])+  SUMIF(Aug_Period_2_Tbl[[#All],[STAFF:]],$A63,Aug_Period_2_Tbl[[#All],['# POINTS USED]])+  SUMIF(Sep_Period_2_Tbl[[#All],[STAFF:]],$A63,Sep_Period_2_Tbl[[#All],['# POINTS USED]])+  SUMIF(Oct_Period_2_Tbl[[#All],[STAFF:]],$A63,Oct_Period_2_Tbl[[#All],['# POINTS USED]])+     SUMIF(Nov_Period_2_Tbl[[#All],[STAFF:]],$A63,Nov_Period_2_Tbl[[#All],['# POINTS USED]])+  SUMIF(Dec_Period_2_Tbl[[#All],[STAFF:]],$A63,Dec_Period_2_Tbl[[#All],['# POINTS USED]]))</f>
        <v>0</v>
      </c>
      <c r="T63" s="153">
        <f>(SUMIF(Jan_Period_1_Tbl[[#All],[STAFF:]],$A63,Jan_Period_1_Tbl[[#All],['# CLASSES LEAD]])+
SUMIF(Feb_Period_1_Tbl[[#All],[STAFF:]],$A63,Feb_Period_1_Tbl[[#All],['# CLASSES LEAD]])+SUMIF(Mar_Period_1_Tbl[[#All],[STAFF:]],$A63,Mar_Period_1_Tbl[[#All],['# CLASSES LEAD]])+SUMIF(Apr_Period_1_Tbl[[#All],[STAFF:]],$A63,Apr_Period_1_Tbl[[#All],['# CLASSES LEAD]])+   SUMIF(May_Period_1_Tbl[[#All],[STAFF:]],$A63,May_Period_1_Tbl[[#All],['# CLASSES LEAD]])+   SUMIF(Jun_Period_1_Tbl[[#All],[STAFF:]],$A63,Jun_Period_1_Tbl[[#All],['# CLASSES LEAD]])+  SUMIF(Jul_Period_1_Tbl[[#All],[STAFF:]],$A63,Jul_Period_1_Tbl[[#All],['# CLASSES LEAD]])+  SUMIF(Aug_Period_1_Tbl[[#All],[STAFF:]],$A63,Aug_Period_1_Tbl[[#All],['# CLASSES LEAD]])+  SUMIF(Sep_Period_1_Tbl[[#All],[STAFF:]],$A63,Sep_Period_1_Tbl[[#All],['# CLASSES LEAD]])+  SUMIF(Oct_Period_1_Tbl[[#All],[STAFF:]],$A63,Oct_Period_1_Tbl[[#All],['# CLASSES LEAD]])+     SUMIF(Nov_Period_1_Tbl[[#All],[STAFF:]],$A63,Nov_Period_1_Tbl[[#All],['# CLASSES LEAD]])+  SUMIF(Dec_Period_1_Tbl[[#All],[STAFF:]],$A63,Dec_Period_1_Tbl[[#All],['# CLASSES LEAD]]))+   (SUMIF(Jan_Period_2_Tbl[[#All],[STAFF:]],$A63,Jan_Period_2_Tbl[[#All],['# CLASSES LEAD]])+
SUMIF(Feb_Period_2_Tbl[[#All],[STAFF:]],$A63,Feb_Period_2_Tbl[[#All],['# CLASSES LEAD]])+SUMIF(Mar_Period_2_Tbl[[#All],[STAFF:]],$A63,Mar_Period_2_Tbl[[#All],['# CLASSES LEAD]])+SUMIF(Apr_Period_2_Tbl[[#All],[STAFF:]],$A63,Apr_Period_2_Tbl[[#All],['# CLASSES LEAD]])+   SUMIF(May_Period_2_Tbl[[#All],[STAFF:]],$A63,May_Period_2_Tbl[[#All],['# CLASSES LEAD]])+   SUMIF(Jun_Period_2_Tbl[[#All],[STAFF:]],$A63,Jun_Period_2_Tbl[[#All],['# CLASSES LEAD]])+  SUMIF(Jul_Period_2_Tbl[[#All],[STAFF:]],$A63,Jul_Period_2_Tbl[[#All],['# CLASSES LEAD]])+  SUMIF(Aug_Period_2_Tbl[[#All],[STAFF:]],$A63,Aug_Period_2_Tbl[[#All],['# CLASSES LEAD]])+  SUMIF(Sep_Period_2_Tbl[[#All],[STAFF:]],$A63,Sep_Period_2_Tbl[[#All],['# CLASSES LEAD]])+  SUMIF(Oct_Period_2_Tbl[[#All],[STAFF:]],$A63,Oct_Period_2_Tbl[[#All],['# CLASSES LEAD]])+     SUMIF(Nov_Period_2_Tbl[[#All],[STAFF:]],$A63,Nov_Period_2_Tbl[[#All],['# CLASSES LEAD]])+  SUMIF(Dec_Period_2_Tbl[[#All],[STAFF:]],$A63,Dec_Period_2_Tbl[[#All],['# CLASSES LEAD]]))</f>
        <v>0</v>
      </c>
      <c r="U63" s="153">
        <f>(SUMIF(Jan_Period_1_Tbl[[#All],[STAFF:]],$A63,Jan_Period_1_Tbl[[#All],['# CLASSES SHOW]])+
SUMIF(Feb_Period_1_Tbl[[#All],[STAFF:]],$A63,Feb_Period_1_Tbl[[#All],['# CLASSES SHOW]])+SUMIF(Mar_Period_1_Tbl[[#All],[STAFF:]],$A63,Mar_Period_1_Tbl[[#All],['# CLASSES SHOW]])+SUMIF(Apr_Period_1_Tbl[[#All],[STAFF:]],$A63,Apr_Period_1_Tbl[[#All],['# CLASSES SHOW]])+   SUMIF(May_Period_1_Tbl[[#All],[STAFF:]],$A63,May_Period_1_Tbl[[#All],['# CLASSES SHOW]])+   SUMIF(Jun_Period_1_Tbl[[#All],[STAFF:]],$A63,Jun_Period_1_Tbl[[#All],['# CLASSES SHOW]])+  SUMIF(Jul_Period_1_Tbl[[#All],[STAFF:]],$A63,Jul_Period_1_Tbl[[#All],['# CLASSES SHOW]])+  SUMIF(Aug_Period_1_Tbl[[#All],[STAFF:]],$A63,Aug_Period_1_Tbl[[#All],['# CLASSES SHOW]])+  SUMIF(Sep_Period_1_Tbl[[#All],[STAFF:]],$A63,Sep_Period_1_Tbl[[#All],['# CLASSES SHOW]])+  SUMIF(Oct_Period_1_Tbl[[#All],[STAFF:]],$A63,Oct_Period_1_Tbl[[#All],['# CLASSES SHOW]])+     SUMIF(Nov_Period_1_Tbl[[#All],[STAFF:]],$A63,Nov_Period_1_Tbl[[#All],['# CLASSES SHOW]])+  SUMIF(Dec_Period_1_Tbl[[#All],[STAFF:]],$A63,Dec_Period_1_Tbl[[#All],['# CLASSES SHOW]]))+   (SUMIF(Jan_Period_2_Tbl[[#All],[STAFF:]],$A63,Jan_Period_2_Tbl[[#All],['# CLASSES SHOW]])+
SUMIF(Feb_Period_2_Tbl[[#All],[STAFF:]],$A63,Feb_Period_2_Tbl[[#All],['# CLASSES SHOW]])+SUMIF(Mar_Period_2_Tbl[[#All],[STAFF:]],$A63,Mar_Period_2_Tbl[[#All],['# CLASSES SHOW]])+SUMIF(Apr_Period_2_Tbl[[#All],[STAFF:]],$A63,Apr_Period_2_Tbl[[#All],['# CLASSES SHOW]])+   SUMIF(May_Period_2_Tbl[[#All],[STAFF:]],$A63,May_Period_2_Tbl[[#All],['# CLASSES SHOW]])+   SUMIF(Jun_Period_2_Tbl[[#All],[STAFF:]],$A63,Jun_Period_2_Tbl[[#All],['# CLASSES SHOW]])+  SUMIF(Jul_Period_2_Tbl[[#All],[STAFF:]],$A63,Jul_Period_2_Tbl[[#All],['# CLASSES SHOW]])+  SUMIF(Aug_Period_2_Tbl[[#All],[STAFF:]],$A63,Aug_Period_2_Tbl[[#All],['# CLASSES SHOW]])+  SUMIF(Sep_Period_2_Tbl[[#All],[STAFF:]],$A63,Sep_Period_2_Tbl[[#All],['# CLASSES SHOW]])+  SUMIF(Oct_Period_2_Tbl[[#All],[STAFF:]],$A63,Oct_Period_2_Tbl[[#All],['# CLASSES SHOW]])+     SUMIF(Nov_Period_2_Tbl[[#All],[STAFF:]],$A63,Nov_Period_2_Tbl[[#All],['# CLASSES SHOW]])+  SUMIF(Dec_Period_2_Tbl[[#All],[STAFF:]],$A63,Dec_Period_2_Tbl[[#All],['# CLASSES SHOW]]))</f>
        <v>0</v>
      </c>
      <c r="V63" s="156"/>
      <c r="W63" s="156"/>
      <c r="X63" s="155">
        <f t="shared" si="10"/>
        <v>0</v>
      </c>
      <c r="Y63" s="155">
        <f t="shared" si="11"/>
        <v>0</v>
      </c>
      <c r="Z63" s="155">
        <f t="shared" si="12"/>
        <v>0</v>
      </c>
      <c r="AA63" s="155">
        <f t="shared" si="13"/>
        <v>0</v>
      </c>
      <c r="AB63" s="155">
        <f t="shared" si="14"/>
        <v>0</v>
      </c>
      <c r="AC63" s="155">
        <f t="shared" si="15"/>
        <v>0</v>
      </c>
      <c r="AD63" s="155">
        <f t="shared" si="16"/>
        <v>0</v>
      </c>
      <c r="AE63" s="149"/>
      <c r="AF63" s="149"/>
      <c r="AG63" s="149"/>
      <c r="AH63" s="149"/>
      <c r="AJ63" s="75" t="str">
        <f t="shared" si="17"/>
        <v>zBlank</v>
      </c>
      <c r="AK63" s="210"/>
      <c r="AL63" s="168">
        <f>IFERROR(VLOOKUP(B63,List!$A:$B,2,FALSE),-1)</f>
        <v>-1</v>
      </c>
      <c r="AM63" s="168">
        <f>IFERROR(VLOOKUP(C63,List!$A:$B,2,FALSE),-1)</f>
        <v>-1</v>
      </c>
    </row>
    <row r="64" spans="1:39" ht="15" hidden="1" customHeight="1" x14ac:dyDescent="0.25">
      <c r="A64" s="20"/>
      <c r="B64" s="186"/>
      <c r="C64" s="186"/>
      <c r="D64" s="187"/>
      <c r="E64" s="188">
        <f>(SUMIF(Jan_Period_1_Tbl[[#All],[STAFF:]],$A64,Jan_Period_1_Tbl[[#All],['# PTO USED]])+
SUMIF(Feb_Period_1_Tbl[[#All],[STAFF:]],$A64,Feb_Period_1_Tbl[[#All],['# PTO USED]])+SUMIF(Mar_Period_1_Tbl[[#All],[STAFF:]],$A64,Mar_Period_1_Tbl[[#All],['# PTO USED]])+SUMIF(Apr_Period_1_Tbl[[#All],[STAFF:]],$A64,Apr_Period_1_Tbl[[#All],['# PTO USED]])+   SUMIF(May_Period_1_Tbl[[#All],[STAFF:]],$A64,May_Period_1_Tbl[[#All],['# PTO USED]])+   SUMIF(Jun_Period_1_Tbl[[#All],[STAFF:]],$A64,Jun_Period_1_Tbl[[#All],['# PTO USED]])+  SUMIF(Jul_Period_1_Tbl[[#All],[STAFF:]],$A64,Jul_Period_1_Tbl[[#All],['# PTO USED]])+  SUMIF(Aug_Period_1_Tbl[[#All],[STAFF:]],$A64,Aug_Period_1_Tbl[[#All],['# PTO USED]])+  SUMIF(Sep_Period_1_Tbl[[#All],[STAFF:]],$A64,Sep_Period_1_Tbl[[#All],['# PTO USED]])+  SUMIF(Oct_Period_1_Tbl[[#All],[STAFF:]],$A64,Oct_Period_1_Tbl[[#All],['# PTO USED]])+     SUMIF(Nov_Period_1_Tbl[[#All],[STAFF:]],$A64,Nov_Period_1_Tbl[[#All],['# PTO USED]])+  SUMIF(Dec_Period_1_Tbl[[#All],[STAFF:]],$A64,Dec_Period_1_Tbl[[#All],['# PTO USED]]))+   (SUMIF(Jan_Period_2_Tbl[[#All],[STAFF:]],$A64,Jan_Period_2_Tbl[[#All],['# PTO USED]])+
SUMIF(Feb_Period_2_Tbl[[#All],[STAFF:]],$A64,Feb_Period_2_Tbl[[#All],['# PTO USED]])+SUMIF(Mar_Period_2_Tbl[[#All],[STAFF:]],$A64,Mar_Period_2_Tbl[[#All],['# PTO USED]])+SUMIF(Apr_Period_2_Tbl[[#All],[STAFF:]],$A64,Apr_Period_2_Tbl[[#All],['# PTO USED]])+   SUMIF(May_Period_2_Tbl[[#All],[STAFF:]],$A64,May_Period_2_Tbl[[#All],['# PTO USED]])+   SUMIF(Jun_Period_2_Tbl[[#All],[STAFF:]],$A64,Jun_Period_2_Tbl[[#All],['# PTO USED]])+  SUMIF(Jul_Period_2_Tbl[[#All],[STAFF:]],$A64,Jul_Period_2_Tbl[[#All],['# PTO USED]])+  SUMIF(Aug_Period_2_Tbl[[#All],[STAFF:]],$A64,Aug_Period_2_Tbl[[#All],['# PTO USED]])+  SUMIF(Sep_Period_2_Tbl[[#All],[STAFF:]],$A64,Sep_Period_2_Tbl[[#All],['# PTO USED]])+  SUMIF(Oct_Period_2_Tbl[[#All],[STAFF:]],$A64,Oct_Period_2_Tbl[[#All],['# PTO USED]])+     SUMIF(Nov_Period_2_Tbl[[#All],[STAFF:]],$A64,Nov_Period_2_Tbl[[#All],['# PTO USED]])+  SUMIF(Dec_Period_2_Tbl[[#All],[STAFF:]],$A64,Dec_Period_2_Tbl[[#All],['# PTO USED]]))</f>
        <v>0</v>
      </c>
      <c r="F64" s="189">
        <f>(SUMIF(Jan_Period_1_Tbl[[#All],[STAFF:]],$A64,Jan_Period_1_Tbl[[#All],['# HRS WORKED]])+
SUMIF(Feb_Period_1_Tbl[[#All],[STAFF:]],$A64,Feb_Period_1_Tbl[[#All],['# HRS WORKED]])+SUMIF(Mar_Period_1_Tbl[[#All],[STAFF:]],$A64,Mar_Period_1_Tbl[[#All],['# HRS WORKED]])+SUMIF(Apr_Period_1_Tbl[[#All],[STAFF:]],$A64,Apr_Period_1_Tbl[[#All],['# HRS WORKED]])+   SUMIF(May_Period_1_Tbl[[#All],[STAFF:]],$A64,May_Period_1_Tbl[[#All],['# HRS WORKED]])+   SUMIF(Jun_Period_1_Tbl[[#All],[STAFF:]],$A64,Jun_Period_1_Tbl[[#All],['# HRS WORKED]])+  SUMIF(Jul_Period_1_Tbl[[#All],[STAFF:]],$A64,Jul_Period_1_Tbl[[#All],['# HRS WORKED]])+  SUMIF(Aug_Period_1_Tbl[[#All],[STAFF:]],$A64,Aug_Period_1_Tbl[[#All],['# HRS WORKED]])+  SUMIF(Sep_Period_1_Tbl[[#All],[STAFF:]],$A64,Sep_Period_1_Tbl[[#All],['# HRS WORKED]])+  SUMIF(Oct_Period_1_Tbl[[#All],[STAFF:]],$A64,Oct_Period_1_Tbl[[#All],['# HRS WORKED]])+     SUMIF(Nov_Period_1_Tbl[[#All],[STAFF:]],$A64,Nov_Period_1_Tbl[[#All],['# HRS WORKED]])+  SUMIF(Dec_Period_1_Tbl[[#All],[STAFF:]],$A64,Dec_Period_1_Tbl[[#All],['# HRS WORKED]]))+   (SUMIF(Jan_Period_2_Tbl[[#All],[STAFF:]],$A64,Jan_Period_2_Tbl[[#All],['# HRS WORKED]])+
SUMIF(Feb_Period_2_Tbl[[#All],[STAFF:]],$A64,Feb_Period_2_Tbl[[#All],['# HRS WORKED]])+SUMIF(Mar_Period_2_Tbl[[#All],[STAFF:]],$A64,Mar_Period_2_Tbl[[#All],['# HRS WORKED]])+SUMIF(Apr_Period_2_Tbl[[#All],[STAFF:]],$A64,Apr_Period_2_Tbl[[#All],['# HRS WORKED]])+   SUMIF(May_Period_2_Tbl[[#All],[STAFF:]],$A64,May_Period_2_Tbl[[#All],['# HRS WORKED]])+   SUMIF(Jun_Period_2_Tbl[[#All],[STAFF:]],$A64,Jun_Period_2_Tbl[[#All],['# HRS WORKED]])+  SUMIF(Jul_Period_2_Tbl[[#All],[STAFF:]],$A64,Jul_Period_2_Tbl[[#All],['# HRS WORKED]])+  SUMIF(Aug_Period_2_Tbl[[#All],[STAFF:]],$A64,Aug_Period_2_Tbl[[#All],['# HRS WORKED]])+  SUMIF(Sep_Period_2_Tbl[[#All],[STAFF:]],$A64,Sep_Period_2_Tbl[[#All],['# HRS WORKED]])+  SUMIF(Oct_Period_2_Tbl[[#All],[STAFF:]],$A64,Oct_Period_2_Tbl[[#All],['# HRS WORKED]])+     SUMIF(Nov_Period_2_Tbl[[#All],[STAFF:]],$A64,Nov_Period_2_Tbl[[#All],['# HRS WORKED]])+  SUMIF(Dec_Period_2_Tbl[[#All],[STAFF:]],$A64,Dec_Period_2_Tbl[[#All],['# HRS WORKED]]))</f>
        <v>0</v>
      </c>
      <c r="G64" s="190">
        <f>(SUMIF(Jan_Period_1_Tbl[[#All],[STAFF:]],$A64,Jan_Period_1_Tbl[[#All],[$ Hourly WAGES]])+
SUMIF(Feb_Period_1_Tbl[[#All],[STAFF:]],$A64,Feb_Period_1_Tbl[[#All],[$ Hourly WAGES]])+SUMIF(Mar_Period_1_Tbl[[#All],[STAFF:]],$A64,Mar_Period_1_Tbl[[#All],[$ Hourly WAGES]])+SUMIF(Apr_Period_1_Tbl[[#All],[STAFF:]],$A64,Apr_Period_1_Tbl[[#All],[$ Hourly WAGES]])+   SUMIF(May_Period_1_Tbl[[#All],[STAFF:]],$A64,May_Period_1_Tbl[[#All],[$ Hourly WAGES]])+   SUMIF(Jun_Period_1_Tbl[[#All],[STAFF:]],$A64,Jun_Period_1_Tbl[[#All],[$ Hourly WAGES]])+  SUMIF(Jul_Period_1_Tbl[[#All],[STAFF:]],$A64,Jul_Period_1_Tbl[[#All],[$ Hourly WAGES]])+  SUMIF(Aug_Period_1_Tbl[[#All],[STAFF:]],$A64,Aug_Period_1_Tbl[[#All],[$ Hourly WAGES]])+  SUMIF(Sep_Period_1_Tbl[[#All],[STAFF:]],$A64,Sep_Period_1_Tbl[[#All],[$ Hourly WAGES]])+  SUMIF(Oct_Period_1_Tbl[[#All],[STAFF:]],$A64,Oct_Period_1_Tbl[[#All],[$ Hourly WAGES]])+     SUMIF(Nov_Period_1_Tbl[[#All],[STAFF:]],$A64,Nov_Period_1_Tbl[[#All],[$ Hourly WAGES]])+  SUMIF(Dec_Period_1_Tbl[[#All],[STAFF:]],$A64,Dec_Period_1_Tbl[[#All],[$ Hourly WAGES]]))+   (SUMIF(Jan_Period_2_Tbl[[#All],[STAFF:]],$A64,Jan_Period_2_Tbl[[#All],[$ Hourly WAGES]])+
SUMIF(Feb_Period_2_Tbl[[#All],[STAFF:]],$A64,Feb_Period_2_Tbl[[#All],[$ Hourly WAGES]])+SUMIF(Mar_Period_2_Tbl[[#All],[STAFF:]],$A64,Mar_Period_2_Tbl[[#All],[$ Hourly WAGES]])+SUMIF(Apr_Period_2_Tbl[[#All],[STAFF:]],$A64,Apr_Period_2_Tbl[[#All],[$ Hourly WAGES]])+   SUMIF(May_Period_2_Tbl[[#All],[STAFF:]],$A64,May_Period_2_Tbl[[#All],[$ Hourly WAGES]])+   SUMIF(Jun_Period_2_Tbl[[#All],[STAFF:]],$A64,Jun_Period_2_Tbl[[#All],[$ Hourly WAGES]])+  SUMIF(Jul_Period_2_Tbl[[#All],[STAFF:]],$A64,Jul_Period_2_Tbl[[#All],[$ Hourly WAGES]])+  SUMIF(Aug_Period_2_Tbl[[#All],[STAFF:]],$A64,Aug_Period_2_Tbl[[#All],[$ Hourly WAGES]])+  SUMIF(Sep_Period_2_Tbl[[#All],[STAFF:]],$A64,Sep_Period_2_Tbl[[#All],[$ Hourly WAGES]])+  SUMIF(Oct_Period_2_Tbl[[#All],[STAFF:]],$A64,Oct_Period_2_Tbl[[#All],[$ Hourly WAGES]])+     SUMIF(Nov_Period_2_Tbl[[#All],[STAFF:]],$A64,Nov_Period_2_Tbl[[#All],[$ Hourly WAGES]])+  SUMIF(Dec_Period_2_Tbl[[#All],[STAFF:]],$A64,Dec_Period_2_Tbl[[#All],[$ Hourly WAGES]]))</f>
        <v>0</v>
      </c>
      <c r="H64" s="190">
        <f>(SUMIF(Jan_Period_1_Tbl[[#All],[STAFF:]],$A64,Jan_Period_1_Tbl[[#All],[$ SALARY]])+
SUMIF(Feb_Period_1_Tbl[[#All],[STAFF:]],$A64,Feb_Period_1_Tbl[[#All],[$ SALARY]])+SUMIF(Mar_Period_1_Tbl[[#All],[STAFF:]],$A64,Mar_Period_1_Tbl[[#All],[$ SALARY]])+SUMIF(Apr_Period_1_Tbl[[#All],[STAFF:]],$A64,Apr_Period_1_Tbl[[#All],[$ SALARY]])+   SUMIF(May_Period_1_Tbl[[#All],[STAFF:]],$A64,May_Period_1_Tbl[[#All],[$ SALARY]])+   SUMIF(Jun_Period_1_Tbl[[#All],[STAFF:]],$A64,Jun_Period_1_Tbl[[#All],[$ SALARY]])+  SUMIF(Jul_Period_1_Tbl[[#All],[STAFF:]],$A64,Jul_Period_1_Tbl[[#All],[$ SALARY]])+  SUMIF(Aug_Period_1_Tbl[[#All],[STAFF:]],$A64,Aug_Period_1_Tbl[[#All],[$ SALARY]])+  SUMIF(Sep_Period_1_Tbl[[#All],[STAFF:]],$A64,Sep_Period_1_Tbl[[#All],[$ SALARY]])+  SUMIF(Oct_Period_1_Tbl[[#All],[STAFF:]],$A64,Oct_Period_1_Tbl[[#All],[$ SALARY]])+     SUMIF(Nov_Period_1_Tbl[[#All],[STAFF:]],$A64,Nov_Period_1_Tbl[[#All],[$ SALARY]])+  SUMIF(Dec_Period_1_Tbl[[#All],[STAFF:]],$A64,Dec_Period_1_Tbl[[#All],[$ SALARY]]))+   (SUMIF(Jan_Period_2_Tbl[[#All],[STAFF:]],$A64,Jan_Period_2_Tbl[[#All],[$ SALARY]])+
SUMIF(Feb_Period_2_Tbl[[#All],[STAFF:]],$A64,Feb_Period_2_Tbl[[#All],[$ SALARY]])+SUMIF(Mar_Period_2_Tbl[[#All],[STAFF:]],$A64,Mar_Period_2_Tbl[[#All],[$ SALARY]])+SUMIF(Apr_Period_2_Tbl[[#All],[STAFF:]],$A64,Apr_Period_2_Tbl[[#All],[$ SALARY]])+   SUMIF(May_Period_2_Tbl[[#All],[STAFF:]],$A64,May_Period_2_Tbl[[#All],[$ SALARY]])+   SUMIF(Jun_Period_2_Tbl[[#All],[STAFF:]],$A64,Jun_Period_2_Tbl[[#All],[$ SALARY]])+  SUMIF(Jul_Period_2_Tbl[[#All],[STAFF:]],$A64,Jul_Period_2_Tbl[[#All],[$ SALARY]])+  SUMIF(Aug_Period_2_Tbl[[#All],[STAFF:]],$A64,Aug_Period_2_Tbl[[#All],[$ SALARY]])+  SUMIF(Sep_Period_2_Tbl[[#All],[STAFF:]],$A64,Sep_Period_2_Tbl[[#All],[$ SALARY]])+  SUMIF(Oct_Period_2_Tbl[[#All],[STAFF:]],$A64,Oct_Period_2_Tbl[[#All],[$ SALARY]])+     SUMIF(Nov_Period_2_Tbl[[#All],[STAFF:]],$A64,Nov_Period_2_Tbl[[#All],[$ SALARY]])+  SUMIF(Dec_Period_2_Tbl[[#All],[STAFF:]],$A64,Dec_Period_2_Tbl[[#All],[$ SALARY]]))</f>
        <v>0</v>
      </c>
      <c r="I64" s="190">
        <f>(SUMIF(Jan_Period_1_Tbl[[#All],[STAFF:]],$A64,Jan_Period_1_Tbl[[#All],[$ SALARY PT]])+
SUMIF(Feb_Period_1_Tbl[[#All],[STAFF:]],$A64,Feb_Period_1_Tbl[[#All],[$ SALARY PT]])+SUMIF(Mar_Period_1_Tbl[[#All],[STAFF:]],$A64,Mar_Period_1_Tbl[[#All],[$ SALARY PT]])+SUMIF(Apr_Period_1_Tbl[[#All],[STAFF:]],$A64,Apr_Period_1_Tbl[[#All],[$ SALARY PT]])+   SUMIF(May_Period_1_Tbl[[#All],[STAFF:]],$A64,May_Period_1_Tbl[[#All],[$ SALARY PT]])+   SUMIF(Jun_Period_1_Tbl[[#All],[STAFF:]],$A64,Jun_Period_1_Tbl[[#All],[$ SALARY PT]])+  SUMIF(Jul_Period_1_Tbl[[#All],[STAFF:]],$A64,Jul_Period_1_Tbl[[#All],[$ SALARY PT]])+  SUMIF(Aug_Period_1_Tbl[[#All],[STAFF:]],$A64,Aug_Period_1_Tbl[[#All],[$ SALARY PT]])+  SUMIF(Sep_Period_1_Tbl[[#All],[STAFF:]],$A64,Sep_Period_1_Tbl[[#All],[$ SALARY PT]])+  SUMIF(Oct_Period_1_Tbl[[#All],[STAFF:]],$A64,Oct_Period_1_Tbl[[#All],[$ SALARY PT]])+     SUMIF(Nov_Period_1_Tbl[[#All],[STAFF:]],$A64,Nov_Period_1_Tbl[[#All],[$ SALARY PT]])+  SUMIF(Dec_Period_1_Tbl[[#All],[STAFF:]],$A64,Dec_Period_1_Tbl[[#All],[$ SALARY PT]]))+   (SUMIF(Jan_Period_2_Tbl[[#All],[STAFF:]],$A64,Jan_Period_2_Tbl[[#All],[$ SALARY PT]])+
SUMIF(Feb_Period_2_Tbl[[#All],[STAFF:]],$A64,Feb_Period_2_Tbl[[#All],[$ SALARY PT]])+SUMIF(Mar_Period_2_Tbl[[#All],[STAFF:]],$A64,Mar_Period_2_Tbl[[#All],[$ SALARY PT]])+SUMIF(Apr_Period_2_Tbl[[#All],[STAFF:]],$A64,Apr_Period_2_Tbl[[#All],[$ SALARY PT]])+   SUMIF(May_Period_2_Tbl[[#All],[STAFF:]],$A64,May_Period_2_Tbl[[#All],[$ SALARY PT]])+   SUMIF(Jun_Period_2_Tbl[[#All],[STAFF:]],$A64,Jun_Period_2_Tbl[[#All],[$ SALARY PT]])+  SUMIF(Jul_Period_2_Tbl[[#All],[STAFF:]],$A64,Jul_Period_2_Tbl[[#All],[$ SALARY PT]])+  SUMIF(Aug_Period_2_Tbl[[#All],[STAFF:]],$A64,Aug_Period_2_Tbl[[#All],[$ SALARY PT]])+  SUMIF(Sep_Period_2_Tbl[[#All],[STAFF:]],$A64,Sep_Period_2_Tbl[[#All],[$ SALARY PT]])+  SUMIF(Oct_Period_2_Tbl[[#All],[STAFF:]],$A64,Oct_Period_2_Tbl[[#All],[$ SALARY PT]])+     SUMIF(Nov_Period_2_Tbl[[#All],[STAFF:]],$A64,Nov_Period_2_Tbl[[#All],[$ SALARY PT]])+  SUMIF(Dec_Period_2_Tbl[[#All],[STAFF:]],$A64,Dec_Period_2_Tbl[[#All],[$ SALARY PT]]))</f>
        <v>0</v>
      </c>
      <c r="J64" s="190">
        <f>(SUMIF(Jan_Period_1_Tbl[[#All],[STAFF:]],$A64,Jan_Period_1_Tbl[[#All],[$ FREE PT]])+
SUMIF(Feb_Period_1_Tbl[[#All],[STAFF:]],$A64,Feb_Period_1_Tbl[[#All],[$ FREE PT]])+SUMIF(Mar_Period_1_Tbl[[#All],[STAFF:]],$A64,Mar_Period_1_Tbl[[#All],[$ FREE PT]])+SUMIF(Apr_Period_1_Tbl[[#All],[STAFF:]],$A64,Apr_Period_1_Tbl[[#All],[$ FREE PT]])+   SUMIF(May_Period_1_Tbl[[#All],[STAFF:]],$A64,May_Period_1_Tbl[[#All],[$ FREE PT]])+   SUMIF(Jun_Period_1_Tbl[[#All],[STAFF:]],$A64,Jun_Period_1_Tbl[[#All],[$ FREE PT]])+  SUMIF(Jul_Period_1_Tbl[[#All],[STAFF:]],$A64,Jul_Period_1_Tbl[[#All],[$ FREE PT]])+  SUMIF(Aug_Period_1_Tbl[[#All],[STAFF:]],$A64,Aug_Period_1_Tbl[[#All],[$ FREE PT]])+  SUMIF(Sep_Period_1_Tbl[[#All],[STAFF:]],$A64,Sep_Period_1_Tbl[[#All],[$ FREE PT]])+  SUMIF(Oct_Period_1_Tbl[[#All],[STAFF:]],$A64,Oct_Period_1_Tbl[[#All],[$ FREE PT]])+     SUMIF(Nov_Period_1_Tbl[[#All],[STAFF:]],$A64,Nov_Period_1_Tbl[[#All],[$ FREE PT]])+  SUMIF(Dec_Period_1_Tbl[[#All],[STAFF:]],$A64,Dec_Period_1_Tbl[[#All],[$ FREE PT]]))+   (SUMIF(Jan_Period_2_Tbl[[#All],[STAFF:]],$A64,Jan_Period_2_Tbl[[#All],[$ FREE PT]])+
SUMIF(Feb_Period_2_Tbl[[#All],[STAFF:]],$A64,Feb_Period_2_Tbl[[#All],[$ FREE PT]])+SUMIF(Mar_Period_2_Tbl[[#All],[STAFF:]],$A64,Mar_Period_2_Tbl[[#All],[$ FREE PT]])+SUMIF(Apr_Period_2_Tbl[[#All],[STAFF:]],$A64,Apr_Period_2_Tbl[[#All],[$ FREE PT]])+   SUMIF(May_Period_2_Tbl[[#All],[STAFF:]],$A64,May_Period_2_Tbl[[#All],[$ FREE PT]])+   SUMIF(Jun_Period_2_Tbl[[#All],[STAFF:]],$A64,Jun_Period_2_Tbl[[#All],[$ FREE PT]])+  SUMIF(Jul_Period_2_Tbl[[#All],[STAFF:]],$A64,Jul_Period_2_Tbl[[#All],[$ FREE PT]])+  SUMIF(Aug_Period_2_Tbl[[#All],[STAFF:]],$A64,Aug_Period_2_Tbl[[#All],[$ FREE PT]])+  SUMIF(Sep_Period_2_Tbl[[#All],[STAFF:]],$A64,Sep_Period_2_Tbl[[#All],[$ FREE PT]])+  SUMIF(Oct_Period_2_Tbl[[#All],[STAFF:]],$A64,Oct_Period_2_Tbl[[#All],[$ FREE PT]])+     SUMIF(Nov_Period_2_Tbl[[#All],[STAFF:]],$A64,Nov_Period_2_Tbl[[#All],[$ FREE PT]])+  SUMIF(Dec_Period_2_Tbl[[#All],[STAFF:]],$A64,Dec_Period_2_Tbl[[#All],[$ FREE PT]]))</f>
        <v>0</v>
      </c>
      <c r="K64" s="190">
        <f>(SUMIF(Jan_Period_1_Tbl[[#All],[STAFF:]],$A64,Jan_Period_1_Tbl[[#All],[$ PAID PT]])+
SUMIF(Feb_Period_1_Tbl[[#All],[STAFF:]],$A64,Feb_Period_1_Tbl[[#All],[$ PAID PT]])+SUMIF(Mar_Period_1_Tbl[[#All],[STAFF:]],$A64,Mar_Period_1_Tbl[[#All],[$ PAID PT]])+SUMIF(Apr_Period_1_Tbl[[#All],[STAFF:]],$A64,Apr_Period_1_Tbl[[#All],[$ PAID PT]])+   SUMIF(May_Period_1_Tbl[[#All],[STAFF:]],$A64,May_Period_1_Tbl[[#All],[$ PAID PT]])+   SUMIF(Jun_Period_1_Tbl[[#All],[STAFF:]],$A64,Jun_Period_1_Tbl[[#All],[$ PAID PT]])+  SUMIF(Jul_Period_1_Tbl[[#All],[STAFF:]],$A64,Jul_Period_1_Tbl[[#All],[$ PAID PT]])+  SUMIF(Aug_Period_1_Tbl[[#All],[STAFF:]],$A64,Aug_Period_1_Tbl[[#All],[$ PAID PT]])+  SUMIF(Sep_Period_1_Tbl[[#All],[STAFF:]],$A64,Sep_Period_1_Tbl[[#All],[$ PAID PT]])+  SUMIF(Oct_Period_1_Tbl[[#All],[STAFF:]],$A64,Oct_Period_1_Tbl[[#All],[$ PAID PT]])+     SUMIF(Nov_Period_1_Tbl[[#All],[STAFF:]],$A64,Nov_Period_1_Tbl[[#All],[$ PAID PT]])+  SUMIF(Dec_Period_1_Tbl[[#All],[STAFF:]],$A64,Dec_Period_1_Tbl[[#All],[$ PAID PT]]))+   (SUMIF(Jan_Period_2_Tbl[[#All],[STAFF:]],$A64,Jan_Period_2_Tbl[[#All],[$ PAID PT]])+
SUMIF(Feb_Period_2_Tbl[[#All],[STAFF:]],$A64,Feb_Period_2_Tbl[[#All],[$ PAID PT]])+SUMIF(Mar_Period_2_Tbl[[#All],[STAFF:]],$A64,Mar_Period_2_Tbl[[#All],[$ PAID PT]])+SUMIF(Apr_Period_2_Tbl[[#All],[STAFF:]],$A64,Apr_Period_2_Tbl[[#All],[$ PAID PT]])+   SUMIF(May_Period_2_Tbl[[#All],[STAFF:]],$A64,May_Period_2_Tbl[[#All],[$ PAID PT]])+   SUMIF(Jun_Period_2_Tbl[[#All],[STAFF:]],$A64,Jun_Period_2_Tbl[[#All],[$ PAID PT]])+  SUMIF(Jul_Period_2_Tbl[[#All],[STAFF:]],$A64,Jul_Period_2_Tbl[[#All],[$ PAID PT]])+  SUMIF(Aug_Period_2_Tbl[[#All],[STAFF:]],$A64,Aug_Period_2_Tbl[[#All],[$ PAID PT]])+  SUMIF(Sep_Period_2_Tbl[[#All],[STAFF:]],$A64,Sep_Period_2_Tbl[[#All],[$ PAID PT]])+  SUMIF(Oct_Period_2_Tbl[[#All],[STAFF:]],$A64,Oct_Period_2_Tbl[[#All],[$ PAID PT]])+     SUMIF(Nov_Period_2_Tbl[[#All],[STAFF:]],$A64,Nov_Period_2_Tbl[[#All],[$ PAID PT]])+  SUMIF(Dec_Period_2_Tbl[[#All],[STAFF:]],$A64,Dec_Period_2_Tbl[[#All],[$ PAID PT]]))</f>
        <v>0</v>
      </c>
      <c r="L64" s="190">
        <f>(SUMIF(Jan_Period_1_Tbl[[#All],[STAFF:]],$A64,Jan_Period_1_Tbl[[#All],[$ PT COMM]])+
SUMIF(Feb_Period_1_Tbl[[#All],[STAFF:]],$A64,Feb_Period_1_Tbl[[#All],[$ PT COMM]])+SUMIF(Mar_Period_1_Tbl[[#All],[STAFF:]],$A64,Mar_Period_1_Tbl[[#All],[$ PT COMM]])+SUMIF(Apr_Period_1_Tbl[[#All],[STAFF:]],$A64,Apr_Period_1_Tbl[[#All],[$ PT COMM]])+   SUMIF(May_Period_1_Tbl[[#All],[STAFF:]],$A64,May_Period_1_Tbl[[#All],[$ PT COMM]])+   SUMIF(Jun_Period_1_Tbl[[#All],[STAFF:]],$A64,Jun_Period_1_Tbl[[#All],[$ PT COMM]])+  SUMIF(Jul_Period_1_Tbl[[#All],[STAFF:]],$A64,Jul_Period_1_Tbl[[#All],[$ PT COMM]])+  SUMIF(Aug_Period_1_Tbl[[#All],[STAFF:]],$A64,Aug_Period_1_Tbl[[#All],[$ PT COMM]])+  SUMIF(Sep_Period_1_Tbl[[#All],[STAFF:]],$A64,Sep_Period_1_Tbl[[#All],[$ PT COMM]])+  SUMIF(Oct_Period_1_Tbl[[#All],[STAFF:]],$A64,Oct_Period_1_Tbl[[#All],[$ PT COMM]])+     SUMIF(Nov_Period_1_Tbl[[#All],[STAFF:]],$A64,Nov_Period_1_Tbl[[#All],[$ PT COMM]])+  SUMIF(Dec_Period_1_Tbl[[#All],[STAFF:]],$A64,Dec_Period_1_Tbl[[#All],[$ PT COMM]]))+   (SUMIF(Jan_Period_2_Tbl[[#All],[STAFF:]],$A64,Jan_Period_2_Tbl[[#All],[$ PT COMM]])+
SUMIF(Feb_Period_2_Tbl[[#All],[STAFF:]],$A64,Feb_Period_2_Tbl[[#All],[$ PT COMM]])+SUMIF(Mar_Period_2_Tbl[[#All],[STAFF:]],$A64,Mar_Period_2_Tbl[[#All],[$ PT COMM]])+SUMIF(Apr_Period_2_Tbl[[#All],[STAFF:]],$A64,Apr_Period_2_Tbl[[#All],[$ PT COMM]])+   SUMIF(May_Period_2_Tbl[[#All],[STAFF:]],$A64,May_Period_2_Tbl[[#All],[$ PT COMM]])+   SUMIF(Jun_Period_2_Tbl[[#All],[STAFF:]],$A64,Jun_Period_2_Tbl[[#All],[$ PT COMM]])+  SUMIF(Jul_Period_2_Tbl[[#All],[STAFF:]],$A64,Jul_Period_2_Tbl[[#All],[$ PT COMM]])+  SUMIF(Aug_Period_2_Tbl[[#All],[STAFF:]],$A64,Aug_Period_2_Tbl[[#All],[$ PT COMM]])+  SUMIF(Sep_Period_2_Tbl[[#All],[STAFF:]],$A64,Sep_Period_2_Tbl[[#All],[$ PT COMM]])+  SUMIF(Oct_Period_2_Tbl[[#All],[STAFF:]],$A64,Oct_Period_2_Tbl[[#All],[$ PT COMM]])+     SUMIF(Nov_Period_2_Tbl[[#All],[STAFF:]],$A64,Nov_Period_2_Tbl[[#All],[$ PT COMM]])+  SUMIF(Dec_Period_2_Tbl[[#All],[STAFF:]],$A64,Dec_Period_2_Tbl[[#All],[$ PT COMM]]))</f>
        <v>0</v>
      </c>
      <c r="M64" s="190">
        <f>(SUMIF(Jan_Period_1_Tbl[[#All],[STAFF:]],$A64,Jan_Period_1_Tbl[[#All],[$ EFT COMM]])+
SUMIF(Feb_Period_1_Tbl[[#All],[STAFF:]],$A64,Feb_Period_1_Tbl[[#All],[$ EFT COMM]])+SUMIF(Mar_Period_1_Tbl[[#All],[STAFF:]],$A64,Mar_Period_1_Tbl[[#All],[$ EFT COMM]])+SUMIF(Apr_Period_1_Tbl[[#All],[STAFF:]],$A64,Apr_Period_1_Tbl[[#All],[$ EFT COMM]])+   SUMIF(May_Period_1_Tbl[[#All],[STAFF:]],$A64,May_Period_1_Tbl[[#All],[$ EFT COMM]])+   SUMIF(Jun_Period_1_Tbl[[#All],[STAFF:]],$A64,Jun_Period_1_Tbl[[#All],[$ EFT COMM]])+  SUMIF(Jul_Period_1_Tbl[[#All],[STAFF:]],$A64,Jul_Period_1_Tbl[[#All],[$ EFT COMM]])+  SUMIF(Aug_Period_1_Tbl[[#All],[STAFF:]],$A64,Aug_Period_1_Tbl[[#All],[$ EFT COMM]])+  SUMIF(Sep_Period_1_Tbl[[#All],[STAFF:]],$A64,Sep_Period_1_Tbl[[#All],[$ EFT COMM]])+  SUMIF(Oct_Period_1_Tbl[[#All],[STAFF:]],$A64,Oct_Period_1_Tbl[[#All],[$ EFT COMM]])+     SUMIF(Nov_Period_1_Tbl[[#All],[STAFF:]],$A64,Nov_Period_1_Tbl[[#All],[$ EFT COMM]])+  SUMIF(Dec_Period_1_Tbl[[#All],[STAFF:]],$A64,Dec_Period_1_Tbl[[#All],[$ EFT COMM]]))+   (SUMIF(Jan_Period_2_Tbl[[#All],[STAFF:]],$A64,Jan_Period_2_Tbl[[#All],[$ EFT COMM]])+
SUMIF(Feb_Period_2_Tbl[[#All],[STAFF:]],$A64,Feb_Period_2_Tbl[[#All],[$ EFT COMM]])+SUMIF(Mar_Period_2_Tbl[[#All],[STAFF:]],$A64,Mar_Period_2_Tbl[[#All],[$ EFT COMM]])+SUMIF(Apr_Period_2_Tbl[[#All],[STAFF:]],$A64,Apr_Period_2_Tbl[[#All],[$ EFT COMM]])+   SUMIF(May_Period_2_Tbl[[#All],[STAFF:]],$A64,May_Period_2_Tbl[[#All],[$ EFT COMM]])+   SUMIF(Jun_Period_2_Tbl[[#All],[STAFF:]],$A64,Jun_Period_2_Tbl[[#All],[$ EFT COMM]])+  SUMIF(Jul_Period_2_Tbl[[#All],[STAFF:]],$A64,Jul_Period_2_Tbl[[#All],[$ EFT COMM]])+  SUMIF(Aug_Period_2_Tbl[[#All],[STAFF:]],$A64,Aug_Period_2_Tbl[[#All],[$ EFT COMM]])+  SUMIF(Sep_Period_2_Tbl[[#All],[STAFF:]],$A64,Sep_Period_2_Tbl[[#All],[$ EFT COMM]])+  SUMIF(Oct_Period_2_Tbl[[#All],[STAFF:]],$A64,Oct_Period_2_Tbl[[#All],[$ EFT COMM]])+     SUMIF(Nov_Period_2_Tbl[[#All],[STAFF:]],$A64,Nov_Period_2_Tbl[[#All],[$ EFT COMM]])+  SUMIF(Dec_Period_2_Tbl[[#All],[STAFF:]],$A64,Dec_Period_2_Tbl[[#All],[$ EFT COMM]]))</f>
        <v>0</v>
      </c>
      <c r="N64" s="190">
        <f>(SUMIF(Jan_Period_1_Tbl[[#All],[STAFF:]],$A64,Jan_Period_1_Tbl[[#All],[$ CLASS PAY]])+
SUMIF(Feb_Period_1_Tbl[[#All],[STAFF:]],$A64,Feb_Period_1_Tbl[[#All],[$ CLASS PAY]])+SUMIF(Mar_Period_1_Tbl[[#All],[STAFF:]],$A64,Mar_Period_1_Tbl[[#All],[$ CLASS PAY]])+SUMIF(Apr_Period_1_Tbl[[#All],[STAFF:]],$A64,Apr_Period_1_Tbl[[#All],[$ CLASS PAY]])+   SUMIF(May_Period_1_Tbl[[#All],[STAFF:]],$A64,May_Period_1_Tbl[[#All],[$ CLASS PAY]])+   SUMIF(Jun_Period_1_Tbl[[#All],[STAFF:]],$A64,Jun_Period_1_Tbl[[#All],[$ CLASS PAY]])+  SUMIF(Jul_Period_1_Tbl[[#All],[STAFF:]],$A64,Jul_Period_1_Tbl[[#All],[$ CLASS PAY]])+  SUMIF(Aug_Period_1_Tbl[[#All],[STAFF:]],$A64,Aug_Period_1_Tbl[[#All],[$ CLASS PAY]])+  SUMIF(Sep_Period_1_Tbl[[#All],[STAFF:]],$A64,Sep_Period_1_Tbl[[#All],[$ CLASS PAY]])+  SUMIF(Oct_Period_1_Tbl[[#All],[STAFF:]],$A64,Oct_Period_1_Tbl[[#All],[$ CLASS PAY]])+     SUMIF(Nov_Period_1_Tbl[[#All],[STAFF:]],$A64,Nov_Period_1_Tbl[[#All],[$ CLASS PAY]])+  SUMIF(Dec_Period_1_Tbl[[#All],[STAFF:]],$A64,Dec_Period_1_Tbl[[#All],[$ CLASS PAY]]))+   (SUMIF(Jan_Period_2_Tbl[[#All],[STAFF:]],$A64,Jan_Period_2_Tbl[[#All],[$ CLASS PAY]])+
SUMIF(Feb_Period_2_Tbl[[#All],[STAFF:]],$A64,Feb_Period_2_Tbl[[#All],[$ CLASS PAY]])+SUMIF(Mar_Period_2_Tbl[[#All],[STAFF:]],$A64,Mar_Period_2_Tbl[[#All],[$ CLASS PAY]])+SUMIF(Apr_Period_2_Tbl[[#All],[STAFF:]],$A64,Apr_Period_2_Tbl[[#All],[$ CLASS PAY]])+   SUMIF(May_Period_2_Tbl[[#All],[STAFF:]],$A64,May_Period_2_Tbl[[#All],[$ CLASS PAY]])+   SUMIF(Jun_Period_2_Tbl[[#All],[STAFF:]],$A64,Jun_Period_2_Tbl[[#All],[$ CLASS PAY]])+  SUMIF(Jul_Period_2_Tbl[[#All],[STAFF:]],$A64,Jul_Period_2_Tbl[[#All],[$ CLASS PAY]])+  SUMIF(Aug_Period_2_Tbl[[#All],[STAFF:]],$A64,Aug_Period_2_Tbl[[#All],[$ CLASS PAY]])+  SUMIF(Sep_Period_2_Tbl[[#All],[STAFF:]],$A64,Sep_Period_2_Tbl[[#All],[$ CLASS PAY]])+  SUMIF(Oct_Period_2_Tbl[[#All],[STAFF:]],$A64,Oct_Period_2_Tbl[[#All],[$ CLASS PAY]])+     SUMIF(Nov_Period_2_Tbl[[#All],[STAFF:]],$A64,Nov_Period_2_Tbl[[#All],[$ CLASS PAY]])+  SUMIF(Dec_Period_2_Tbl[[#All],[STAFF:]],$A64,Dec_Period_2_Tbl[[#All],[$ CLASS PAY]]))</f>
        <v>0</v>
      </c>
      <c r="O64" s="191">
        <f>(SUMIF(Jan_Period_1_Tbl[[#All],[STAFF:]],$A64,Jan_Period_1_Tbl[[#All],[$ BONUS PAY]])+
SUMIF(Feb_Period_1_Tbl[[#All],[STAFF:]],$A64,Feb_Period_1_Tbl[[#All],[$ BONUS PAY]])+SUMIF(Mar_Period_1_Tbl[[#All],[STAFF:]],$A64,Mar_Period_1_Tbl[[#All],[$ BONUS PAY]])+SUMIF(Apr_Period_1_Tbl[[#All],[STAFF:]],$A64,Apr_Period_1_Tbl[[#All],[$ BONUS PAY]])+   SUMIF(May_Period_1_Tbl[[#All],[STAFF:]],$A64,May_Period_1_Tbl[[#All],[$ BONUS PAY]])+   SUMIF(Jun_Period_1_Tbl[[#All],[STAFF:]],$A64,Jun_Period_1_Tbl[[#All],[$ BONUS PAY]])+  SUMIF(Jul_Period_1_Tbl[[#All],[STAFF:]],$A64,Jul_Period_1_Tbl[[#All],[$ BONUS PAY]])+  SUMIF(Aug_Period_1_Tbl[[#All],[STAFF:]],$A64,Aug_Period_1_Tbl[[#All],[$ BONUS PAY]])+  SUMIF(Sep_Period_1_Tbl[[#All],[STAFF:]],$A64,Sep_Period_1_Tbl[[#All],[$ BONUS PAY]])+  SUMIF(Oct_Period_1_Tbl[[#All],[STAFF:]],$A64,Oct_Period_1_Tbl[[#All],[$ BONUS PAY]])+     SUMIF(Nov_Period_1_Tbl[[#All],[STAFF:]],$A64,Nov_Period_1_Tbl[[#All],[$ BONUS PAY]])+  SUMIF(Dec_Period_1_Tbl[[#All],[STAFF:]],$A64,Dec_Period_1_Tbl[[#All],[$ BONUS PAY]]))+   (SUMIF(Jan_Period_2_Tbl[[#All],[STAFF:]],$A64,Jan_Period_2_Tbl[[#All],[$ BONUS PAY]])+
SUMIF(Feb_Period_2_Tbl[[#All],[STAFF:]],$A64,Feb_Period_2_Tbl[[#All],[$ BONUS PAY]])+SUMIF(Mar_Period_2_Tbl[[#All],[STAFF:]],$A64,Mar_Period_2_Tbl[[#All],[$ BONUS PAY]])+SUMIF(Apr_Period_2_Tbl[[#All],[STAFF:]],$A64,Apr_Period_2_Tbl[[#All],[$ BONUS PAY]])+   SUMIF(May_Period_2_Tbl[[#All],[STAFF:]],$A64,May_Period_2_Tbl[[#All],[$ BONUS PAY]])+   SUMIF(Jun_Period_2_Tbl[[#All],[STAFF:]],$A64,Jun_Period_2_Tbl[[#All],[$ BONUS PAY]])+  SUMIF(Jul_Period_2_Tbl[[#All],[STAFF:]],$A64,Jul_Period_2_Tbl[[#All],[$ BONUS PAY]])+  SUMIF(Aug_Period_2_Tbl[[#All],[STAFF:]],$A64,Aug_Period_2_Tbl[[#All],[$ BONUS PAY]])+  SUMIF(Sep_Period_2_Tbl[[#All],[STAFF:]],$A64,Sep_Period_2_Tbl[[#All],[$ BONUS PAY]])+  SUMIF(Oct_Period_2_Tbl[[#All],[STAFF:]],$A64,Oct_Period_2_Tbl[[#All],[$ BONUS PAY]])+     SUMIF(Nov_Period_2_Tbl[[#All],[STAFF:]],$A64,Nov_Period_2_Tbl[[#All],[$ BONUS PAY]])+  SUMIF(Dec_Period_2_Tbl[[#All],[STAFF:]],$A64,Dec_Period_2_Tbl[[#All],[$ BONUS PAY]]))</f>
        <v>0</v>
      </c>
      <c r="P64" s="179">
        <f t="shared" ref="P64" si="18">SUM(G64+H64+J64+K64+L64+M64+N64+O64)</f>
        <v>0</v>
      </c>
      <c r="Q64" s="149"/>
      <c r="R64" s="152">
        <f>(SUMIF(Jan_Period_1_Tbl[[#All],[STAFF:]],$A64,Jan_Period_1_Tbl[[#All],['# POINTS EARNED]])+
SUMIF(Feb_Period_1_Tbl[[#All],[STAFF:]],$A64,Feb_Period_1_Tbl[[#All],['# POINTS EARNED]])+SUMIF(Mar_Period_1_Tbl[[#All],[STAFF:]],$A64,Mar_Period_1_Tbl[[#All],['# POINTS EARNED]])+SUMIF(Apr_Period_1_Tbl[[#All],[STAFF:]],$A64,Apr_Period_1_Tbl[[#All],['# POINTS EARNED]])+   SUMIF(May_Period_1_Tbl[[#All],[STAFF:]],$A64,May_Period_1_Tbl[[#All],['# POINTS EARNED]])+   SUMIF(Jun_Period_1_Tbl[[#All],[STAFF:]],$A64,Jun_Period_1_Tbl[[#All],['# POINTS EARNED]])+  SUMIF(Jul_Period_1_Tbl[[#All],[STAFF:]],$A64,Jul_Period_1_Tbl[[#All],['# POINTS EARNED]])+  SUMIF(Aug_Period_1_Tbl[[#All],[STAFF:]],$A64,Aug_Period_1_Tbl[[#All],['# POINTS EARNED]])+  SUMIF(Sep_Period_1_Tbl[[#All],[STAFF:]],$A64,Sep_Period_1_Tbl[[#All],['# POINTS EARNED]])+  SUMIF(Oct_Period_1_Tbl[[#All],[STAFF:]],$A64,Oct_Period_1_Tbl[[#All],['# POINTS EARNED]])+     SUMIF(Nov_Period_1_Tbl[[#All],[STAFF:]],$A64,Nov_Period_1_Tbl[[#All],['# POINTS EARNED]])+  SUMIF(Dec_Period_1_Tbl[[#All],[STAFF:]],$A64,Dec_Period_1_Tbl[[#All],['# POINTS EARNED]]))+   (SUMIF(Jan_Period_2_Tbl[[#All],[STAFF:]],$A64,Jan_Period_2_Tbl[[#All],['# POINTS EARNED]])+
SUMIF(Feb_Period_2_Tbl[[#All],[STAFF:]],$A64,Feb_Period_2_Tbl[[#All],['# POINTS EARNED]])+SUMIF(Mar_Period_2_Tbl[[#All],[STAFF:]],$A64,Mar_Period_2_Tbl[[#All],['# POINTS EARNED]])+SUMIF(Apr_Period_2_Tbl[[#All],[STAFF:]],$A64,Apr_Period_2_Tbl[[#All],['# POINTS EARNED]])+   SUMIF(May_Period_2_Tbl[[#All],[STAFF:]],$A64,May_Period_2_Tbl[[#All],['# POINTS EARNED]])+   SUMIF(Jun_Period_2_Tbl[[#All],[STAFF:]],$A64,Jun_Period_2_Tbl[[#All],['# POINTS EARNED]])+  SUMIF(Jul_Period_2_Tbl[[#All],[STAFF:]],$A64,Jul_Period_2_Tbl[[#All],['# POINTS EARNED]])+  SUMIF(Aug_Period_2_Tbl[[#All],[STAFF:]],$A64,Aug_Period_2_Tbl[[#All],['# POINTS EARNED]])+  SUMIF(Sep_Period_2_Tbl[[#All],[STAFF:]],$A64,Sep_Period_2_Tbl[[#All],['# POINTS EARNED]])+  SUMIF(Oct_Period_2_Tbl[[#All],[STAFF:]],$A64,Oct_Period_2_Tbl[[#All],['# POINTS EARNED]])+     SUMIF(Nov_Period_2_Tbl[[#All],[STAFF:]],$A64,Nov_Period_2_Tbl[[#All],['# POINTS EARNED]])+  SUMIF(Dec_Period_2_Tbl[[#All],[STAFF:]],$A64,Dec_Period_2_Tbl[[#All],['# POINTS EARNED]]))</f>
        <v>0</v>
      </c>
      <c r="S64" s="152">
        <f>(SUMIF(Jan_Period_1_Tbl[[#All],[STAFF:]],$A64,Jan_Period_1_Tbl[[#All],['# POINTS USED]])+
SUMIF(Feb_Period_1_Tbl[[#All],[STAFF:]],$A64,Feb_Period_1_Tbl[[#All],['# POINTS USED]])+SUMIF(Mar_Period_1_Tbl[[#All],[STAFF:]],$A64,Mar_Period_1_Tbl[[#All],['# POINTS USED]])+SUMIF(Apr_Period_1_Tbl[[#All],[STAFF:]],$A64,Apr_Period_1_Tbl[[#All],['# POINTS USED]])+   SUMIF(May_Period_1_Tbl[[#All],[STAFF:]],$A64,May_Period_1_Tbl[[#All],['# POINTS USED]])+   SUMIF(Jun_Period_1_Tbl[[#All],[STAFF:]],$A64,Jun_Period_1_Tbl[[#All],['# POINTS USED]])+  SUMIF(Jul_Period_1_Tbl[[#All],[STAFF:]],$A64,Jul_Period_1_Tbl[[#All],['# POINTS USED]])+  SUMIF(Aug_Period_1_Tbl[[#All],[STAFF:]],$A64,Aug_Period_1_Tbl[[#All],['# POINTS USED]])+  SUMIF(Sep_Period_1_Tbl[[#All],[STAFF:]],$A64,Sep_Period_1_Tbl[[#All],['# POINTS USED]])+  SUMIF(Oct_Period_1_Tbl[[#All],[STAFF:]],$A64,Oct_Period_1_Tbl[[#All],['# POINTS USED]])+     SUMIF(Nov_Period_1_Tbl[[#All],[STAFF:]],$A64,Nov_Period_1_Tbl[[#All],['# POINTS USED]])+  SUMIF(Dec_Period_1_Tbl[[#All],[STAFF:]],$A64,Dec_Period_1_Tbl[[#All],['# POINTS USED]]))+   (SUMIF(Jan_Period_2_Tbl[[#All],[STAFF:]],$A64,Jan_Period_2_Tbl[[#All],['# POINTS USED]])+
SUMIF(Feb_Period_2_Tbl[[#All],[STAFF:]],$A64,Feb_Period_2_Tbl[[#All],['# POINTS USED]])+SUMIF(Mar_Period_2_Tbl[[#All],[STAFF:]],$A64,Mar_Period_2_Tbl[[#All],['# POINTS USED]])+SUMIF(Apr_Period_2_Tbl[[#All],[STAFF:]],$A64,Apr_Period_2_Tbl[[#All],['# POINTS USED]])+   SUMIF(May_Period_2_Tbl[[#All],[STAFF:]],$A64,May_Period_2_Tbl[[#All],['# POINTS USED]])+   SUMIF(Jun_Period_2_Tbl[[#All],[STAFF:]],$A64,Jun_Period_2_Tbl[[#All],['# POINTS USED]])+  SUMIF(Jul_Period_2_Tbl[[#All],[STAFF:]],$A64,Jul_Period_2_Tbl[[#All],['# POINTS USED]])+  SUMIF(Aug_Period_2_Tbl[[#All],[STAFF:]],$A64,Aug_Period_2_Tbl[[#All],['# POINTS USED]])+  SUMIF(Sep_Period_2_Tbl[[#All],[STAFF:]],$A64,Sep_Period_2_Tbl[[#All],['# POINTS USED]])+  SUMIF(Oct_Period_2_Tbl[[#All],[STAFF:]],$A64,Oct_Period_2_Tbl[[#All],['# POINTS USED]])+     SUMIF(Nov_Period_2_Tbl[[#All],[STAFF:]],$A64,Nov_Period_2_Tbl[[#All],['# POINTS USED]])+  SUMIF(Dec_Period_2_Tbl[[#All],[STAFF:]],$A64,Dec_Period_2_Tbl[[#All],['# POINTS USED]]))</f>
        <v>0</v>
      </c>
      <c r="T64" s="152">
        <f>(SUMIF(Jan_Period_1_Tbl[[#All],[STAFF:]],$A64,Jan_Period_1_Tbl[[#All],['# CLASSES LEAD]])+
SUMIF(Feb_Period_1_Tbl[[#All],[STAFF:]],$A64,Feb_Period_1_Tbl[[#All],['# CLASSES LEAD]])+SUMIF(Mar_Period_1_Tbl[[#All],[STAFF:]],$A64,Mar_Period_1_Tbl[[#All],['# CLASSES LEAD]])+SUMIF(Apr_Period_1_Tbl[[#All],[STAFF:]],$A64,Apr_Period_1_Tbl[[#All],['# CLASSES LEAD]])+   SUMIF(May_Period_1_Tbl[[#All],[STAFF:]],$A64,May_Period_1_Tbl[[#All],['# CLASSES LEAD]])+   SUMIF(Jun_Period_1_Tbl[[#All],[STAFF:]],$A64,Jun_Period_1_Tbl[[#All],['# CLASSES LEAD]])+  SUMIF(Jul_Period_1_Tbl[[#All],[STAFF:]],$A64,Jul_Period_1_Tbl[[#All],['# CLASSES LEAD]])+  SUMIF(Aug_Period_1_Tbl[[#All],[STAFF:]],$A64,Aug_Period_1_Tbl[[#All],['# CLASSES LEAD]])+  SUMIF(Sep_Period_1_Tbl[[#All],[STAFF:]],$A64,Sep_Period_1_Tbl[[#All],['# CLASSES LEAD]])+  SUMIF(Oct_Period_1_Tbl[[#All],[STAFF:]],$A64,Oct_Period_1_Tbl[[#All],['# CLASSES LEAD]])+     SUMIF(Nov_Period_1_Tbl[[#All],[STAFF:]],$A64,Nov_Period_1_Tbl[[#All],['# CLASSES LEAD]])+  SUMIF(Dec_Period_1_Tbl[[#All],[STAFF:]],$A64,Dec_Period_1_Tbl[[#All],['# CLASSES LEAD]]))+   (SUMIF(Jan_Period_2_Tbl[[#All],[STAFF:]],$A64,Jan_Period_2_Tbl[[#All],['# CLASSES LEAD]])+
SUMIF(Feb_Period_2_Tbl[[#All],[STAFF:]],$A64,Feb_Period_2_Tbl[[#All],['# CLASSES LEAD]])+SUMIF(Mar_Period_2_Tbl[[#All],[STAFF:]],$A64,Mar_Period_2_Tbl[[#All],['# CLASSES LEAD]])+SUMIF(Apr_Period_2_Tbl[[#All],[STAFF:]],$A64,Apr_Period_2_Tbl[[#All],['# CLASSES LEAD]])+   SUMIF(May_Period_2_Tbl[[#All],[STAFF:]],$A64,May_Period_2_Tbl[[#All],['# CLASSES LEAD]])+   SUMIF(Jun_Period_2_Tbl[[#All],[STAFF:]],$A64,Jun_Period_2_Tbl[[#All],['# CLASSES LEAD]])+  SUMIF(Jul_Period_2_Tbl[[#All],[STAFF:]],$A64,Jul_Period_2_Tbl[[#All],['# CLASSES LEAD]])+  SUMIF(Aug_Period_2_Tbl[[#All],[STAFF:]],$A64,Aug_Period_2_Tbl[[#All],['# CLASSES LEAD]])+  SUMIF(Sep_Period_2_Tbl[[#All],[STAFF:]],$A64,Sep_Period_2_Tbl[[#All],['# CLASSES LEAD]])+  SUMIF(Oct_Period_2_Tbl[[#All],[STAFF:]],$A64,Oct_Period_2_Tbl[[#All],['# CLASSES LEAD]])+     SUMIF(Nov_Period_2_Tbl[[#All],[STAFF:]],$A64,Nov_Period_2_Tbl[[#All],['# CLASSES LEAD]])+  SUMIF(Dec_Period_2_Tbl[[#All],[STAFF:]],$A64,Dec_Period_2_Tbl[[#All],['# CLASSES LEAD]]))</f>
        <v>0</v>
      </c>
      <c r="U64" s="152">
        <f>(SUMIF(Jan_Period_1_Tbl[[#All],[STAFF:]],$A64,Jan_Period_1_Tbl[[#All],['# CLASSES SHOW]])+
SUMIF(Feb_Period_1_Tbl[[#All],[STAFF:]],$A64,Feb_Period_1_Tbl[[#All],['# CLASSES SHOW]])+SUMIF(Mar_Period_1_Tbl[[#All],[STAFF:]],$A64,Mar_Period_1_Tbl[[#All],['# CLASSES SHOW]])+SUMIF(Apr_Period_1_Tbl[[#All],[STAFF:]],$A64,Apr_Period_1_Tbl[[#All],['# CLASSES SHOW]])+   SUMIF(May_Period_1_Tbl[[#All],[STAFF:]],$A64,May_Period_1_Tbl[[#All],['# CLASSES SHOW]])+   SUMIF(Jun_Period_1_Tbl[[#All],[STAFF:]],$A64,Jun_Period_1_Tbl[[#All],['# CLASSES SHOW]])+  SUMIF(Jul_Period_1_Tbl[[#All],[STAFF:]],$A64,Jul_Period_1_Tbl[[#All],['# CLASSES SHOW]])+  SUMIF(Aug_Period_1_Tbl[[#All],[STAFF:]],$A64,Aug_Period_1_Tbl[[#All],['# CLASSES SHOW]])+  SUMIF(Sep_Period_1_Tbl[[#All],[STAFF:]],$A64,Sep_Period_1_Tbl[[#All],['# CLASSES SHOW]])+  SUMIF(Oct_Period_1_Tbl[[#All],[STAFF:]],$A64,Oct_Period_1_Tbl[[#All],['# CLASSES SHOW]])+     SUMIF(Nov_Period_1_Tbl[[#All],[STAFF:]],$A64,Nov_Period_1_Tbl[[#All],['# CLASSES SHOW]])+  SUMIF(Dec_Period_1_Tbl[[#All],[STAFF:]],$A64,Dec_Period_1_Tbl[[#All],['# CLASSES SHOW]]))+   (SUMIF(Jan_Period_2_Tbl[[#All],[STAFF:]],$A64,Jan_Period_2_Tbl[[#All],['# CLASSES SHOW]])+
SUMIF(Feb_Period_2_Tbl[[#All],[STAFF:]],$A64,Feb_Period_2_Tbl[[#All],['# CLASSES SHOW]])+SUMIF(Mar_Period_2_Tbl[[#All],[STAFF:]],$A64,Mar_Period_2_Tbl[[#All],['# CLASSES SHOW]])+SUMIF(Apr_Period_2_Tbl[[#All],[STAFF:]],$A64,Apr_Period_2_Tbl[[#All],['# CLASSES SHOW]])+   SUMIF(May_Period_2_Tbl[[#All],[STAFF:]],$A64,May_Period_2_Tbl[[#All],['# CLASSES SHOW]])+   SUMIF(Jun_Period_2_Tbl[[#All],[STAFF:]],$A64,Jun_Period_2_Tbl[[#All],['# CLASSES SHOW]])+  SUMIF(Jul_Period_2_Tbl[[#All],[STAFF:]],$A64,Jul_Period_2_Tbl[[#All],['# CLASSES SHOW]])+  SUMIF(Aug_Period_2_Tbl[[#All],[STAFF:]],$A64,Aug_Period_2_Tbl[[#All],['# CLASSES SHOW]])+  SUMIF(Sep_Period_2_Tbl[[#All],[STAFF:]],$A64,Sep_Period_2_Tbl[[#All],['# CLASSES SHOW]])+  SUMIF(Oct_Period_2_Tbl[[#All],[STAFF:]],$A64,Oct_Period_2_Tbl[[#All],['# CLASSES SHOW]])+     SUMIF(Nov_Period_2_Tbl[[#All],[STAFF:]],$A64,Nov_Period_2_Tbl[[#All],['# CLASSES SHOW]])+  SUMIF(Dec_Period_2_Tbl[[#All],[STAFF:]],$A64,Dec_Period_2_Tbl[[#All],['# CLASSES SHOW]]))</f>
        <v>0</v>
      </c>
      <c r="V64" s="156"/>
      <c r="W64" s="156"/>
      <c r="X64" s="154">
        <f t="shared" ref="X64" si="19">IF(OR(G64="",G64=0),H64,G64+H64)</f>
        <v>0</v>
      </c>
      <c r="Y64" s="154">
        <f t="shared" ref="Y64" si="20">J64+K64</f>
        <v>0</v>
      </c>
      <c r="Z64" s="154">
        <f t="shared" ref="Z64" si="21">N64</f>
        <v>0</v>
      </c>
      <c r="AA64" s="154">
        <f t="shared" ref="AA64" si="22">M64</f>
        <v>0</v>
      </c>
      <c r="AB64" s="154">
        <f t="shared" ref="AB64" si="23">L64</f>
        <v>0</v>
      </c>
      <c r="AC64" s="154">
        <f t="shared" ref="AC64" si="24">O64</f>
        <v>0</v>
      </c>
      <c r="AD64" s="154">
        <f t="shared" ref="AD64" si="25">P64</f>
        <v>0</v>
      </c>
      <c r="AE64" s="149"/>
      <c r="AF64" s="149"/>
      <c r="AG64" s="149"/>
      <c r="AH64" s="149"/>
      <c r="AJ64" s="75" t="str">
        <f t="shared" ref="AJ64" si="26">IF(AND(ISBLANK(C64),NOT(ISBLANK(A64))),"Active",IF(ISBLANK(C64),"zBlank","zDeactivate"))</f>
        <v>zBlank</v>
      </c>
      <c r="AK64" s="210"/>
      <c r="AL64" s="168">
        <f>IFERROR(VLOOKUP(B64,List!$A:$B,2,FALSE),-1)</f>
        <v>-1</v>
      </c>
      <c r="AM64" s="168">
        <f>IFERROR(VLOOKUP(C64,List!$A:$B,2,FALSE),-1)</f>
        <v>-1</v>
      </c>
    </row>
    <row r="65" spans="1:39" ht="1.5" customHeight="1" x14ac:dyDescent="0.25">
      <c r="A65" s="4"/>
      <c r="B65" s="9"/>
      <c r="C65" s="9"/>
      <c r="D65" s="25"/>
      <c r="E65" s="25"/>
      <c r="F65" s="25"/>
      <c r="G65" s="25"/>
      <c r="H65" s="25"/>
      <c r="I65" s="25"/>
      <c r="J65" s="25"/>
      <c r="K65" s="25"/>
      <c r="L65" s="25"/>
      <c r="M65" s="25"/>
      <c r="N65" s="25"/>
      <c r="O65" s="25"/>
      <c r="P65" s="180">
        <f t="shared" ref="P65" si="27">SUM(G65+H65+J65+K65+L65+M65+N65+O65)</f>
        <v>0</v>
      </c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</row>
    <row r="67" spans="1:39" s="1" customFormat="1" ht="25.5" x14ac:dyDescent="0.2">
      <c r="A67" s="234" t="s">
        <v>37</v>
      </c>
      <c r="B67" s="235"/>
      <c r="C67" s="5"/>
      <c r="D67" s="3" t="s">
        <v>6</v>
      </c>
      <c r="E67" s="142" t="s">
        <v>18</v>
      </c>
      <c r="F67" s="143" t="s">
        <v>12</v>
      </c>
      <c r="G67" s="143" t="s">
        <v>11</v>
      </c>
      <c r="H67" s="143" t="s">
        <v>10</v>
      </c>
      <c r="I67" s="144" t="s">
        <v>9</v>
      </c>
      <c r="J67" s="144" t="s">
        <v>7</v>
      </c>
      <c r="K67" s="144" t="s">
        <v>8</v>
      </c>
      <c r="L67" s="144" t="s">
        <v>14</v>
      </c>
      <c r="M67" s="142" t="s">
        <v>15</v>
      </c>
      <c r="N67" s="142" t="s">
        <v>13</v>
      </c>
      <c r="O67" s="142" t="s">
        <v>112</v>
      </c>
      <c r="P67" s="177" t="s">
        <v>17</v>
      </c>
      <c r="Q67" s="150"/>
      <c r="R67" s="158" t="s">
        <v>94</v>
      </c>
      <c r="S67" s="158" t="s">
        <v>93</v>
      </c>
      <c r="T67" s="158" t="s">
        <v>91</v>
      </c>
      <c r="U67" s="158" t="s">
        <v>92</v>
      </c>
      <c r="V67" s="156"/>
      <c r="W67" s="156"/>
      <c r="X67" s="158" t="s">
        <v>99</v>
      </c>
      <c r="Y67" s="158" t="s">
        <v>100</v>
      </c>
      <c r="Z67" s="158" t="s">
        <v>101</v>
      </c>
      <c r="AA67" s="158" t="s">
        <v>102</v>
      </c>
      <c r="AB67" s="158" t="s">
        <v>103</v>
      </c>
      <c r="AC67" s="158" t="s">
        <v>112</v>
      </c>
      <c r="AD67" s="158" t="s">
        <v>107</v>
      </c>
      <c r="AE67" s="150"/>
      <c r="AF67" s="150"/>
      <c r="AG67" s="150"/>
      <c r="AH67" s="150"/>
      <c r="AI67" s="28"/>
      <c r="AJ67" s="45"/>
      <c r="AL67" s="169"/>
      <c r="AM67" s="169"/>
    </row>
    <row r="68" spans="1:39" x14ac:dyDescent="0.25">
      <c r="A68" s="13"/>
      <c r="B68" s="14"/>
      <c r="C68" s="236" t="s">
        <v>19</v>
      </c>
      <c r="D68" s="8">
        <v>42736</v>
      </c>
      <c r="E68" s="237">
        <f>Jan_Period_1_Tbl[[#Totals],['# PTO USED]]+    Jan_Period_2_Tbl[[#Totals],['# PTO USED]]</f>
        <v>0</v>
      </c>
      <c r="F68" s="242">
        <f>Jan_Period_1_Tbl[[#Totals],['# HRS WORKED]]+    Jan_Period_2_Tbl[[#Totals],['# HRS WORKED]]</f>
        <v>0</v>
      </c>
      <c r="G68" s="241">
        <f>Jan_Period_1_Tbl[[#Totals],[$ Hourly WAGES]]+    Jan_Period_2_Tbl[[#Totals],[$ Hourly WAGES]]</f>
        <v>0</v>
      </c>
      <c r="H68" s="241">
        <f>Jan_Period_1_Tbl[[#Totals],[$ SALARY]]+    Jan_Period_2_Tbl[[#Totals],[$ SALARY]]</f>
        <v>4175</v>
      </c>
      <c r="I68" s="241">
        <f>Jan_Period_1_Tbl[[#Totals],[$ SALARY PT]]+    Jan_Period_2_Tbl[[#Totals],[$ SALARY PT]]</f>
        <v>0</v>
      </c>
      <c r="J68" s="241">
        <f>Jan_Period_1_Tbl[[#Totals],[$ FREE PT]]+    Jan_Period_2_Tbl[[#Totals],[$ FREE PT]]</f>
        <v>200</v>
      </c>
      <c r="K68" s="241">
        <f>Jan_Period_1_Tbl[[#Totals],[$ PAID PT]]+    Jan_Period_2_Tbl[[#Totals],[$ PAID PT]]</f>
        <v>2286.5100000000002</v>
      </c>
      <c r="L68" s="241">
        <f>Jan_Period_1_Tbl[[#Totals],[$ PT COMM]]+    Jan_Period_2_Tbl[[#Totals],[$ PT COMM]]</f>
        <v>33.68</v>
      </c>
      <c r="M68" s="241">
        <f>Jan_Period_1_Tbl[[#Totals],[$ EFT COMM]]+    Jan_Period_2_Tbl[[#Totals],[$ EFT COMM]]</f>
        <v>506.53000000000003</v>
      </c>
      <c r="N68" s="241">
        <f>Jan_Period_1_Tbl[[#Totals],[$ CLASS PAY]]+    Jan_Period_2_Tbl[[#Totals],[$ CLASS PAY]]</f>
        <v>285</v>
      </c>
      <c r="O68" s="241">
        <f>Jan_Period_1_Tbl[[#Totals],[$ BONUS PAY]]+    Jan_Period_2_Tbl[[#Totals],[$ BONUS PAY]]</f>
        <v>0</v>
      </c>
      <c r="P68" s="238">
        <f t="shared" ref="P68:P92" si="28">SUM(G68+H68+J68+K68+L68+M68+N68+O68)</f>
        <v>7486.72</v>
      </c>
      <c r="Q68" s="151"/>
      <c r="R68" s="227">
        <f>Jan_Period_1_Tbl[[#Totals],['# POINTS EARNED]]+Jan_Period_2_Tbl[[#Totals],['# POINTS EARNED]]</f>
        <v>0</v>
      </c>
      <c r="S68" s="227">
        <f>Jan_Period_1_Tbl[[#Totals],['# POINTS USED]]+Jan_Period_2_Tbl[[#Totals],['# POINTS USED]]</f>
        <v>0</v>
      </c>
      <c r="T68" s="227">
        <f>Jan_Period_1_Tbl[[#Totals],['# CLASSES LEAD]]+Jan_Period_2_Tbl[[#Totals],['# CLASSES LEAD]]</f>
        <v>0</v>
      </c>
      <c r="U68" s="227">
        <f>Jan_Period_1_Tbl[[#Totals],['# CLASSES SHOW]]+Jan_Period_2_Tbl[[#Totals],['# CLASSES SHOW]]</f>
        <v>0</v>
      </c>
      <c r="V68" s="156"/>
      <c r="W68" s="156"/>
      <c r="X68" s="221">
        <f>IF(OR(G68="",G68=0),H68,G68+H68)</f>
        <v>4175</v>
      </c>
      <c r="Y68" s="221">
        <f>J68+K68</f>
        <v>2486.5100000000002</v>
      </c>
      <c r="Z68" s="221">
        <f>N68</f>
        <v>285</v>
      </c>
      <c r="AA68" s="221">
        <f>M68</f>
        <v>506.53000000000003</v>
      </c>
      <c r="AB68" s="221">
        <f>L68</f>
        <v>33.68</v>
      </c>
      <c r="AC68" s="221">
        <f>O68</f>
        <v>0</v>
      </c>
      <c r="AD68" s="221">
        <f>P68</f>
        <v>7486.72</v>
      </c>
      <c r="AE68" s="151"/>
      <c r="AF68" s="151"/>
      <c r="AG68" s="151"/>
      <c r="AH68" s="151"/>
    </row>
    <row r="69" spans="1:39" x14ac:dyDescent="0.25">
      <c r="A69" s="137" t="s">
        <v>108</v>
      </c>
      <c r="B69" s="183" t="s">
        <v>109</v>
      </c>
      <c r="C69" s="236"/>
      <c r="D69" s="8">
        <v>42750</v>
      </c>
      <c r="E69" s="237"/>
      <c r="F69" s="242"/>
      <c r="G69" s="241"/>
      <c r="H69" s="241"/>
      <c r="I69" s="241"/>
      <c r="J69" s="241"/>
      <c r="K69" s="241"/>
      <c r="L69" s="241"/>
      <c r="M69" s="241"/>
      <c r="N69" s="241"/>
      <c r="O69" s="241"/>
      <c r="P69" s="238">
        <f t="shared" si="28"/>
        <v>0</v>
      </c>
      <c r="Q69" s="151"/>
      <c r="R69" s="227"/>
      <c r="S69" s="227"/>
      <c r="T69" s="227"/>
      <c r="U69" s="227"/>
      <c r="V69" s="151"/>
      <c r="W69" s="151"/>
      <c r="X69" s="221"/>
      <c r="Y69" s="221"/>
      <c r="Z69" s="221"/>
      <c r="AA69" s="221"/>
      <c r="AB69" s="221"/>
      <c r="AC69" s="221"/>
      <c r="AD69" s="221"/>
      <c r="AE69" s="151"/>
      <c r="AF69" s="151"/>
      <c r="AG69" s="151"/>
      <c r="AH69" s="151"/>
    </row>
    <row r="70" spans="1:39" x14ac:dyDescent="0.25">
      <c r="A70" s="137" t="s">
        <v>110</v>
      </c>
      <c r="B70" s="183" t="s">
        <v>111</v>
      </c>
      <c r="C70" s="236" t="s">
        <v>20</v>
      </c>
      <c r="D70" s="8">
        <v>42767</v>
      </c>
      <c r="E70" s="237">
        <f>Feb_Period_1_Tbl[[#Totals],['# PTO USED]]+    Feb_Period_2_Tbl[[#Totals],['# PTO USED]]</f>
        <v>0</v>
      </c>
      <c r="F70" s="242">
        <f>Feb_Period_1_Tbl[[#Totals],['# HRS WORKED]]+    Feb_Period_2_Tbl[[#Totals],['# HRS WORKED]]</f>
        <v>32</v>
      </c>
      <c r="G70" s="241">
        <f>Feb_Period_1_Tbl[[#Totals],[$ Hourly WAGES]]+    Feb_Period_2_Tbl[[#Totals],[$ Hourly WAGES]]</f>
        <v>320</v>
      </c>
      <c r="H70" s="241">
        <f>Feb_Period_1_Tbl[[#Totals],[$ SALARY]]+    Feb_Period_2_Tbl[[#Totals],[$ SALARY]]</f>
        <v>4200</v>
      </c>
      <c r="I70" s="241">
        <f>Feb_Period_1_Tbl[[#Totals],[$ SALARY PT]]+    Feb_Period_2_Tbl[[#Totals],[$ SALARY PT]]</f>
        <v>0</v>
      </c>
      <c r="J70" s="241">
        <f>Feb_Period_1_Tbl[[#Totals],[$ FREE PT]]+    Feb_Period_2_Tbl[[#Totals],[$ FREE PT]]</f>
        <v>519.64</v>
      </c>
      <c r="K70" s="241">
        <f>Feb_Period_1_Tbl[[#Totals],[$ PAID PT]]+    Feb_Period_2_Tbl[[#Totals],[$ PAID PT]]</f>
        <v>3634.0499999999997</v>
      </c>
      <c r="L70" s="241">
        <f>Feb_Period_1_Tbl[[#Totals],[$ PT COMM]]+    Feb_Period_2_Tbl[[#Totals],[$ PT COMM]]</f>
        <v>707.74</v>
      </c>
      <c r="M70" s="241">
        <f>Feb_Period_1_Tbl[[#Totals],[$ EFT COMM]]+    Feb_Period_2_Tbl[[#Totals],[$ EFT COMM]]</f>
        <v>812.71</v>
      </c>
      <c r="N70" s="241">
        <f>Feb_Period_1_Tbl[[#Totals],[$ CLASS PAY]]+    Feb_Period_2_Tbl[[#Totals],[$ CLASS PAY]]</f>
        <v>390</v>
      </c>
      <c r="O70" s="241">
        <f>Feb_Period_1_Tbl[[#Totals],[$ BONUS PAY]]+    Feb_Period_2_Tbl[[#Totals],[$ BONUS PAY]]</f>
        <v>300</v>
      </c>
      <c r="P70" s="238">
        <f t="shared" si="28"/>
        <v>10884.14</v>
      </c>
      <c r="Q70" s="151"/>
      <c r="R70" s="222">
        <f>Feb_Period_1_Tbl[[#Totals],['# POINTS EARNED]]+Feb_Period_2_Tbl[[#Totals],['# POINTS EARNED]]</f>
        <v>0</v>
      </c>
      <c r="S70" s="223">
        <f>Feb_Period_1_Tbl[[#Totals],['# POINTS USED]]+Feb_Period_2_Tbl[[#Totals],['# POINTS USED]]</f>
        <v>0</v>
      </c>
      <c r="T70" s="223">
        <f>Feb_Period_1_Tbl[[#Totals],['# CLASSES LEAD]]+Feb_Period_2_Tbl[[#Totals],['# CLASSES LEAD]]</f>
        <v>0</v>
      </c>
      <c r="U70" s="223">
        <f>Feb_Period_1_Tbl[[#Totals],['# CLASSES SHOW]]+Feb_Period_2_Tbl[[#Totals],['# CLASSES SHOW]]</f>
        <v>0</v>
      </c>
      <c r="V70" s="156"/>
      <c r="W70" s="156"/>
      <c r="X70" s="225">
        <f t="shared" ref="X70" si="29">IF(OR(G70="",G70=0),H70,G70+H70)</f>
        <v>4520</v>
      </c>
      <c r="Y70" s="225">
        <f t="shared" ref="Y70" si="30">J70+K70</f>
        <v>4153.6899999999996</v>
      </c>
      <c r="Z70" s="225">
        <f t="shared" ref="Z70" si="31">N70</f>
        <v>390</v>
      </c>
      <c r="AA70" s="225">
        <f t="shared" ref="AA70" si="32">M70</f>
        <v>812.71</v>
      </c>
      <c r="AB70" s="225">
        <f t="shared" ref="AB70" si="33">L70</f>
        <v>707.74</v>
      </c>
      <c r="AC70" s="225">
        <f t="shared" ref="AC70" si="34">O70</f>
        <v>300</v>
      </c>
      <c r="AD70" s="225">
        <f t="shared" ref="AD70" si="35">P70</f>
        <v>10884.14</v>
      </c>
      <c r="AE70" s="151"/>
      <c r="AF70" s="151"/>
      <c r="AG70" s="151"/>
      <c r="AH70" s="151"/>
    </row>
    <row r="71" spans="1:39" x14ac:dyDescent="0.25">
      <c r="A71" s="15"/>
      <c r="B71" s="184"/>
      <c r="C71" s="236"/>
      <c r="D71" s="8">
        <v>42781</v>
      </c>
      <c r="E71" s="237"/>
      <c r="F71" s="242"/>
      <c r="G71" s="241"/>
      <c r="H71" s="241"/>
      <c r="I71" s="241"/>
      <c r="J71" s="241"/>
      <c r="K71" s="241"/>
      <c r="L71" s="241"/>
      <c r="M71" s="241"/>
      <c r="N71" s="241"/>
      <c r="O71" s="241"/>
      <c r="P71" s="238">
        <f t="shared" si="28"/>
        <v>0</v>
      </c>
      <c r="Q71" s="151"/>
      <c r="R71" s="222"/>
      <c r="S71" s="228"/>
      <c r="T71" s="228"/>
      <c r="U71" s="228"/>
      <c r="V71" s="151"/>
      <c r="W71" s="151"/>
      <c r="X71" s="229"/>
      <c r="Y71" s="229"/>
      <c r="Z71" s="229"/>
      <c r="AA71" s="229"/>
      <c r="AB71" s="229"/>
      <c r="AC71" s="229"/>
      <c r="AD71" s="229"/>
      <c r="AE71" s="151"/>
      <c r="AF71" s="151"/>
      <c r="AG71" s="151"/>
      <c r="AH71" s="151"/>
    </row>
    <row r="72" spans="1:39" x14ac:dyDescent="0.25">
      <c r="A72" s="181" t="s">
        <v>40</v>
      </c>
      <c r="B72" s="184" t="s">
        <v>53</v>
      </c>
      <c r="C72" s="236" t="s">
        <v>21</v>
      </c>
      <c r="D72" s="8">
        <v>42795</v>
      </c>
      <c r="E72" s="237">
        <f>Mar_Period_1_Tbl[[#Totals],['# PTO USED]]+    Mar_Period_2_Tbl[[#Totals],['# PTO USED]]</f>
        <v>0</v>
      </c>
      <c r="F72" s="242">
        <f>Mar_Period_1_Tbl[[#Totals],['# HRS WORKED]]+    Mar_Period_2_Tbl[[#Totals],['# HRS WORKED]]</f>
        <v>0</v>
      </c>
      <c r="G72" s="241">
        <f>Mar_Period_1_Tbl[[#Totals],[$ Hourly WAGES]]+    Mar_Period_2_Tbl[[#Totals],[$ Hourly WAGES]]</f>
        <v>0</v>
      </c>
      <c r="H72" s="241">
        <f>Mar_Period_1_Tbl[[#Totals],[$ SALARY]]+    Mar_Period_2_Tbl[[#Totals],[$ SALARY]]</f>
        <v>0</v>
      </c>
      <c r="I72" s="241">
        <f>Mar_Period_1_Tbl[[#Totals],[$ SALARY PT]]+    Mar_Period_2_Tbl[[#Totals],[$ SALARY PT]]</f>
        <v>0</v>
      </c>
      <c r="J72" s="241">
        <f>Mar_Period_1_Tbl[[#Totals],[$ FREE PT]]+    Mar_Period_2_Tbl[[#Totals],[$ FREE PT]]</f>
        <v>0</v>
      </c>
      <c r="K72" s="241">
        <f>Mar_Period_1_Tbl[[#Totals],[$ PAID PT]]+    Mar_Period_2_Tbl[[#Totals],[$ PAID PT]]</f>
        <v>0</v>
      </c>
      <c r="L72" s="241">
        <f>Mar_Period_1_Tbl[[#Totals],[$ PT COMM]]+    Mar_Period_2_Tbl[[#Totals],[$ PT COMM]]</f>
        <v>0</v>
      </c>
      <c r="M72" s="241">
        <f>Mar_Period_1_Tbl[[#Totals],[$ EFT COMM]]+    Mar_Period_2_Tbl[[#Totals],[$ EFT COMM]]</f>
        <v>0</v>
      </c>
      <c r="N72" s="241">
        <f>Mar_Period_1_Tbl[[#Totals],[$ CLASS PAY]]+    Mar_Period_2_Tbl[[#Totals],[$ CLASS PAY]]</f>
        <v>0</v>
      </c>
      <c r="O72" s="241">
        <f>Mar_Period_1_Tbl[[#Totals],[$ BONUS PAY]]+    Mar_Period_2_Tbl[[#Totals],[$ BONUS PAY]]</f>
        <v>0</v>
      </c>
      <c r="P72" s="238">
        <f t="shared" si="28"/>
        <v>0</v>
      </c>
      <c r="Q72" s="151"/>
      <c r="R72" s="227">
        <f>Mar_Period_1_Tbl[[#Totals],['# POINTS EARNED]]+Mar_Period_2_Tbl[[#Totals],['# POINTS EARNED]]</f>
        <v>0</v>
      </c>
      <c r="S72" s="227">
        <f>Mar_Period_1_Tbl[[#Totals],['# POINTS USED]]+Mar_Period_2_Tbl[[#Totals],['# POINTS USED]]</f>
        <v>0</v>
      </c>
      <c r="T72" s="227">
        <f>Mar_Period_1_Tbl[[#Totals],['# CLASSES LEAD]]+Mar_Period_2_Tbl[[#Totals],['# CLASSES LEAD]]</f>
        <v>0</v>
      </c>
      <c r="U72" s="227">
        <f>Mar_Period_1_Tbl[[#Totals],['# CLASSES SHOW]]+Mar_Period_2_Tbl[[#Totals],['# CLASSES SHOW]]</f>
        <v>0</v>
      </c>
      <c r="V72" s="156"/>
      <c r="W72" s="156"/>
      <c r="X72" s="221">
        <f>IF(OR(G72="",G72=0),H72,G72+H72)</f>
        <v>0</v>
      </c>
      <c r="Y72" s="221">
        <f>J72+K72</f>
        <v>0</v>
      </c>
      <c r="Z72" s="221">
        <f>N72</f>
        <v>0</v>
      </c>
      <c r="AA72" s="221">
        <f>M72</f>
        <v>0</v>
      </c>
      <c r="AB72" s="221">
        <f>L72</f>
        <v>0</v>
      </c>
      <c r="AC72" s="221">
        <f>O72</f>
        <v>0</v>
      </c>
      <c r="AD72" s="221">
        <f>P72</f>
        <v>0</v>
      </c>
      <c r="AE72" s="151"/>
      <c r="AF72" s="151"/>
      <c r="AG72" s="151"/>
      <c r="AH72" s="151"/>
    </row>
    <row r="73" spans="1:39" x14ac:dyDescent="0.25">
      <c r="A73" s="15"/>
      <c r="B73" s="16"/>
      <c r="C73" s="236"/>
      <c r="D73" s="8">
        <v>42809</v>
      </c>
      <c r="E73" s="237"/>
      <c r="F73" s="242"/>
      <c r="G73" s="241"/>
      <c r="H73" s="241"/>
      <c r="I73" s="241"/>
      <c r="J73" s="241"/>
      <c r="K73" s="241"/>
      <c r="L73" s="241"/>
      <c r="M73" s="241"/>
      <c r="N73" s="241"/>
      <c r="O73" s="241"/>
      <c r="P73" s="238">
        <f t="shared" si="28"/>
        <v>0</v>
      </c>
      <c r="Q73" s="151"/>
      <c r="R73" s="227"/>
      <c r="S73" s="227"/>
      <c r="T73" s="227"/>
      <c r="U73" s="227"/>
      <c r="V73" s="151"/>
      <c r="W73" s="151"/>
      <c r="X73" s="221"/>
      <c r="Y73" s="221"/>
      <c r="Z73" s="221"/>
      <c r="AA73" s="221"/>
      <c r="AB73" s="221"/>
      <c r="AC73" s="221"/>
      <c r="AD73" s="221"/>
      <c r="AE73" s="151"/>
      <c r="AF73" s="151"/>
      <c r="AG73" s="151"/>
      <c r="AH73" s="151"/>
    </row>
    <row r="74" spans="1:39" x14ac:dyDescent="0.25">
      <c r="A74" s="181" t="s">
        <v>39</v>
      </c>
      <c r="B74" s="16"/>
      <c r="C74" s="236" t="s">
        <v>22</v>
      </c>
      <c r="D74" s="8">
        <v>42826</v>
      </c>
      <c r="E74" s="237">
        <f>Mar_Period_1_Tbl[[#Totals],['# PTO USED]]+    Mar_Period_2_Tbl[[#Totals],['# PTO USED]]</f>
        <v>0</v>
      </c>
      <c r="F74" s="242">
        <f>Mar_Period_1_Tbl[[#Totals],['# HRS WORKED]]+    Mar_Period_2_Tbl[[#Totals],['# HRS WORKED]]</f>
        <v>0</v>
      </c>
      <c r="G74" s="241">
        <f>Mar_Period_1_Tbl[[#Totals],[$ Hourly WAGES]]+    Mar_Period_2_Tbl[[#Totals],[$ Hourly WAGES]]</f>
        <v>0</v>
      </c>
      <c r="H74" s="241">
        <f>Mar_Period_1_Tbl[[#Totals],[$ SALARY]]+    Mar_Period_2_Tbl[[#Totals],[$ SALARY]]</f>
        <v>0</v>
      </c>
      <c r="I74" s="241">
        <f>Mar_Period_1_Tbl[[#Totals],[$ SALARY PT]]+    Mar_Period_2_Tbl[[#Totals],[$ SALARY PT]]</f>
        <v>0</v>
      </c>
      <c r="J74" s="241">
        <f>Mar_Period_1_Tbl[[#Totals],[$ FREE PT]]+    Mar_Period_2_Tbl[[#Totals],[$ FREE PT]]</f>
        <v>0</v>
      </c>
      <c r="K74" s="241">
        <f>Mar_Period_1_Tbl[[#Totals],[$ PAID PT]]+    Mar_Period_2_Tbl[[#Totals],[$ PAID PT]]</f>
        <v>0</v>
      </c>
      <c r="L74" s="241">
        <f>Mar_Period_1_Tbl[[#Totals],[$ PT COMM]]+    Mar_Period_2_Tbl[[#Totals],[$ PT COMM]]</f>
        <v>0</v>
      </c>
      <c r="M74" s="241">
        <f>Mar_Period_1_Tbl[[#Totals],[$ EFT COMM]]+    Mar_Period_2_Tbl[[#Totals],[$ EFT COMM]]</f>
        <v>0</v>
      </c>
      <c r="N74" s="241">
        <f>Mar_Period_1_Tbl[[#Totals],[$ CLASS PAY]]+    Mar_Period_2_Tbl[[#Totals],[$ CLASS PAY]]</f>
        <v>0</v>
      </c>
      <c r="O74" s="241">
        <f>Mar_Period_1_Tbl[[#Totals],[$ BONUS PAY]]+    Mar_Period_2_Tbl[[#Totals],[$ BONUS PAY]]</f>
        <v>0</v>
      </c>
      <c r="P74" s="238">
        <f t="shared" si="28"/>
        <v>0</v>
      </c>
      <c r="Q74" s="151"/>
      <c r="R74" s="222">
        <f>Apr_Period_1_Tbl[[#Totals],['# POINTS EARNED]]+Apr_Period_2_Tbl[[#Totals],['# POINTS EARNED]]</f>
        <v>0</v>
      </c>
      <c r="S74" s="223">
        <f>Apr_Period_1_Tbl[[#Totals],['# POINTS USED]]+Apr_Period_2_Tbl[[#Totals],['# POINTS USED]]</f>
        <v>0</v>
      </c>
      <c r="T74" s="223">
        <f>Apr_Period_1_Tbl[[#Totals],['# CLASSES LEAD]]+Apr_Period_2_Tbl[[#Totals],['# CLASSES LEAD]]</f>
        <v>0</v>
      </c>
      <c r="U74" s="223">
        <f>Apr_Period_1_Tbl[[#Totals],['# CLASSES SHOW]]+Apr_Period_2_Tbl[[#Totals],['# CLASSES SHOW]]</f>
        <v>0</v>
      </c>
      <c r="V74" s="156"/>
      <c r="W74" s="156"/>
      <c r="X74" s="225">
        <f t="shared" ref="X74" si="36">IF(OR(G74="",G74=0),H74,G74+H74)</f>
        <v>0</v>
      </c>
      <c r="Y74" s="225">
        <f t="shared" ref="Y74" si="37">J74+K74</f>
        <v>0</v>
      </c>
      <c r="Z74" s="225">
        <f t="shared" ref="Z74" si="38">N74</f>
        <v>0</v>
      </c>
      <c r="AA74" s="225">
        <f t="shared" ref="AA74" si="39">M74</f>
        <v>0</v>
      </c>
      <c r="AB74" s="225">
        <f t="shared" ref="AB74" si="40">L74</f>
        <v>0</v>
      </c>
      <c r="AC74" s="225">
        <f t="shared" ref="AC74" si="41">O74</f>
        <v>0</v>
      </c>
      <c r="AD74" s="225">
        <f t="shared" ref="AD74" si="42">P74</f>
        <v>0</v>
      </c>
      <c r="AE74" s="151"/>
      <c r="AF74" s="151"/>
      <c r="AG74" s="151"/>
      <c r="AH74" s="151"/>
    </row>
    <row r="75" spans="1:39" x14ac:dyDescent="0.25">
      <c r="A75" s="181" t="s">
        <v>52</v>
      </c>
      <c r="B75" s="16"/>
      <c r="C75" s="236"/>
      <c r="D75" s="8">
        <v>42840</v>
      </c>
      <c r="E75" s="237"/>
      <c r="F75" s="242"/>
      <c r="G75" s="241"/>
      <c r="H75" s="241"/>
      <c r="I75" s="241"/>
      <c r="J75" s="241"/>
      <c r="K75" s="241"/>
      <c r="L75" s="241"/>
      <c r="M75" s="241"/>
      <c r="N75" s="241"/>
      <c r="O75" s="241"/>
      <c r="P75" s="238">
        <f t="shared" si="28"/>
        <v>0</v>
      </c>
      <c r="Q75" s="151"/>
      <c r="R75" s="222"/>
      <c r="S75" s="228"/>
      <c r="T75" s="228"/>
      <c r="U75" s="228"/>
      <c r="V75" s="151"/>
      <c r="W75" s="151"/>
      <c r="X75" s="229"/>
      <c r="Y75" s="229"/>
      <c r="Z75" s="229"/>
      <c r="AA75" s="229"/>
      <c r="AB75" s="229"/>
      <c r="AC75" s="229"/>
      <c r="AD75" s="229"/>
      <c r="AE75" s="151"/>
      <c r="AF75" s="151"/>
      <c r="AG75" s="151"/>
      <c r="AH75" s="151"/>
    </row>
    <row r="76" spans="1:39" x14ac:dyDescent="0.25">
      <c r="A76" s="182" t="s">
        <v>38</v>
      </c>
      <c r="B76" s="16"/>
      <c r="C76" s="236" t="s">
        <v>23</v>
      </c>
      <c r="D76" s="8">
        <v>42856</v>
      </c>
      <c r="E76" s="237">
        <f>May_Period_1_Tbl[[#Totals],['# PTO USED]]+    May_Period_2_Tbl[[#Totals],['# PTO USED]]</f>
        <v>0</v>
      </c>
      <c r="F76" s="242">
        <f>May_Period_1_Tbl[[#Totals],['# HRS WORKED]]+    May_Period_2_Tbl[[#Totals],['# HRS WORKED]]</f>
        <v>0</v>
      </c>
      <c r="G76" s="241">
        <f>May_Period_1_Tbl[[#Totals],[$ Hourly WAGES]]+    May_Period_2_Tbl[[#Totals],[$ Hourly WAGES]]</f>
        <v>0</v>
      </c>
      <c r="H76" s="241">
        <f>May_Period_1_Tbl[[#Totals],[$ SALARY]]+    May_Period_2_Tbl[[#Totals],[$ SALARY]]</f>
        <v>0</v>
      </c>
      <c r="I76" s="241">
        <f>May_Period_1_Tbl[[#Totals],[$ SALARY PT]]+    May_Period_2_Tbl[[#Totals],[$ SALARY PT]]</f>
        <v>0</v>
      </c>
      <c r="J76" s="241">
        <f>May_Period_1_Tbl[[#Totals],[$ FREE PT]]+    May_Period_2_Tbl[[#Totals],[$ FREE PT]]</f>
        <v>0</v>
      </c>
      <c r="K76" s="241">
        <f>May_Period_1_Tbl[[#Totals],[$ PAID PT]]+    May_Period_2_Tbl[[#Totals],[$ PAID PT]]</f>
        <v>0</v>
      </c>
      <c r="L76" s="241">
        <f>May_Period_1_Tbl[[#Totals],[$ PT COMM]]+    May_Period_2_Tbl[[#Totals],[$ PT COMM]]</f>
        <v>0</v>
      </c>
      <c r="M76" s="241">
        <f>May_Period_1_Tbl[[#Totals],[$ EFT COMM]]+    May_Period_2_Tbl[[#Totals],[$ EFT COMM]]</f>
        <v>0</v>
      </c>
      <c r="N76" s="241">
        <f>May_Period_1_Tbl[[#Totals],[$ CLASS PAY]]+    May_Period_2_Tbl[[#Totals],[$ CLASS PAY]]</f>
        <v>0</v>
      </c>
      <c r="O76" s="241">
        <f>May_Period_1_Tbl[[#Totals],[$ BONUS PAY]]+    May_Period_2_Tbl[[#Totals],[$ BONUS PAY]]</f>
        <v>0</v>
      </c>
      <c r="P76" s="238">
        <f t="shared" si="28"/>
        <v>0</v>
      </c>
      <c r="Q76" s="151"/>
      <c r="R76" s="227">
        <f>May_Period_1_Tbl[[#Totals],['# POINTS EARNED]]+May_Period_2_Tbl[[#Totals],['# POINTS EARNED]]</f>
        <v>0</v>
      </c>
      <c r="S76" s="227">
        <f>May_Period_1_Tbl[[#Totals],['# POINTS USED]]+May_Period_2_Tbl[[#Totals],['# POINTS USED]]</f>
        <v>0</v>
      </c>
      <c r="T76" s="227">
        <f>May_Period_1_Tbl[[#Totals],['# CLASSES LEAD]]+May_Period_2_Tbl[[#Totals],['# CLASSES LEAD]]</f>
        <v>0</v>
      </c>
      <c r="U76" s="227">
        <f>May_Period_1_Tbl[[#Totals],['# CLASSES SHOW]]+May_Period_2_Tbl[[#Totals],['# CLASSES SHOW]]</f>
        <v>0</v>
      </c>
      <c r="V76" s="156"/>
      <c r="W76" s="156"/>
      <c r="X76" s="221">
        <f>IF(OR(G76="",G76=0),H76,G76+H76)</f>
        <v>0</v>
      </c>
      <c r="Y76" s="221">
        <f>J76+K76</f>
        <v>0</v>
      </c>
      <c r="Z76" s="221">
        <f>N76</f>
        <v>0</v>
      </c>
      <c r="AA76" s="221">
        <f>M76</f>
        <v>0</v>
      </c>
      <c r="AB76" s="221">
        <f>L76</f>
        <v>0</v>
      </c>
      <c r="AC76" s="221">
        <f>O76</f>
        <v>0</v>
      </c>
      <c r="AD76" s="221">
        <f>P76</f>
        <v>0</v>
      </c>
      <c r="AE76" s="151"/>
      <c r="AF76" s="151"/>
      <c r="AG76" s="151"/>
      <c r="AH76" s="151"/>
    </row>
    <row r="77" spans="1:39" x14ac:dyDescent="0.25">
      <c r="A77" s="15"/>
      <c r="B77" s="16"/>
      <c r="C77" s="236"/>
      <c r="D77" s="8">
        <v>42870</v>
      </c>
      <c r="E77" s="237"/>
      <c r="F77" s="242"/>
      <c r="G77" s="241"/>
      <c r="H77" s="241"/>
      <c r="I77" s="241"/>
      <c r="J77" s="241"/>
      <c r="K77" s="241"/>
      <c r="L77" s="241"/>
      <c r="M77" s="241"/>
      <c r="N77" s="241"/>
      <c r="O77" s="241"/>
      <c r="P77" s="238">
        <f t="shared" si="28"/>
        <v>0</v>
      </c>
      <c r="Q77" s="151"/>
      <c r="R77" s="227"/>
      <c r="S77" s="227"/>
      <c r="T77" s="227"/>
      <c r="U77" s="227"/>
      <c r="V77" s="151"/>
      <c r="W77" s="151"/>
      <c r="X77" s="221"/>
      <c r="Y77" s="221"/>
      <c r="Z77" s="221"/>
      <c r="AA77" s="221"/>
      <c r="AB77" s="221"/>
      <c r="AC77" s="221"/>
      <c r="AD77" s="221"/>
      <c r="AE77" s="151"/>
      <c r="AF77" s="151"/>
      <c r="AG77" s="151"/>
      <c r="AH77" s="151"/>
    </row>
    <row r="78" spans="1:39" x14ac:dyDescent="0.25">
      <c r="A78" s="181" t="s">
        <v>51</v>
      </c>
      <c r="B78" s="16"/>
      <c r="C78" s="236" t="s">
        <v>24</v>
      </c>
      <c r="D78" s="8">
        <v>42887</v>
      </c>
      <c r="E78" s="237">
        <f>Jun_Period_1_Tbl[[#Totals],['# PTO USED]]+    Jun_Period_2_Tbl[[#Totals],['# PTO USED]]</f>
        <v>0</v>
      </c>
      <c r="F78" s="242">
        <f>Jun_Period_1_Tbl[[#Totals],['# HRS WORKED]]+    Jun_Period_2_Tbl[[#Totals],['# HRS WORKED]]</f>
        <v>0</v>
      </c>
      <c r="G78" s="241">
        <f>Jun_Period_1_Tbl[[#Totals],[$ Hourly WAGES]]+    Jun_Period_2_Tbl[[#Totals],[$ Hourly WAGES]]</f>
        <v>0</v>
      </c>
      <c r="H78" s="241">
        <f>Jun_Period_1_Tbl[[#Totals],[$ SALARY]]+    Jun_Period_2_Tbl[[#Totals],[$ SALARY]]</f>
        <v>0</v>
      </c>
      <c r="I78" s="241">
        <f>Jun_Period_1_Tbl[[#Totals],[$ SALARY PT]]+    Jun_Period_2_Tbl[[#Totals],[$ SALARY PT]]</f>
        <v>0</v>
      </c>
      <c r="J78" s="241">
        <f>Jun_Period_1_Tbl[[#Totals],[$ FREE PT]]+    Jun_Period_2_Tbl[[#Totals],[$ FREE PT]]</f>
        <v>0</v>
      </c>
      <c r="K78" s="241">
        <f>Jun_Period_1_Tbl[[#Totals],[$ PAID PT]]+    Jun_Period_2_Tbl[[#Totals],[$ PAID PT]]</f>
        <v>0</v>
      </c>
      <c r="L78" s="241">
        <f>Jun_Period_1_Tbl[[#Totals],[$ PT COMM]]+    Jun_Period_2_Tbl[[#Totals],[$ PT COMM]]</f>
        <v>0</v>
      </c>
      <c r="M78" s="241">
        <f>Jun_Period_1_Tbl[[#Totals],[$ EFT COMM]]+    Jun_Period_2_Tbl[[#Totals],[$ EFT COMM]]</f>
        <v>0</v>
      </c>
      <c r="N78" s="241">
        <f>Jun_Period_1_Tbl[[#Totals],[$ CLASS PAY]]+    Jun_Period_2_Tbl[[#Totals],[$ CLASS PAY]]</f>
        <v>0</v>
      </c>
      <c r="O78" s="241">
        <f>Jun_Period_1_Tbl[[#Totals],[$ BONUS PAY]]+    Jun_Period_2_Tbl[[#Totals],[$ BONUS PAY]]</f>
        <v>0</v>
      </c>
      <c r="P78" s="238">
        <f t="shared" si="28"/>
        <v>0</v>
      </c>
      <c r="Q78" s="151"/>
      <c r="R78" s="222">
        <f>Jun_Period_1_Tbl[[#Totals],['# POINTS EARNED]]+Jun_Period_2_Tbl[[#Totals],['# POINTS EARNED]]</f>
        <v>0</v>
      </c>
      <c r="S78" s="223">
        <f>Jun_Period_1_Tbl[[#Totals],['# POINTS USED]]+Jun_Period_2_Tbl[[#Totals],['# POINTS USED]]</f>
        <v>0</v>
      </c>
      <c r="T78" s="223">
        <f>Jun_Period_1_Tbl[[#Totals],['# CLASSES LEAD]]+Jun_Period_2_Tbl[[#Totals],['# CLASSES LEAD]]</f>
        <v>0</v>
      </c>
      <c r="U78" s="223">
        <f>Jun_Period_1_Tbl[[#Totals],['# CLASSES SHOW]]+Jun_Period_2_Tbl[[#Totals],['# CLASSES SHOW]]</f>
        <v>0</v>
      </c>
      <c r="V78" s="156"/>
      <c r="W78" s="156"/>
      <c r="X78" s="225">
        <f t="shared" ref="X78" si="43">IF(OR(G78="",G78=0),H78,G78+H78)</f>
        <v>0</v>
      </c>
      <c r="Y78" s="225">
        <f t="shared" ref="Y78" si="44">J78+K78</f>
        <v>0</v>
      </c>
      <c r="Z78" s="225">
        <f t="shared" ref="Z78" si="45">N78</f>
        <v>0</v>
      </c>
      <c r="AA78" s="225">
        <f t="shared" ref="AA78" si="46">M78</f>
        <v>0</v>
      </c>
      <c r="AB78" s="225">
        <f t="shared" ref="AB78" si="47">L78</f>
        <v>0</v>
      </c>
      <c r="AC78" s="225">
        <f t="shared" ref="AC78" si="48">O78</f>
        <v>0</v>
      </c>
      <c r="AD78" s="225">
        <f t="shared" ref="AD78" si="49">P78</f>
        <v>0</v>
      </c>
      <c r="AE78" s="151"/>
      <c r="AF78" s="151"/>
      <c r="AG78" s="151"/>
      <c r="AH78" s="151"/>
    </row>
    <row r="79" spans="1:39" x14ac:dyDescent="0.25">
      <c r="A79" s="15"/>
      <c r="B79" s="16"/>
      <c r="C79" s="236"/>
      <c r="D79" s="8">
        <v>42901</v>
      </c>
      <c r="E79" s="237"/>
      <c r="F79" s="242"/>
      <c r="G79" s="241"/>
      <c r="H79" s="241"/>
      <c r="I79" s="241"/>
      <c r="J79" s="241"/>
      <c r="K79" s="241"/>
      <c r="L79" s="241"/>
      <c r="M79" s="241"/>
      <c r="N79" s="241"/>
      <c r="O79" s="241"/>
      <c r="P79" s="238">
        <f t="shared" si="28"/>
        <v>0</v>
      </c>
      <c r="Q79" s="151"/>
      <c r="R79" s="222"/>
      <c r="S79" s="228"/>
      <c r="T79" s="228"/>
      <c r="U79" s="228"/>
      <c r="V79" s="151"/>
      <c r="W79" s="151"/>
      <c r="X79" s="229"/>
      <c r="Y79" s="229"/>
      <c r="Z79" s="229"/>
      <c r="AA79" s="229"/>
      <c r="AB79" s="229"/>
      <c r="AC79" s="229"/>
      <c r="AD79" s="229"/>
      <c r="AE79" s="151"/>
      <c r="AF79" s="151"/>
      <c r="AG79" s="151"/>
      <c r="AH79" s="151"/>
    </row>
    <row r="80" spans="1:39" x14ac:dyDescent="0.25">
      <c r="A80" s="181" t="s">
        <v>50</v>
      </c>
      <c r="B80" s="16"/>
      <c r="C80" s="236" t="s">
        <v>25</v>
      </c>
      <c r="D80" s="8">
        <v>42917</v>
      </c>
      <c r="E80" s="237">
        <f>Jul_Period_1_Tbl[[#Totals],['# PTO USED]]+    Jul_Period_2_Tbl[[#Totals],['# PTO USED]]</f>
        <v>0</v>
      </c>
      <c r="F80" s="242">
        <f>Jul_Period_1_Tbl[[#Totals],['# HRS WORKED]]+    Jul_Period_2_Tbl[[#Totals],['# HRS WORKED]]</f>
        <v>0</v>
      </c>
      <c r="G80" s="241">
        <f>Jul_Period_1_Tbl[[#Totals],[$ Hourly WAGES]]+    Jul_Period_2_Tbl[[#Totals],[$ Hourly WAGES]]</f>
        <v>0</v>
      </c>
      <c r="H80" s="241">
        <f>Jul_Period_1_Tbl[[#Totals],[$ SALARY]]+    Jul_Period_2_Tbl[[#Totals],[$ SALARY]]</f>
        <v>0</v>
      </c>
      <c r="I80" s="241">
        <f>Jul_Period_1_Tbl[[#Totals],[$ SALARY PT]]+    Jul_Period_2_Tbl[[#Totals],[$ SALARY PT]]</f>
        <v>0</v>
      </c>
      <c r="J80" s="241">
        <f>Jul_Period_1_Tbl[[#Totals],[$ FREE PT]]+    Jul_Period_2_Tbl[[#Totals],[$ FREE PT]]</f>
        <v>0</v>
      </c>
      <c r="K80" s="241">
        <f>Jul_Period_1_Tbl[[#Totals],[$ PAID PT]]+    Jul_Period_2_Tbl[[#Totals],[$ PAID PT]]</f>
        <v>0</v>
      </c>
      <c r="L80" s="241">
        <f>Jul_Period_1_Tbl[[#Totals],[$ PT COMM]]+    Jul_Period_2_Tbl[[#Totals],[$ PT COMM]]</f>
        <v>0</v>
      </c>
      <c r="M80" s="241">
        <f>Jul_Period_1_Tbl[[#Totals],[$ EFT COMM]]+    Jul_Period_2_Tbl[[#Totals],[$ EFT COMM]]</f>
        <v>0</v>
      </c>
      <c r="N80" s="241">
        <f>Jul_Period_1_Tbl[[#Totals],[$ CLASS PAY]]+    Jul_Period_2_Tbl[[#Totals],[$ CLASS PAY]]</f>
        <v>0</v>
      </c>
      <c r="O80" s="241">
        <f>Jul_Period_1_Tbl[[#Totals],[$ BONUS PAY]]+    Jul_Period_2_Tbl[[#Totals],[$ BONUS PAY]]</f>
        <v>0</v>
      </c>
      <c r="P80" s="238">
        <f t="shared" si="28"/>
        <v>0</v>
      </c>
      <c r="Q80" s="151"/>
      <c r="R80" s="227">
        <f>Jul_Period_1_Tbl[[#Totals],['# POINTS EARNED]]+Jul_Period_2_Tbl[[#Totals],['# POINTS EARNED]]</f>
        <v>0</v>
      </c>
      <c r="S80" s="227">
        <f>Jul_Period_1_Tbl[[#Totals],['# POINTS USED]]+Jul_Period_2_Tbl[[#Totals],['# POINTS USED]]</f>
        <v>0</v>
      </c>
      <c r="T80" s="227">
        <f>Jul_Period_1_Tbl[[#Totals],['# CLASSES LEAD]]+Jul_Period_2_Tbl[[#Totals],['# CLASSES LEAD]]</f>
        <v>0</v>
      </c>
      <c r="U80" s="227">
        <f>Jul_Period_1_Tbl[[#Totals],['# CLASSES SHOW]]+Jul_Period_2_Tbl[[#Totals],['# CLASSES SHOW]]</f>
        <v>0</v>
      </c>
      <c r="V80" s="156"/>
      <c r="W80" s="156"/>
      <c r="X80" s="221">
        <f>IF(OR(G80="",G80=0),H80,G80+H80)</f>
        <v>0</v>
      </c>
      <c r="Y80" s="221">
        <f>J80+K80</f>
        <v>0</v>
      </c>
      <c r="Z80" s="221">
        <f>N80</f>
        <v>0</v>
      </c>
      <c r="AA80" s="221">
        <f>M80</f>
        <v>0</v>
      </c>
      <c r="AB80" s="221">
        <f>L80</f>
        <v>0</v>
      </c>
      <c r="AC80" s="221">
        <f>O80</f>
        <v>0</v>
      </c>
      <c r="AD80" s="221">
        <f>P80</f>
        <v>0</v>
      </c>
      <c r="AE80" s="151"/>
      <c r="AF80" s="151"/>
      <c r="AG80" s="151"/>
      <c r="AH80" s="151"/>
    </row>
    <row r="81" spans="1:34" x14ac:dyDescent="0.25">
      <c r="A81" s="181" t="s">
        <v>41</v>
      </c>
      <c r="B81" s="16"/>
      <c r="C81" s="236"/>
      <c r="D81" s="8">
        <v>42931</v>
      </c>
      <c r="E81" s="237"/>
      <c r="F81" s="242"/>
      <c r="G81" s="241"/>
      <c r="H81" s="241"/>
      <c r="I81" s="241"/>
      <c r="J81" s="241"/>
      <c r="K81" s="241"/>
      <c r="L81" s="241"/>
      <c r="M81" s="241"/>
      <c r="N81" s="241"/>
      <c r="O81" s="241"/>
      <c r="P81" s="238">
        <f t="shared" si="28"/>
        <v>0</v>
      </c>
      <c r="Q81" s="151"/>
      <c r="R81" s="227"/>
      <c r="S81" s="227"/>
      <c r="T81" s="227"/>
      <c r="U81" s="227"/>
      <c r="V81" s="151"/>
      <c r="W81" s="151"/>
      <c r="X81" s="221"/>
      <c r="Y81" s="221"/>
      <c r="Z81" s="221"/>
      <c r="AA81" s="221"/>
      <c r="AB81" s="221"/>
      <c r="AC81" s="221"/>
      <c r="AD81" s="221"/>
      <c r="AE81" s="151"/>
      <c r="AF81" s="151"/>
      <c r="AG81" s="151"/>
      <c r="AH81" s="151"/>
    </row>
    <row r="82" spans="1:34" x14ac:dyDescent="0.25">
      <c r="A82" s="17"/>
      <c r="B82" s="16"/>
      <c r="C82" s="236" t="s">
        <v>26</v>
      </c>
      <c r="D82" s="8">
        <v>42948</v>
      </c>
      <c r="E82" s="237">
        <f>Aug_Period_1_Tbl[[#Totals],['# PTO USED]]+    Aug_Period_2_Tbl[[#Totals],['# PTO USED]]</f>
        <v>0</v>
      </c>
      <c r="F82" s="242">
        <f>Aug_Period_1_Tbl[[#Totals],['# HRS WORKED]]+    Aug_Period_2_Tbl[[#Totals],['# HRS WORKED]]</f>
        <v>0</v>
      </c>
      <c r="G82" s="241">
        <f>Aug_Period_1_Tbl[[#Totals],[$ Hourly WAGES]]+    Aug_Period_2_Tbl[[#Totals],[$ Hourly WAGES]]</f>
        <v>0</v>
      </c>
      <c r="H82" s="241">
        <f>Aug_Period_1_Tbl[[#Totals],[$ SALARY]]+    Aug_Period_2_Tbl[[#Totals],[$ SALARY]]</f>
        <v>0</v>
      </c>
      <c r="I82" s="241">
        <f>Aug_Period_1_Tbl[[#Totals],[$ SALARY PT]]+    Aug_Period_2_Tbl[[#Totals],[$ SALARY PT]]</f>
        <v>0</v>
      </c>
      <c r="J82" s="241">
        <f>Aug_Period_1_Tbl[[#Totals],[$ FREE PT]]+    Aug_Period_2_Tbl[[#Totals],[$ FREE PT]]</f>
        <v>0</v>
      </c>
      <c r="K82" s="241">
        <f>Aug_Period_1_Tbl[[#Totals],[$ PAID PT]]+    Aug_Period_2_Tbl[[#Totals],[$ PAID PT]]</f>
        <v>0</v>
      </c>
      <c r="L82" s="241">
        <f>Aug_Period_1_Tbl[[#Totals],[$ PT COMM]]+    Aug_Period_2_Tbl[[#Totals],[$ PT COMM]]</f>
        <v>0</v>
      </c>
      <c r="M82" s="241">
        <f>Aug_Period_1_Tbl[[#Totals],[$ EFT COMM]]+    Aug_Period_2_Tbl[[#Totals],[$ EFT COMM]]</f>
        <v>0</v>
      </c>
      <c r="N82" s="241">
        <f>Aug_Period_1_Tbl[[#Totals],[$ CLASS PAY]]+    Aug_Period_2_Tbl[[#Totals],[$ CLASS PAY]]</f>
        <v>0</v>
      </c>
      <c r="O82" s="241">
        <f>Aug_Period_1_Tbl[[#Totals],[$ BONUS PAY]]+    Aug_Period_2_Tbl[[#Totals],[$ BONUS PAY]]</f>
        <v>0</v>
      </c>
      <c r="P82" s="238">
        <f t="shared" si="28"/>
        <v>0</v>
      </c>
      <c r="Q82" s="151"/>
      <c r="R82" s="222">
        <f>Aug_Period_1_Tbl[[#Totals],['# POINTS EARNED]]+Aug_Period_2_Tbl[[#Totals],['# POINTS EARNED]]</f>
        <v>0</v>
      </c>
      <c r="S82" s="223">
        <f>Aug_Period_1_Tbl[[#Totals],['# POINTS USED]]+Aug_Period_2_Tbl[[#Totals],['# POINTS USED]]</f>
        <v>0</v>
      </c>
      <c r="T82" s="223">
        <f>Aug_Period_1_Tbl[[#Totals],['# CLASSES LEAD]]+Aug_Period_2_Tbl[[#Totals],['# CLASSES LEAD]]</f>
        <v>0</v>
      </c>
      <c r="U82" s="223">
        <f>Aug_Period_1_Tbl[[#Totals],['# CLASSES SHOW]]+Aug_Period_2_Tbl[[#Totals],['# CLASSES SHOW]]</f>
        <v>0</v>
      </c>
      <c r="V82" s="156"/>
      <c r="W82" s="156"/>
      <c r="X82" s="225">
        <f t="shared" ref="X82" si="50">IF(OR(G82="",G82=0),H82,G82+H82)</f>
        <v>0</v>
      </c>
      <c r="Y82" s="225">
        <f t="shared" ref="Y82" si="51">J82+K82</f>
        <v>0</v>
      </c>
      <c r="Z82" s="225">
        <f t="shared" ref="Z82" si="52">N82</f>
        <v>0</v>
      </c>
      <c r="AA82" s="225">
        <f t="shared" ref="AA82" si="53">M82</f>
        <v>0</v>
      </c>
      <c r="AB82" s="225">
        <f t="shared" ref="AB82" si="54">L82</f>
        <v>0</v>
      </c>
      <c r="AC82" s="225">
        <f t="shared" ref="AC82" si="55">O82</f>
        <v>0</v>
      </c>
      <c r="AD82" s="225">
        <f t="shared" ref="AD82" si="56">P82</f>
        <v>0</v>
      </c>
      <c r="AE82" s="151"/>
      <c r="AF82" s="151"/>
      <c r="AG82" s="151"/>
      <c r="AH82" s="151"/>
    </row>
    <row r="83" spans="1:34" x14ac:dyDescent="0.25">
      <c r="A83" s="138" t="s">
        <v>42</v>
      </c>
      <c r="B83" s="139"/>
      <c r="C83" s="236"/>
      <c r="D83" s="8">
        <v>42962</v>
      </c>
      <c r="E83" s="237"/>
      <c r="F83" s="242"/>
      <c r="G83" s="241"/>
      <c r="H83" s="241"/>
      <c r="I83" s="241"/>
      <c r="J83" s="241"/>
      <c r="K83" s="241"/>
      <c r="L83" s="241"/>
      <c r="M83" s="241"/>
      <c r="N83" s="241"/>
      <c r="O83" s="241"/>
      <c r="P83" s="238">
        <f t="shared" si="28"/>
        <v>0</v>
      </c>
      <c r="Q83" s="151"/>
      <c r="R83" s="222"/>
      <c r="S83" s="228"/>
      <c r="T83" s="228"/>
      <c r="U83" s="228"/>
      <c r="V83" s="151"/>
      <c r="W83" s="151"/>
      <c r="X83" s="229"/>
      <c r="Y83" s="229"/>
      <c r="Z83" s="229"/>
      <c r="AA83" s="229"/>
      <c r="AB83" s="229"/>
      <c r="AC83" s="229"/>
      <c r="AD83" s="229"/>
      <c r="AE83" s="151"/>
      <c r="AF83" s="151"/>
      <c r="AG83" s="151"/>
      <c r="AH83" s="151"/>
    </row>
    <row r="84" spans="1:34" x14ac:dyDescent="0.25">
      <c r="A84" s="140" t="s">
        <v>43</v>
      </c>
      <c r="B84" s="139"/>
      <c r="C84" s="236" t="s">
        <v>27</v>
      </c>
      <c r="D84" s="8">
        <v>42979</v>
      </c>
      <c r="E84" s="237">
        <f>Sep_Period_1_Tbl[[#Totals],['# PTO USED]]+    Sep_Period_2_Tbl[[#Totals],['# PTO USED]]</f>
        <v>0</v>
      </c>
      <c r="F84" s="242">
        <f>Sep_Period_1_Tbl[[#Totals],['# HRS WORKED]]+    Sep_Period_2_Tbl[[#Totals],['# HRS WORKED]]</f>
        <v>0</v>
      </c>
      <c r="G84" s="241">
        <f>Sep_Period_1_Tbl[[#Totals],[$ Hourly WAGES]]+    Sep_Period_2_Tbl[[#Totals],[$ Hourly WAGES]]</f>
        <v>0</v>
      </c>
      <c r="H84" s="241">
        <f>Sep_Period_1_Tbl[[#Totals],[$ SALARY]]+    Sep_Period_2_Tbl[[#Totals],[$ SALARY]]</f>
        <v>0</v>
      </c>
      <c r="I84" s="241">
        <f>Sep_Period_1_Tbl[[#Totals],[$ SALARY PT]]+    Sep_Period_2_Tbl[[#Totals],[$ SALARY PT]]</f>
        <v>0</v>
      </c>
      <c r="J84" s="241">
        <f>Sep_Period_1_Tbl[[#Totals],[$ FREE PT]]+    Sep_Period_2_Tbl[[#Totals],[$ FREE PT]]</f>
        <v>0</v>
      </c>
      <c r="K84" s="241">
        <f>Sep_Period_1_Tbl[[#Totals],[$ PAID PT]]+    Sep_Period_2_Tbl[[#Totals],[$ PAID PT]]</f>
        <v>0</v>
      </c>
      <c r="L84" s="241">
        <f>Sep_Period_1_Tbl[[#Totals],[$ PT COMM]]+    Sep_Period_2_Tbl[[#Totals],[$ PT COMM]]</f>
        <v>0</v>
      </c>
      <c r="M84" s="241">
        <f>Sep_Period_1_Tbl[[#Totals],[$ EFT COMM]]+    Sep_Period_2_Tbl[[#Totals],[$ EFT COMM]]</f>
        <v>0</v>
      </c>
      <c r="N84" s="241">
        <f>Sep_Period_1_Tbl[[#Totals],[$ CLASS PAY]]+    Sep_Period_2_Tbl[[#Totals],[$ CLASS PAY]]</f>
        <v>0</v>
      </c>
      <c r="O84" s="241">
        <f>Sep_Period_1_Tbl[[#Totals],[$ BONUS PAY]]+    Sep_Period_2_Tbl[[#Totals],[$ BONUS PAY]]</f>
        <v>0</v>
      </c>
      <c r="P84" s="238">
        <f t="shared" si="28"/>
        <v>0</v>
      </c>
      <c r="Q84" s="151"/>
      <c r="R84" s="227">
        <f>Sep_Period_1_Tbl[[#Totals],['# POINTS EARNED]]+Sep_Period_2_Tbl[[#Totals],['# POINTS EARNED]]</f>
        <v>0</v>
      </c>
      <c r="S84" s="227">
        <f>Sep_Period_1_Tbl[[#Totals],['# POINTS USED]]+Sep_Period_2_Tbl[[#Totals],['# POINTS USED]]</f>
        <v>0</v>
      </c>
      <c r="T84" s="227">
        <f>Sep_Period_1_Tbl[[#Totals],['# CLASSES LEAD]]+Sep_Period_2_Tbl[[#Totals],['# CLASSES LEAD]]</f>
        <v>0</v>
      </c>
      <c r="U84" s="227">
        <f>Sep_Period_1_Tbl[[#Totals],['# CLASSES SHOW]]+Sep_Period_2_Tbl[[#Totals],['# CLASSES SHOW]]</f>
        <v>0</v>
      </c>
      <c r="V84" s="156"/>
      <c r="W84" s="156"/>
      <c r="X84" s="221">
        <f>IF(OR(G84="",G84=0),H84,G84+H84)</f>
        <v>0</v>
      </c>
      <c r="Y84" s="221">
        <f>J84+K84</f>
        <v>0</v>
      </c>
      <c r="Z84" s="221">
        <f>N84</f>
        <v>0</v>
      </c>
      <c r="AA84" s="221">
        <f>M84</f>
        <v>0</v>
      </c>
      <c r="AB84" s="221">
        <f>L84</f>
        <v>0</v>
      </c>
      <c r="AC84" s="221">
        <f>O84</f>
        <v>0</v>
      </c>
      <c r="AD84" s="221">
        <f>P84</f>
        <v>0</v>
      </c>
      <c r="AE84" s="151"/>
      <c r="AF84" s="151"/>
      <c r="AG84" s="151"/>
      <c r="AH84" s="151"/>
    </row>
    <row r="85" spans="1:34" x14ac:dyDescent="0.25">
      <c r="A85" s="140" t="s">
        <v>44</v>
      </c>
      <c r="B85" s="139"/>
      <c r="C85" s="236"/>
      <c r="D85" s="8">
        <v>42993</v>
      </c>
      <c r="E85" s="237"/>
      <c r="F85" s="242"/>
      <c r="G85" s="241"/>
      <c r="H85" s="241"/>
      <c r="I85" s="241"/>
      <c r="J85" s="241"/>
      <c r="K85" s="241"/>
      <c r="L85" s="241"/>
      <c r="M85" s="241"/>
      <c r="N85" s="241"/>
      <c r="O85" s="241"/>
      <c r="P85" s="238">
        <f t="shared" si="28"/>
        <v>0</v>
      </c>
      <c r="Q85" s="151"/>
      <c r="R85" s="227"/>
      <c r="S85" s="227"/>
      <c r="T85" s="227"/>
      <c r="U85" s="227"/>
      <c r="V85" s="151"/>
      <c r="W85" s="151"/>
      <c r="X85" s="221"/>
      <c r="Y85" s="221"/>
      <c r="Z85" s="221"/>
      <c r="AA85" s="221"/>
      <c r="AB85" s="221"/>
      <c r="AC85" s="221"/>
      <c r="AD85" s="221"/>
      <c r="AE85" s="151"/>
      <c r="AF85" s="151"/>
      <c r="AG85" s="151"/>
      <c r="AH85" s="151"/>
    </row>
    <row r="86" spans="1:34" x14ac:dyDescent="0.25">
      <c r="A86" s="140" t="s">
        <v>45</v>
      </c>
      <c r="B86" s="139"/>
      <c r="C86" s="236" t="s">
        <v>28</v>
      </c>
      <c r="D86" s="8">
        <v>43009</v>
      </c>
      <c r="E86" s="237">
        <f>Oct_Period_1_Tbl[[#Totals],['# PTO USED]]+    Oct_Period_2_Tbl[[#Totals],['# PTO USED]]</f>
        <v>0</v>
      </c>
      <c r="F86" s="242">
        <f>Oct_Period_1_Tbl[[#Totals],['# HRS WORKED]]+    Oct_Period_2_Tbl[[#Totals],['# HRS WORKED]]</f>
        <v>0</v>
      </c>
      <c r="G86" s="241">
        <f>Oct_Period_1_Tbl[[#Totals],[$ Hourly WAGES]]+    Oct_Period_2_Tbl[[#Totals],[$ Hourly WAGES]]</f>
        <v>0</v>
      </c>
      <c r="H86" s="241">
        <f>Oct_Period_1_Tbl[[#Totals],[$ SALARY]]+    Oct_Period_2_Tbl[[#Totals],[$ SALARY]]</f>
        <v>0</v>
      </c>
      <c r="I86" s="241">
        <f>Oct_Period_1_Tbl[[#Totals],[$ SALARY PT]]+    Oct_Period_2_Tbl[[#Totals],[$ SALARY PT]]</f>
        <v>0</v>
      </c>
      <c r="J86" s="241">
        <f>Oct_Period_1_Tbl[[#Totals],[$ FREE PT]]+    Oct_Period_2_Tbl[[#Totals],[$ FREE PT]]</f>
        <v>0</v>
      </c>
      <c r="K86" s="241">
        <f>Oct_Period_1_Tbl[[#Totals],[$ PAID PT]]+    Oct_Period_2_Tbl[[#Totals],[$ PAID PT]]</f>
        <v>0</v>
      </c>
      <c r="L86" s="241">
        <f>Oct_Period_1_Tbl[[#Totals],[$ PT COMM]]+    Oct_Period_2_Tbl[[#Totals],[$ PT COMM]]</f>
        <v>0</v>
      </c>
      <c r="M86" s="241">
        <f>Oct_Period_1_Tbl[[#Totals],[$ EFT COMM]]+    Oct_Period_2_Tbl[[#Totals],[$ EFT COMM]]</f>
        <v>0</v>
      </c>
      <c r="N86" s="241">
        <f>Oct_Period_1_Tbl[[#Totals],[$ CLASS PAY]]+    Oct_Period_2_Tbl[[#Totals],[$ CLASS PAY]]</f>
        <v>0</v>
      </c>
      <c r="O86" s="241">
        <f>Oct_Period_1_Tbl[[#Totals],[$ BONUS PAY]]+    Oct_Period_2_Tbl[[#Totals],[$ BONUS PAY]]</f>
        <v>0</v>
      </c>
      <c r="P86" s="238">
        <f t="shared" si="28"/>
        <v>0</v>
      </c>
      <c r="Q86" s="151"/>
      <c r="R86" s="222">
        <f>Oct_Period_1_Tbl[[#Totals],['# POINTS EARNED]]+Oct_Period_2_Tbl[[#Totals],['# POINTS EARNED]]</f>
        <v>0</v>
      </c>
      <c r="S86" s="223">
        <f>Oct_Period_1_Tbl[[#Totals],['# POINTS USED]]+Oct_Period_2_Tbl[[#Totals],['# POINTS USED]]</f>
        <v>0</v>
      </c>
      <c r="T86" s="223">
        <f>Oct_Period_1_Tbl[[#Totals],['# CLASSES LEAD]]+Oct_Period_2_Tbl[[#Totals],['# CLASSES LEAD]]</f>
        <v>0</v>
      </c>
      <c r="U86" s="223">
        <f>Oct_Period_1_Tbl[[#Totals],['# CLASSES SHOW]]+Oct_Period_2_Tbl[[#Totals],['# CLASSES SHOW]]</f>
        <v>0</v>
      </c>
      <c r="V86" s="156"/>
      <c r="W86" s="156"/>
      <c r="X86" s="225">
        <f t="shared" ref="X86" si="57">IF(OR(G86="",G86=0),H86,G86+H86)</f>
        <v>0</v>
      </c>
      <c r="Y86" s="225">
        <f t="shared" ref="Y86" si="58">J86+K86</f>
        <v>0</v>
      </c>
      <c r="Z86" s="225">
        <f t="shared" ref="Z86" si="59">N86</f>
        <v>0</v>
      </c>
      <c r="AA86" s="225">
        <f t="shared" ref="AA86" si="60">M86</f>
        <v>0</v>
      </c>
      <c r="AB86" s="225">
        <f t="shared" ref="AB86" si="61">L86</f>
        <v>0</v>
      </c>
      <c r="AC86" s="225">
        <f t="shared" ref="AC86" si="62">O86</f>
        <v>0</v>
      </c>
      <c r="AD86" s="225">
        <f t="shared" ref="AD86" si="63">P86</f>
        <v>0</v>
      </c>
      <c r="AE86" s="151"/>
      <c r="AF86" s="151"/>
      <c r="AG86" s="151"/>
      <c r="AH86" s="151"/>
    </row>
    <row r="87" spans="1:34" x14ac:dyDescent="0.25">
      <c r="A87" s="140" t="s">
        <v>46</v>
      </c>
      <c r="B87" s="139"/>
      <c r="C87" s="236"/>
      <c r="D87" s="8">
        <v>43023</v>
      </c>
      <c r="E87" s="237"/>
      <c r="F87" s="242"/>
      <c r="G87" s="241"/>
      <c r="H87" s="241"/>
      <c r="I87" s="241"/>
      <c r="J87" s="241"/>
      <c r="K87" s="241"/>
      <c r="L87" s="241"/>
      <c r="M87" s="241"/>
      <c r="N87" s="241"/>
      <c r="O87" s="241"/>
      <c r="P87" s="238">
        <f t="shared" si="28"/>
        <v>0</v>
      </c>
      <c r="Q87" s="151"/>
      <c r="R87" s="222"/>
      <c r="S87" s="228"/>
      <c r="T87" s="228"/>
      <c r="U87" s="228"/>
      <c r="V87" s="151"/>
      <c r="W87" s="151"/>
      <c r="X87" s="229"/>
      <c r="Y87" s="229"/>
      <c r="Z87" s="229"/>
      <c r="AA87" s="229"/>
      <c r="AB87" s="229"/>
      <c r="AC87" s="229"/>
      <c r="AD87" s="229"/>
      <c r="AE87" s="151"/>
      <c r="AF87" s="151"/>
      <c r="AG87" s="151"/>
      <c r="AH87" s="151"/>
    </row>
    <row r="88" spans="1:34" x14ac:dyDescent="0.25">
      <c r="A88" s="140" t="s">
        <v>47</v>
      </c>
      <c r="B88" s="139"/>
      <c r="C88" s="236" t="s">
        <v>29</v>
      </c>
      <c r="D88" s="8">
        <v>43040</v>
      </c>
      <c r="E88" s="237">
        <f>Nov_Period_1_Tbl[[#Totals],['# PTO USED]]+    Nov_Period_2_Tbl[[#Totals],['# PTO USED]]</f>
        <v>0</v>
      </c>
      <c r="F88" s="242">
        <f>Nov_Period_1_Tbl[[#Totals],['# HRS WORKED]]+    Nov_Period_2_Tbl[[#Totals],['# HRS WORKED]]</f>
        <v>0</v>
      </c>
      <c r="G88" s="241">
        <f>Nov_Period_1_Tbl[[#Totals],[$ Hourly WAGES]]+    Nov_Period_2_Tbl[[#Totals],[$ Hourly WAGES]]</f>
        <v>0</v>
      </c>
      <c r="H88" s="241">
        <f>Nov_Period_1_Tbl[[#Totals],[$ SALARY]]+    Nov_Period_2_Tbl[[#Totals],[$ SALARY]]</f>
        <v>0</v>
      </c>
      <c r="I88" s="241">
        <f>Nov_Period_1_Tbl[[#Totals],[$ SALARY PT]]+    Nov_Period_2_Tbl[[#Totals],[$ SALARY PT]]</f>
        <v>0</v>
      </c>
      <c r="J88" s="241">
        <f>Nov_Period_1_Tbl[[#Totals],[$ FREE PT]]+    Nov_Period_2_Tbl[[#Totals],[$ FREE PT]]</f>
        <v>0</v>
      </c>
      <c r="K88" s="241">
        <f>Nov_Period_1_Tbl[[#Totals],[$ PAID PT]]+    Nov_Period_2_Tbl[[#Totals],[$ PAID PT]]</f>
        <v>0</v>
      </c>
      <c r="L88" s="241">
        <f>Nov_Period_1_Tbl[[#Totals],[$ PT COMM]]+    Nov_Period_2_Tbl[[#Totals],[$ PT COMM]]</f>
        <v>0</v>
      </c>
      <c r="M88" s="241">
        <f>Nov_Period_1_Tbl[[#Totals],[$ EFT COMM]]+    Nov_Period_2_Tbl[[#Totals],[$ EFT COMM]]</f>
        <v>0</v>
      </c>
      <c r="N88" s="241">
        <f>Nov_Period_1_Tbl[[#Totals],[$ CLASS PAY]]+    Nov_Period_2_Tbl[[#Totals],[$ CLASS PAY]]</f>
        <v>0</v>
      </c>
      <c r="O88" s="241">
        <f>Nov_Period_1_Tbl[[#Totals],[$ BONUS PAY]]+    Nov_Period_2_Tbl[[#Totals],[$ BONUS PAY]]</f>
        <v>0</v>
      </c>
      <c r="P88" s="238">
        <f t="shared" si="28"/>
        <v>0</v>
      </c>
      <c r="Q88" s="151"/>
      <c r="R88" s="227">
        <f>Nov_Period_1_Tbl[[#Totals],['# POINTS EARNED]]+Nov_Period_2_Tbl[[#Totals],['# POINTS EARNED]]</f>
        <v>0</v>
      </c>
      <c r="S88" s="227">
        <f>Nov_Period_1_Tbl[[#Totals],['# POINTS USED]]+Nov_Period_2_Tbl[[#Totals],['# POINTS USED]]</f>
        <v>0</v>
      </c>
      <c r="T88" s="227">
        <f>Nov_Period_1_Tbl[[#Totals],['# CLASSES LEAD]]+Nov_Period_2_Tbl[[#Totals],['# CLASSES LEAD]]</f>
        <v>0</v>
      </c>
      <c r="U88" s="227">
        <f>Nov_Period_1_Tbl[[#Totals],['# CLASSES SHOW]]+Nov_Period_2_Tbl[[#Totals],['# CLASSES SHOW]]</f>
        <v>0</v>
      </c>
      <c r="V88" s="156"/>
      <c r="W88" s="156"/>
      <c r="X88" s="221">
        <f>IF(OR(G88="",G88=0),H88,G88+H88)</f>
        <v>0</v>
      </c>
      <c r="Y88" s="221">
        <f>J88+K88</f>
        <v>0</v>
      </c>
      <c r="Z88" s="221">
        <f>N88</f>
        <v>0</v>
      </c>
      <c r="AA88" s="221">
        <f>M88</f>
        <v>0</v>
      </c>
      <c r="AB88" s="221">
        <f>L88</f>
        <v>0</v>
      </c>
      <c r="AC88" s="221">
        <f>O88</f>
        <v>0</v>
      </c>
      <c r="AD88" s="221">
        <f>P88</f>
        <v>0</v>
      </c>
      <c r="AE88" s="151"/>
      <c r="AF88" s="151"/>
      <c r="AG88" s="151"/>
      <c r="AH88" s="151"/>
    </row>
    <row r="89" spans="1:34" x14ac:dyDescent="0.25">
      <c r="A89" s="140" t="s">
        <v>48</v>
      </c>
      <c r="B89" s="139"/>
      <c r="C89" s="236"/>
      <c r="D89" s="8">
        <v>43054</v>
      </c>
      <c r="E89" s="237"/>
      <c r="F89" s="242"/>
      <c r="G89" s="241"/>
      <c r="H89" s="241"/>
      <c r="I89" s="241"/>
      <c r="J89" s="241"/>
      <c r="K89" s="241"/>
      <c r="L89" s="241"/>
      <c r="M89" s="241"/>
      <c r="N89" s="241"/>
      <c r="O89" s="241"/>
      <c r="P89" s="238">
        <f t="shared" si="28"/>
        <v>0</v>
      </c>
      <c r="Q89" s="151"/>
      <c r="R89" s="227"/>
      <c r="S89" s="227"/>
      <c r="T89" s="227"/>
      <c r="U89" s="227"/>
      <c r="V89" s="151"/>
      <c r="W89" s="151"/>
      <c r="X89" s="221"/>
      <c r="Y89" s="221"/>
      <c r="Z89" s="221"/>
      <c r="AA89" s="221"/>
      <c r="AB89" s="221"/>
      <c r="AC89" s="221"/>
      <c r="AD89" s="221"/>
      <c r="AE89" s="151"/>
      <c r="AF89" s="151"/>
      <c r="AG89" s="151"/>
      <c r="AH89" s="151"/>
    </row>
    <row r="90" spans="1:34" x14ac:dyDescent="0.25">
      <c r="A90" s="140" t="s">
        <v>49</v>
      </c>
      <c r="B90" s="139"/>
      <c r="C90" s="230" t="s">
        <v>30</v>
      </c>
      <c r="D90" s="6">
        <v>43070</v>
      </c>
      <c r="E90" s="237">
        <f>Dec_Period_1_Tbl[[#Totals],['# PTO USED]]+    Dec_Period_2_Tbl[[#Totals],['# PTO USED]]</f>
        <v>0</v>
      </c>
      <c r="F90" s="242">
        <f>Dec_Period_1_Tbl[[#Totals],['# HRS WORKED]]+    Dec_Period_2_Tbl[[#Totals],['# HRS WORKED]]</f>
        <v>0</v>
      </c>
      <c r="G90" s="241">
        <f>Dec_Period_1_Tbl[[#Totals],[$ Hourly WAGES]]+    Dec_Period_2_Tbl[[#Totals],[$ Hourly WAGES]]</f>
        <v>0</v>
      </c>
      <c r="H90" s="241">
        <f>Dec_Period_1_Tbl[[#Totals],[$ SALARY]]+    Dec_Period_2_Tbl[[#Totals],[$ SALARY]]</f>
        <v>0</v>
      </c>
      <c r="I90" s="241">
        <f>Dec_Period_1_Tbl[[#Totals],[$ SALARY PT]]+    Dec_Period_2_Tbl[[#Totals],[$ SALARY PT]]</f>
        <v>0</v>
      </c>
      <c r="J90" s="241">
        <f>Dec_Period_1_Tbl[[#Totals],[$ FREE PT]]+    Dec_Period_2_Tbl[[#Totals],[$ FREE PT]]</f>
        <v>0</v>
      </c>
      <c r="K90" s="241">
        <f>Dec_Period_1_Tbl[[#Totals],[$ PAID PT]]+    Dec_Period_2_Tbl[[#Totals],[$ PAID PT]]</f>
        <v>0</v>
      </c>
      <c r="L90" s="241">
        <f>Dec_Period_1_Tbl[[#Totals],[$ PT COMM]]+    Dec_Period_2_Tbl[[#Totals],[$ PT COMM]]</f>
        <v>0</v>
      </c>
      <c r="M90" s="241">
        <f>Dec_Period_1_Tbl[[#Totals],[$ EFT COMM]]+    Dec_Period_2_Tbl[[#Totals],[$ EFT COMM]]</f>
        <v>0</v>
      </c>
      <c r="N90" s="241">
        <f>Dec_Period_1_Tbl[[#Totals],[$ CLASS PAY]]+    Dec_Period_2_Tbl[[#Totals],[$ CLASS PAY]]</f>
        <v>0</v>
      </c>
      <c r="O90" s="241">
        <f>Dec_Period_1_Tbl[[#Totals],[$ BONUS PAY]]+    Dec_Period_2_Tbl[[#Totals],[$ BONUS PAY]]</f>
        <v>0</v>
      </c>
      <c r="P90" s="239">
        <f t="shared" si="28"/>
        <v>0</v>
      </c>
      <c r="Q90" s="151"/>
      <c r="R90" s="222">
        <f>Dec_Period_1_Tbl[[#Totals],['# POINTS EARNED]]+Dec_Period_2_Tbl[[#Totals],['# POINTS EARNED]]</f>
        <v>0</v>
      </c>
      <c r="S90" s="223">
        <f>Dec_Period_1_Tbl[[#Totals],['# POINTS USED]]+Dec_Period_2_Tbl[[#Totals],['# POINTS USED]]</f>
        <v>0</v>
      </c>
      <c r="T90" s="223">
        <f>Dec_Period_1_Tbl[[#Totals],['# CLASSES LEAD]]+Dec_Period_2_Tbl[[#Totals],['# CLASSES LEAD]]</f>
        <v>0</v>
      </c>
      <c r="U90" s="223">
        <f>Dec_Period_1_Tbl[[#Totals],['# CLASSES SHOW]]+Dec_Period_2_Tbl[[#Totals],['# CLASSES SHOW]]</f>
        <v>0</v>
      </c>
      <c r="V90" s="156"/>
      <c r="W90" s="156"/>
      <c r="X90" s="225">
        <f t="shared" ref="X90" si="64">IF(OR(G90="",G90=0),H90,G90+H90)</f>
        <v>0</v>
      </c>
      <c r="Y90" s="225">
        <f t="shared" ref="Y90" si="65">J90+K90</f>
        <v>0</v>
      </c>
      <c r="Z90" s="225">
        <f t="shared" ref="Z90" si="66">N90</f>
        <v>0</v>
      </c>
      <c r="AA90" s="225">
        <f t="shared" ref="AA90" si="67">M90</f>
        <v>0</v>
      </c>
      <c r="AB90" s="225">
        <f t="shared" ref="AB90" si="68">L90</f>
        <v>0</v>
      </c>
      <c r="AC90" s="225">
        <f t="shared" ref="AC90" si="69">O90</f>
        <v>0</v>
      </c>
      <c r="AD90" s="225">
        <f t="shared" ref="AD90" si="70">P90</f>
        <v>0</v>
      </c>
      <c r="AE90" s="151"/>
      <c r="AF90" s="151"/>
      <c r="AG90" s="151"/>
      <c r="AH90" s="151"/>
    </row>
    <row r="91" spans="1:34" x14ac:dyDescent="0.25">
      <c r="A91" s="145"/>
      <c r="B91" s="139"/>
      <c r="C91" s="231"/>
      <c r="D91" s="7">
        <v>43084</v>
      </c>
      <c r="E91" s="237"/>
      <c r="F91" s="242"/>
      <c r="G91" s="241"/>
      <c r="H91" s="241"/>
      <c r="I91" s="241"/>
      <c r="J91" s="241"/>
      <c r="K91" s="241"/>
      <c r="L91" s="241"/>
      <c r="M91" s="241"/>
      <c r="N91" s="241"/>
      <c r="O91" s="241"/>
      <c r="P91" s="240">
        <f t="shared" si="28"/>
        <v>0</v>
      </c>
      <c r="Q91" s="151"/>
      <c r="R91" s="223"/>
      <c r="S91" s="224"/>
      <c r="T91" s="224"/>
      <c r="U91" s="224"/>
      <c r="V91" s="151"/>
      <c r="W91" s="151"/>
      <c r="X91" s="226"/>
      <c r="Y91" s="226"/>
      <c r="Z91" s="226"/>
      <c r="AA91" s="226"/>
      <c r="AB91" s="226"/>
      <c r="AC91" s="226"/>
      <c r="AD91" s="226"/>
      <c r="AE91" s="151"/>
      <c r="AF91" s="151"/>
      <c r="AG91" s="151"/>
      <c r="AH91" s="151"/>
    </row>
    <row r="92" spans="1:34" x14ac:dyDescent="0.25">
      <c r="A92" s="145"/>
      <c r="B92" s="139"/>
      <c r="C92" s="10"/>
      <c r="D92" s="11" t="s">
        <v>31</v>
      </c>
      <c r="E92" s="46">
        <f>SUM(E68:E91)</f>
        <v>0</v>
      </c>
      <c r="F92" s="12">
        <f t="shared" ref="F92:O92" si="71">SUM(F68:F91)</f>
        <v>32</v>
      </c>
      <c r="G92" s="211">
        <f t="shared" si="71"/>
        <v>320</v>
      </c>
      <c r="H92" s="211">
        <f t="shared" si="71"/>
        <v>8375</v>
      </c>
      <c r="I92" s="211">
        <f t="shared" si="71"/>
        <v>0</v>
      </c>
      <c r="J92" s="211">
        <f t="shared" si="71"/>
        <v>719.64</v>
      </c>
      <c r="K92" s="211">
        <f t="shared" si="71"/>
        <v>5920.5599999999995</v>
      </c>
      <c r="L92" s="211">
        <f t="shared" si="71"/>
        <v>741.42</v>
      </c>
      <c r="M92" s="211">
        <f t="shared" si="71"/>
        <v>1319.24</v>
      </c>
      <c r="N92" s="211">
        <f t="shared" si="71"/>
        <v>675</v>
      </c>
      <c r="O92" s="211">
        <f t="shared" si="71"/>
        <v>300</v>
      </c>
      <c r="P92" s="212">
        <f t="shared" si="28"/>
        <v>18370.86</v>
      </c>
      <c r="Q92" s="151"/>
      <c r="R92" s="185">
        <f t="shared" ref="R92:U92" si="72">SUM(R68:R91)</f>
        <v>0</v>
      </c>
      <c r="S92" s="185">
        <f t="shared" si="72"/>
        <v>0</v>
      </c>
      <c r="T92" s="185">
        <f t="shared" si="72"/>
        <v>0</v>
      </c>
      <c r="U92" s="185">
        <f t="shared" si="72"/>
        <v>0</v>
      </c>
      <c r="V92" s="151"/>
      <c r="W92" s="151"/>
      <c r="X92" s="218">
        <f t="shared" ref="X92:AD92" si="73">SUM(X68:X91)</f>
        <v>8695</v>
      </c>
      <c r="Y92" s="218">
        <f t="shared" si="73"/>
        <v>6640.2</v>
      </c>
      <c r="Z92" s="218">
        <f t="shared" si="73"/>
        <v>675</v>
      </c>
      <c r="AA92" s="218">
        <f t="shared" si="73"/>
        <v>1319.24</v>
      </c>
      <c r="AB92" s="218">
        <f t="shared" si="73"/>
        <v>741.42</v>
      </c>
      <c r="AC92" s="218">
        <f t="shared" si="73"/>
        <v>300</v>
      </c>
      <c r="AD92" s="218">
        <f t="shared" si="73"/>
        <v>18370.86</v>
      </c>
      <c r="AE92" s="151"/>
      <c r="AF92" s="151"/>
      <c r="AG92" s="151"/>
      <c r="AH92" s="151"/>
    </row>
  </sheetData>
  <sheetProtection algorithmName="SHA-512" hashValue="HsSh9MjnwHhCiDA/UWzfM9J9Tra5TtbyTyfKiNNvqjL0Y5mRSepT9yrz5nLfhaN7vzDXAtvFHl2oCLjRn08khA==" saltValue="IZWMY1UhG7yTOuLQuVvB3g==" spinCount="100000" sheet="1" objects="1" scenarios="1" selectLockedCells="1"/>
  <sortState ref="A4:AJ63">
    <sortCondition ref="AJ4:AJ63"/>
  </sortState>
  <mergeCells count="290">
    <mergeCell ref="N68:N69"/>
    <mergeCell ref="L68:L69"/>
    <mergeCell ref="M68:M69"/>
    <mergeCell ref="F70:F71"/>
    <mergeCell ref="G70:G71"/>
    <mergeCell ref="H70:H71"/>
    <mergeCell ref="I70:I71"/>
    <mergeCell ref="F68:F69"/>
    <mergeCell ref="G68:G69"/>
    <mergeCell ref="H68:H69"/>
    <mergeCell ref="I68:I69"/>
    <mergeCell ref="J70:J71"/>
    <mergeCell ref="K70:K71"/>
    <mergeCell ref="N70:N71"/>
    <mergeCell ref="L70:L71"/>
    <mergeCell ref="M70:M71"/>
    <mergeCell ref="F72:F73"/>
    <mergeCell ref="G72:G73"/>
    <mergeCell ref="H72:H73"/>
    <mergeCell ref="I72:I73"/>
    <mergeCell ref="J72:J73"/>
    <mergeCell ref="K72:K73"/>
    <mergeCell ref="N72:N73"/>
    <mergeCell ref="L72:L73"/>
    <mergeCell ref="M72:M73"/>
    <mergeCell ref="F74:F75"/>
    <mergeCell ref="G74:G75"/>
    <mergeCell ref="H74:H75"/>
    <mergeCell ref="I74:I75"/>
    <mergeCell ref="J74:J75"/>
    <mergeCell ref="K74:K75"/>
    <mergeCell ref="N74:N75"/>
    <mergeCell ref="L74:L75"/>
    <mergeCell ref="M74:M75"/>
    <mergeCell ref="F76:F77"/>
    <mergeCell ref="G76:G77"/>
    <mergeCell ref="H76:H77"/>
    <mergeCell ref="I76:I77"/>
    <mergeCell ref="N78:N79"/>
    <mergeCell ref="L78:L79"/>
    <mergeCell ref="M78:M79"/>
    <mergeCell ref="F80:F81"/>
    <mergeCell ref="G80:G81"/>
    <mergeCell ref="H80:H81"/>
    <mergeCell ref="I80:I81"/>
    <mergeCell ref="J76:J77"/>
    <mergeCell ref="K76:K77"/>
    <mergeCell ref="N76:N77"/>
    <mergeCell ref="L76:L77"/>
    <mergeCell ref="M76:M77"/>
    <mergeCell ref="F78:F79"/>
    <mergeCell ref="G78:G79"/>
    <mergeCell ref="H78:H79"/>
    <mergeCell ref="I78:I79"/>
    <mergeCell ref="F84:F85"/>
    <mergeCell ref="G84:G85"/>
    <mergeCell ref="H84:H85"/>
    <mergeCell ref="I84:I85"/>
    <mergeCell ref="J80:J81"/>
    <mergeCell ref="K80:K81"/>
    <mergeCell ref="N80:N81"/>
    <mergeCell ref="L80:L81"/>
    <mergeCell ref="M80:M81"/>
    <mergeCell ref="F82:F83"/>
    <mergeCell ref="G82:G83"/>
    <mergeCell ref="H82:H83"/>
    <mergeCell ref="I82:I83"/>
    <mergeCell ref="F90:F91"/>
    <mergeCell ref="G90:G91"/>
    <mergeCell ref="H90:H91"/>
    <mergeCell ref="I90:I91"/>
    <mergeCell ref="J86:J87"/>
    <mergeCell ref="K86:K87"/>
    <mergeCell ref="N86:N87"/>
    <mergeCell ref="L86:L87"/>
    <mergeCell ref="M86:M87"/>
    <mergeCell ref="F88:F89"/>
    <mergeCell ref="G88:G89"/>
    <mergeCell ref="H88:H89"/>
    <mergeCell ref="I88:I89"/>
    <mergeCell ref="F86:F87"/>
    <mergeCell ref="G86:G87"/>
    <mergeCell ref="H86:H87"/>
    <mergeCell ref="I86:I87"/>
    <mergeCell ref="L90:L91"/>
    <mergeCell ref="M90:M91"/>
    <mergeCell ref="O68:O69"/>
    <mergeCell ref="O70:O71"/>
    <mergeCell ref="O72:O73"/>
    <mergeCell ref="O74:O75"/>
    <mergeCell ref="O76:O77"/>
    <mergeCell ref="J88:J89"/>
    <mergeCell ref="K88:K89"/>
    <mergeCell ref="N88:N89"/>
    <mergeCell ref="L88:L89"/>
    <mergeCell ref="M88:M89"/>
    <mergeCell ref="J84:J85"/>
    <mergeCell ref="K84:K85"/>
    <mergeCell ref="N84:N85"/>
    <mergeCell ref="L84:L85"/>
    <mergeCell ref="M84:M85"/>
    <mergeCell ref="J82:J83"/>
    <mergeCell ref="K82:K83"/>
    <mergeCell ref="N82:N83"/>
    <mergeCell ref="L82:L83"/>
    <mergeCell ref="M82:M83"/>
    <mergeCell ref="J78:J79"/>
    <mergeCell ref="K78:K79"/>
    <mergeCell ref="J68:J69"/>
    <mergeCell ref="K68:K69"/>
    <mergeCell ref="E72:E73"/>
    <mergeCell ref="E74:E75"/>
    <mergeCell ref="E76:E77"/>
    <mergeCell ref="E78:E79"/>
    <mergeCell ref="E80:E81"/>
    <mergeCell ref="O90:O91"/>
    <mergeCell ref="P68:P69"/>
    <mergeCell ref="P70:P71"/>
    <mergeCell ref="P72:P73"/>
    <mergeCell ref="P74:P75"/>
    <mergeCell ref="P76:P77"/>
    <mergeCell ref="P78:P79"/>
    <mergeCell ref="P80:P81"/>
    <mergeCell ref="P82:P83"/>
    <mergeCell ref="P84:P85"/>
    <mergeCell ref="O78:O79"/>
    <mergeCell ref="O80:O81"/>
    <mergeCell ref="O82:O83"/>
    <mergeCell ref="O84:O85"/>
    <mergeCell ref="O86:O87"/>
    <mergeCell ref="O88:O89"/>
    <mergeCell ref="J90:J91"/>
    <mergeCell ref="K90:K91"/>
    <mergeCell ref="N90:N91"/>
    <mergeCell ref="C90:C91"/>
    <mergeCell ref="A1:P1"/>
    <mergeCell ref="A67:B67"/>
    <mergeCell ref="C78:C79"/>
    <mergeCell ref="C80:C81"/>
    <mergeCell ref="C82:C83"/>
    <mergeCell ref="C84:C85"/>
    <mergeCell ref="C86:C87"/>
    <mergeCell ref="C88:C89"/>
    <mergeCell ref="E82:E83"/>
    <mergeCell ref="E84:E85"/>
    <mergeCell ref="E86:E87"/>
    <mergeCell ref="E88:E89"/>
    <mergeCell ref="E90:E91"/>
    <mergeCell ref="C68:C69"/>
    <mergeCell ref="C70:C71"/>
    <mergeCell ref="C72:C73"/>
    <mergeCell ref="C74:C75"/>
    <mergeCell ref="C76:C77"/>
    <mergeCell ref="P86:P87"/>
    <mergeCell ref="P88:P89"/>
    <mergeCell ref="P90:P91"/>
    <mergeCell ref="E68:E69"/>
    <mergeCell ref="E70:E71"/>
    <mergeCell ref="AB68:AB69"/>
    <mergeCell ref="AC68:AC69"/>
    <mergeCell ref="AD68:AD69"/>
    <mergeCell ref="R70:R71"/>
    <mergeCell ref="S70:S71"/>
    <mergeCell ref="T70:T71"/>
    <mergeCell ref="U70:U71"/>
    <mergeCell ref="X70:X71"/>
    <mergeCell ref="Y70:Y71"/>
    <mergeCell ref="Z70:Z71"/>
    <mergeCell ref="AA70:AA71"/>
    <mergeCell ref="AB70:AB71"/>
    <mergeCell ref="AC70:AC71"/>
    <mergeCell ref="AD70:AD71"/>
    <mergeCell ref="R68:R69"/>
    <mergeCell ref="S68:S69"/>
    <mergeCell ref="T68:T69"/>
    <mergeCell ref="U68:U69"/>
    <mergeCell ref="X68:X69"/>
    <mergeCell ref="Y68:Y69"/>
    <mergeCell ref="Z68:Z69"/>
    <mergeCell ref="AA68:AA69"/>
    <mergeCell ref="AC72:AC73"/>
    <mergeCell ref="AD72:AD73"/>
    <mergeCell ref="R74:R75"/>
    <mergeCell ref="S74:S75"/>
    <mergeCell ref="T74:T75"/>
    <mergeCell ref="U74:U75"/>
    <mergeCell ref="X74:X75"/>
    <mergeCell ref="Y74:Y75"/>
    <mergeCell ref="Z74:Z75"/>
    <mergeCell ref="AA74:AA75"/>
    <mergeCell ref="AB74:AB75"/>
    <mergeCell ref="AC74:AC75"/>
    <mergeCell ref="AD74:AD75"/>
    <mergeCell ref="R72:R73"/>
    <mergeCell ref="S72:S73"/>
    <mergeCell ref="T72:T73"/>
    <mergeCell ref="U72:U73"/>
    <mergeCell ref="X72:X73"/>
    <mergeCell ref="Y72:Y73"/>
    <mergeCell ref="Z72:Z73"/>
    <mergeCell ref="AA72:AA73"/>
    <mergeCell ref="AB72:AB73"/>
    <mergeCell ref="AC76:AC77"/>
    <mergeCell ref="AD76:AD77"/>
    <mergeCell ref="R78:R79"/>
    <mergeCell ref="S78:S79"/>
    <mergeCell ref="T78:T79"/>
    <mergeCell ref="U78:U79"/>
    <mergeCell ref="X78:X79"/>
    <mergeCell ref="Y78:Y79"/>
    <mergeCell ref="Z78:Z79"/>
    <mergeCell ref="AA78:AA79"/>
    <mergeCell ref="AB78:AB79"/>
    <mergeCell ref="AC78:AC79"/>
    <mergeCell ref="AD78:AD79"/>
    <mergeCell ref="R76:R77"/>
    <mergeCell ref="S76:S77"/>
    <mergeCell ref="T76:T77"/>
    <mergeCell ref="U76:U77"/>
    <mergeCell ref="X76:X77"/>
    <mergeCell ref="Y76:Y77"/>
    <mergeCell ref="Z76:Z77"/>
    <mergeCell ref="AA76:AA77"/>
    <mergeCell ref="AB76:AB77"/>
    <mergeCell ref="AC80:AC81"/>
    <mergeCell ref="AD80:AD81"/>
    <mergeCell ref="R82:R83"/>
    <mergeCell ref="S82:S83"/>
    <mergeCell ref="T82:T83"/>
    <mergeCell ref="U82:U83"/>
    <mergeCell ref="X82:X83"/>
    <mergeCell ref="Y82:Y83"/>
    <mergeCell ref="Z82:Z83"/>
    <mergeCell ref="AA82:AA83"/>
    <mergeCell ref="AB82:AB83"/>
    <mergeCell ref="AC82:AC83"/>
    <mergeCell ref="AD82:AD83"/>
    <mergeCell ref="R80:R81"/>
    <mergeCell ref="S80:S81"/>
    <mergeCell ref="T80:T81"/>
    <mergeCell ref="U80:U81"/>
    <mergeCell ref="X80:X81"/>
    <mergeCell ref="Y80:Y81"/>
    <mergeCell ref="Z80:Z81"/>
    <mergeCell ref="AA80:AA81"/>
    <mergeCell ref="AB80:AB81"/>
    <mergeCell ref="AC84:AC85"/>
    <mergeCell ref="AD84:AD85"/>
    <mergeCell ref="R86:R87"/>
    <mergeCell ref="S86:S87"/>
    <mergeCell ref="T86:T87"/>
    <mergeCell ref="U86:U87"/>
    <mergeCell ref="X86:X87"/>
    <mergeCell ref="Y86:Y87"/>
    <mergeCell ref="Z86:Z87"/>
    <mergeCell ref="AA86:AA87"/>
    <mergeCell ref="AB86:AB87"/>
    <mergeCell ref="AC86:AC87"/>
    <mergeCell ref="AD86:AD87"/>
    <mergeCell ref="R84:R85"/>
    <mergeCell ref="S84:S85"/>
    <mergeCell ref="T84:T85"/>
    <mergeCell ref="U84:U85"/>
    <mergeCell ref="X84:X85"/>
    <mergeCell ref="Y84:Y85"/>
    <mergeCell ref="Z84:Z85"/>
    <mergeCell ref="AA84:AA85"/>
    <mergeCell ref="AB84:AB85"/>
    <mergeCell ref="AC88:AC89"/>
    <mergeCell ref="AD88:AD89"/>
    <mergeCell ref="R90:R91"/>
    <mergeCell ref="S90:S91"/>
    <mergeCell ref="T90:T91"/>
    <mergeCell ref="U90:U91"/>
    <mergeCell ref="X90:X91"/>
    <mergeCell ref="Y90:Y91"/>
    <mergeCell ref="Z90:Z91"/>
    <mergeCell ref="AA90:AA91"/>
    <mergeCell ref="AB90:AB91"/>
    <mergeCell ref="AC90:AC91"/>
    <mergeCell ref="AD90:AD91"/>
    <mergeCell ref="R88:R89"/>
    <mergeCell ref="S88:S89"/>
    <mergeCell ref="T88:T89"/>
    <mergeCell ref="U88:U89"/>
    <mergeCell ref="X88:X89"/>
    <mergeCell ref="Y88:Y89"/>
    <mergeCell ref="Z88:Z89"/>
    <mergeCell ref="AA88:AA89"/>
    <mergeCell ref="AB88:AB89"/>
  </mergeCells>
  <dataValidations count="1">
    <dataValidation type="list" allowBlank="1" showInputMessage="1" showErrorMessage="1" sqref="B4:C65">
      <formula1>$D$68:$D$91</formula1>
    </dataValidation>
  </dataValidations>
  <pageMargins left="0.7" right="0.7" top="0.75" bottom="0.75" header="0.3" footer="0.3"/>
  <pageSetup orientation="portrait" horizontalDpi="4294967293" verticalDpi="4294967293" r:id="rId1"/>
  <ignoredErrors>
    <ignoredError sqref="AB68:AB91" formula="1"/>
  </ignoredError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z_Working_Sheet"/>
  <dimension ref="A1:D2"/>
  <sheetViews>
    <sheetView workbookViewId="0">
      <selection activeCell="D1" sqref="D1:D61"/>
    </sheetView>
  </sheetViews>
  <sheetFormatPr defaultRowHeight="15" x14ac:dyDescent="0.25"/>
  <cols>
    <col min="1" max="1" width="19" bestFit="1" customWidth="1"/>
    <col min="2" max="2" width="11.5703125" bestFit="1" customWidth="1"/>
    <col min="3" max="3" width="11.85546875" bestFit="1" customWidth="1"/>
    <col min="4" max="4" width="10.5703125" bestFit="1" customWidth="1"/>
    <col min="7" max="7" width="10.7109375" bestFit="1" customWidth="1"/>
  </cols>
  <sheetData>
    <row r="1" spans="1:4" x14ac:dyDescent="0.25">
      <c r="A1" s="192" t="s">
        <v>85</v>
      </c>
      <c r="B1" s="141" t="s">
        <v>32</v>
      </c>
      <c r="C1" s="141" t="s">
        <v>33</v>
      </c>
      <c r="D1" t="s">
        <v>59</v>
      </c>
    </row>
    <row r="2" spans="1:4" x14ac:dyDescent="0.25">
      <c r="A2" s="20" t="s">
        <v>4</v>
      </c>
      <c r="B2" s="186">
        <v>42736</v>
      </c>
      <c r="C2" s="186">
        <v>42750</v>
      </c>
      <c r="D2" t="s">
        <v>156</v>
      </c>
    </row>
  </sheetData>
  <dataValidations count="1">
    <dataValidation type="list" allowBlank="1" showInputMessage="1" showErrorMessage="1" sqref="B2:C2">
      <formula1>$D$9:$D$32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01_Jan2017"/>
  <dimension ref="A1:AD23"/>
  <sheetViews>
    <sheetView showGridLines="0" zoomScaleNormal="100" workbookViewId="0">
      <selection sqref="A1:P1"/>
    </sheetView>
  </sheetViews>
  <sheetFormatPr defaultColWidth="9.140625"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customWidth="1"/>
    <col min="5" max="5" width="7.7109375" style="35" customWidth="1"/>
    <col min="6" max="7" width="7" style="34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28515625" style="29" customWidth="1"/>
    <col min="30" max="30" width="8.5703125" style="29" customWidth="1"/>
    <col min="31" max="31" width="9.140625" style="29" customWidth="1"/>
    <col min="32" max="16384" width="9.140625" style="29"/>
  </cols>
  <sheetData>
    <row r="1" spans="1:30" ht="16.5" customHeight="1" x14ac:dyDescent="0.25">
      <c r="A1" s="243" t="s">
        <v>152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Summary!D68</f>
        <v>42736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111" t="s">
        <v>1</v>
      </c>
      <c r="B6" s="59"/>
      <c r="C6" s="60"/>
      <c r="D6" s="60"/>
      <c r="E6" s="84"/>
      <c r="F6" s="102"/>
      <c r="G6" s="97" t="str">
        <f>IF(OR(ISBLANK(Jan_Period_1_Tbl[[#This Row],['# HRS WORKED]]),ISBLANK(Jan_Period_1_Tbl[[#This Row],[$ Hourly RATE]])),"",Jan_Period_1_Tbl[[#This Row],['# HRS WORKED]]*Jan_Period_1_Tbl[[#This Row],[$ Hourly RATE]])</f>
        <v/>
      </c>
      <c r="H6" s="102">
        <v>900</v>
      </c>
      <c r="I6" s="102"/>
      <c r="J6" s="102"/>
      <c r="K6" s="102"/>
      <c r="L6" s="102"/>
      <c r="M6" s="103"/>
      <c r="N6" s="103"/>
      <c r="O6" s="104"/>
      <c r="P6" s="100">
        <f>IF(Jan_Period_1_Tbl[[#This Row],[$ Hourly WAGES]]="",SUM(Jan_Period_1_Tbl[[#This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PAY]]),SUM(Jan_Period_1_Tbl[[#This Row],[$ Hourly WAGES]]+Jan_Period_1_Tbl[[#This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PAY]]))</f>
        <v>900</v>
      </c>
      <c r="Q6" s="118"/>
      <c r="R6" s="136"/>
      <c r="S6" s="136"/>
      <c r="T6" s="136"/>
      <c r="U6" s="136"/>
      <c r="V6" s="126"/>
      <c r="W6" s="127" t="str">
        <f>Jan_Period_1_Tbl[[#This Row],[STAFF:]]</f>
        <v>Roxy Ayala</v>
      </c>
      <c r="X6" s="128">
        <f>IF(Jan_Period_1_Tbl[[#This Row],[$ Hourly WAGES]]="",Jan_Period_1_Tbl[[#This Row],[$ SALARY]],Jan_Period_1_Tbl[[#This Row],[$ Hourly WAGES]]+Jan_Period_1_Tbl[[#This Row],[$ SALARY]])</f>
        <v>900</v>
      </c>
      <c r="Y6" s="128">
        <f>Jan_Period_1_Tbl[[#This Row],[$ FREE PT]]+Jan_Period_1_Tbl[[#This Row],[$ PAID PT]]</f>
        <v>0</v>
      </c>
      <c r="Z6" s="128">
        <f>Jan_Period_1_Tbl[[#This Row],[$ CLASS PAY]]</f>
        <v>0</v>
      </c>
      <c r="AA6" s="128">
        <f>Jan_Period_1_Tbl[[#This Row],[$ EFT COMM]]</f>
        <v>0</v>
      </c>
      <c r="AB6" s="128">
        <f>Jan_Period_1_Tbl[[#This Row],[$ PT COMM]]</f>
        <v>0</v>
      </c>
      <c r="AC6" s="128">
        <f>Jan_Period_1_Tbl[[#This Row],[$ BONUS PAY]]</f>
        <v>0</v>
      </c>
      <c r="AD6" s="128">
        <f>Jan_Period_1_Tbl[[#This Row],[TOTAL PAY]]</f>
        <v>900</v>
      </c>
    </row>
    <row r="7" spans="1:30" x14ac:dyDescent="0.25">
      <c r="A7" s="111" t="s">
        <v>2</v>
      </c>
      <c r="B7" s="59"/>
      <c r="C7" s="60"/>
      <c r="D7" s="60"/>
      <c r="E7" s="84"/>
      <c r="F7" s="102"/>
      <c r="G7" s="97" t="str">
        <f>IF(OR(ISBLANK(Jan_Period_1_Tbl[[#This Row],['# HRS WORKED]]),ISBLANK(Jan_Period_1_Tbl[[#This Row],[$ Hourly RATE]])),"",Jan_Period_1_Tbl[[#This Row],['# HRS WORKED]]*Jan_Period_1_Tbl[[#This Row],[$ Hourly RATE]])</f>
        <v/>
      </c>
      <c r="H7" s="102"/>
      <c r="I7" s="102"/>
      <c r="J7" s="102">
        <v>24</v>
      </c>
      <c r="K7" s="102">
        <v>649.38</v>
      </c>
      <c r="L7" s="102"/>
      <c r="M7" s="103"/>
      <c r="N7" s="103">
        <v>195</v>
      </c>
      <c r="O7" s="104"/>
      <c r="P7" s="100">
        <f>IF(Jan_Period_1_Tbl[[#This Row],[$ Hourly WAGES]]="",SUM(Jan_Period_1_Tbl[[#This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PAY]]),SUM(Jan_Period_1_Tbl[[#This Row],[$ Hourly WAGES]]+Jan_Period_1_Tbl[[#This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PAY]]))</f>
        <v>868.38</v>
      </c>
      <c r="Q7" s="118"/>
      <c r="R7" s="136"/>
      <c r="S7" s="136"/>
      <c r="T7" s="136"/>
      <c r="U7" s="136"/>
      <c r="V7" s="126"/>
      <c r="W7" s="127" t="str">
        <f>Jan_Period_1_Tbl[[#This Row],[STAFF:]]</f>
        <v>David Pecinovsky</v>
      </c>
      <c r="X7" s="128">
        <f>IF(Jan_Period_1_Tbl[[#This Row],[$ Hourly WAGES]]="",Jan_Period_1_Tbl[[#This Row],[$ SALARY]],Jan_Period_1_Tbl[[#This Row],[$ Hourly WAGES]]+Jan_Period_1_Tbl[[#This Row],[$ SALARY]])</f>
        <v>0</v>
      </c>
      <c r="Y7" s="128">
        <f>Jan_Period_1_Tbl[[#This Row],[$ FREE PT]]+Jan_Period_1_Tbl[[#This Row],[$ PAID PT]]</f>
        <v>673.38</v>
      </c>
      <c r="Z7" s="128">
        <f>Jan_Period_1_Tbl[[#This Row],[$ CLASS PAY]]</f>
        <v>195</v>
      </c>
      <c r="AA7" s="128">
        <f>Jan_Period_1_Tbl[[#This Row],[$ EFT COMM]]</f>
        <v>0</v>
      </c>
      <c r="AB7" s="128">
        <f>Jan_Period_1_Tbl[[#This Row],[$ PT COMM]]</f>
        <v>0</v>
      </c>
      <c r="AC7" s="128">
        <f>Jan_Period_1_Tbl[[#This Row],[$ BONUS PAY]]</f>
        <v>0</v>
      </c>
      <c r="AD7" s="128">
        <f>Jan_Period_1_Tbl[[#This Row],[TOTAL PAY]]</f>
        <v>868.38</v>
      </c>
    </row>
    <row r="8" spans="1:30" x14ac:dyDescent="0.25">
      <c r="A8" s="111" t="s">
        <v>3</v>
      </c>
      <c r="B8" s="59"/>
      <c r="C8" s="60"/>
      <c r="D8" s="60"/>
      <c r="E8" s="84"/>
      <c r="F8" s="102"/>
      <c r="G8" s="97" t="str">
        <f>IF(OR(ISBLANK(Jan_Period_1_Tbl[[#This Row],['# HRS WORKED]]),ISBLANK(Jan_Period_1_Tbl[[#This Row],[$ Hourly RATE]])),"",Jan_Period_1_Tbl[[#This Row],['# HRS WORKED]]*Jan_Period_1_Tbl[[#This Row],[$ Hourly RATE]])</f>
        <v/>
      </c>
      <c r="H8" s="102"/>
      <c r="I8" s="102"/>
      <c r="J8" s="102"/>
      <c r="K8" s="102">
        <v>859.9</v>
      </c>
      <c r="L8" s="102"/>
      <c r="M8" s="103"/>
      <c r="N8" s="103"/>
      <c r="O8" s="104"/>
      <c r="P8" s="100">
        <f>IF(Jan_Period_1_Tbl[[#This Row],[$ Hourly WAGES]]="",SUM(Jan_Period_1_Tbl[[#This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PAY]]),SUM(Jan_Period_1_Tbl[[#This Row],[$ Hourly WAGES]]+Jan_Period_1_Tbl[[#This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PAY]]))</f>
        <v>859.9</v>
      </c>
      <c r="Q8" s="118"/>
      <c r="R8" s="136"/>
      <c r="S8" s="136"/>
      <c r="T8" s="136"/>
      <c r="U8" s="136"/>
      <c r="V8" s="126"/>
      <c r="W8" s="127" t="str">
        <f>Jan_Period_1_Tbl[[#This Row],[STAFF:]]</f>
        <v>Justin Stead</v>
      </c>
      <c r="X8" s="128">
        <f>IF(Jan_Period_1_Tbl[[#This Row],[$ Hourly WAGES]]="",Jan_Period_1_Tbl[[#This Row],[$ SALARY]],Jan_Period_1_Tbl[[#This Row],[$ Hourly WAGES]]+Jan_Period_1_Tbl[[#This Row],[$ SALARY]])</f>
        <v>0</v>
      </c>
      <c r="Y8" s="128">
        <f>Jan_Period_1_Tbl[[#This Row],[$ FREE PT]]+Jan_Period_1_Tbl[[#This Row],[$ PAID PT]]</f>
        <v>859.9</v>
      </c>
      <c r="Z8" s="128">
        <f>Jan_Period_1_Tbl[[#This Row],[$ CLASS PAY]]</f>
        <v>0</v>
      </c>
      <c r="AA8" s="128">
        <f>Jan_Period_1_Tbl[[#This Row],[$ EFT COMM]]</f>
        <v>0</v>
      </c>
      <c r="AB8" s="128">
        <f>Jan_Period_1_Tbl[[#This Row],[$ PT COMM]]</f>
        <v>0</v>
      </c>
      <c r="AC8" s="128">
        <f>Jan_Period_1_Tbl[[#This Row],[$ BONUS PAY]]</f>
        <v>0</v>
      </c>
      <c r="AD8" s="128">
        <f>Jan_Period_1_Tbl[[#This Row],[TOTAL PAY]]</f>
        <v>859.9</v>
      </c>
    </row>
    <row r="9" spans="1:30" x14ac:dyDescent="0.25">
      <c r="A9" s="111" t="s">
        <v>4</v>
      </c>
      <c r="B9" s="76"/>
      <c r="C9" s="73"/>
      <c r="D9" s="73"/>
      <c r="E9" s="85"/>
      <c r="F9" s="105"/>
      <c r="G9" s="106" t="str">
        <f>IF(OR(ISBLANK(Jan_Period_1_Tbl[[#This Row],['# HRS WORKED]]),ISBLANK(Jan_Period_1_Tbl[[#This Row],[$ Hourly RATE]])),"",Jan_Period_1_Tbl[[#This Row],['# HRS WORKED]]*Jan_Period_1_Tbl[[#This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1">
        <f>IF(Jan_Period_1_Tbl[[#This Row],[$ Hourly WAGES]]="",SUM(Jan_Period_1_Tbl[[#This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PAY]]),SUM(Jan_Period_1_Tbl[[#This Row],[$ Hourly WAGES]]+Jan_Period_1_Tbl[[#This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PAY]]))</f>
        <v>0</v>
      </c>
      <c r="Q9" s="118"/>
      <c r="R9" s="136"/>
      <c r="S9" s="136"/>
      <c r="T9" s="136"/>
      <c r="U9" s="136"/>
      <c r="V9" s="126"/>
      <c r="W9" s="127" t="str">
        <f>Jan_Period_1_Tbl[[#This Row],[STAFF:]]</f>
        <v>Kelly Glyptis</v>
      </c>
      <c r="X9" s="128">
        <f>IF(Jan_Period_1_Tbl[[#This Row],[$ Hourly WAGES]]="",Jan_Period_1_Tbl[[#This Row],[$ SALARY]],Jan_Period_1_Tbl[[#This Row],[$ Hourly WAGES]]+Jan_Period_1_Tbl[[#This Row],[$ SALARY]])</f>
        <v>0</v>
      </c>
      <c r="Y9" s="128">
        <f>Jan_Period_1_Tbl[[#This Row],[$ FREE PT]]+Jan_Period_1_Tbl[[#This Row],[$ PAID PT]]</f>
        <v>0</v>
      </c>
      <c r="Z9" s="128">
        <f>Jan_Period_1_Tbl[[#This Row],[$ CLASS PAY]]</f>
        <v>0</v>
      </c>
      <c r="AA9" s="128">
        <f>Jan_Period_1_Tbl[[#This Row],[$ EFT COMM]]</f>
        <v>0</v>
      </c>
      <c r="AB9" s="128">
        <f>Jan_Period_1_Tbl[[#This Row],[$ PT COMM]]</f>
        <v>0</v>
      </c>
      <c r="AC9" s="128">
        <f>Jan_Period_1_Tbl[[#This Row],[$ BONUS PAY]]</f>
        <v>0</v>
      </c>
      <c r="AD9" s="128">
        <f>Jan_Period_1_Tbl[[#This Row],[TOTAL PAY]]</f>
        <v>0</v>
      </c>
    </row>
    <row r="10" spans="1:30" x14ac:dyDescent="0.25">
      <c r="A10" s="112" t="s">
        <v>69</v>
      </c>
      <c r="B10" s="76"/>
      <c r="C10" s="73"/>
      <c r="D10" s="73"/>
      <c r="E10" s="85"/>
      <c r="F10" s="105"/>
      <c r="G10" s="106" t="str">
        <f>IF(OR(ISBLANK(Jan_Period_1_Tbl[[#This Row],['# HRS WORKED]]),ISBLANK(Jan_Period_1_Tbl[[#This Row],[$ Hourly RATE]])),"",Jan_Period_1_Tbl[[#This Row],['# HRS WORKED]]*Jan_Period_1_Tbl[[#This Row],[$ Hourly RATE]])</f>
        <v/>
      </c>
      <c r="H10" s="105">
        <v>1175</v>
      </c>
      <c r="I10" s="105"/>
      <c r="J10" s="105"/>
      <c r="K10" s="105"/>
      <c r="L10" s="105"/>
      <c r="M10" s="107"/>
      <c r="N10" s="107"/>
      <c r="O10" s="108"/>
      <c r="P10" s="101">
        <f>IF(Jan_Period_1_Tbl[[#This Row],[$ Hourly WAGES]]="",SUM(Jan_Period_1_Tbl[[#This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PAY]]),SUM(Jan_Period_1_Tbl[[#This Row],[$ Hourly WAGES]]+Jan_Period_1_Tbl[[#This Row],[$ SALARY]]+Jan_Period_1_Tbl[[#This Row],[$ FREE PT]]+Jan_Period_1_Tbl[[#This Row],[$ PAID PT]]+Jan_Period_1_Tbl[[#This Row],[$ PT COMM]]+Jan_Period_1_Tbl[[#This Row],[$ EFT COMM]]+Jan_Period_1_Tbl[[#This Row],[$ CLASS PAY]]+Jan_Period_1_Tbl[[#This Row],[$ BONUS PAY]]))</f>
        <v>1175</v>
      </c>
      <c r="Q10" s="110"/>
      <c r="R10" s="136"/>
      <c r="S10" s="136"/>
      <c r="T10" s="136"/>
      <c r="U10" s="136"/>
      <c r="V10" s="126"/>
      <c r="W10" s="127" t="str">
        <f>Jan_Period_1_Tbl[[#This Row],[STAFF:]]</f>
        <v>Georgine Diolamou</v>
      </c>
      <c r="X10" s="128">
        <f>IF(Jan_Period_1_Tbl[[#This Row],[$ Hourly WAGES]]="",Jan_Period_1_Tbl[[#This Row],[$ SALARY]],Jan_Period_1_Tbl[[#This Row],[$ Hourly WAGES]]+Jan_Period_1_Tbl[[#This Row],[$ SALARY]])</f>
        <v>1175</v>
      </c>
      <c r="Y10" s="128">
        <f>Jan_Period_1_Tbl[[#This Row],[$ FREE PT]]+Jan_Period_1_Tbl[[#This Row],[$ PAID PT]]</f>
        <v>0</v>
      </c>
      <c r="Z10" s="128">
        <f>Jan_Period_1_Tbl[[#This Row],[$ CLASS PAY]]</f>
        <v>0</v>
      </c>
      <c r="AA10" s="128">
        <f>Jan_Period_1_Tbl[[#This Row],[$ EFT COMM]]</f>
        <v>0</v>
      </c>
      <c r="AB10" s="128">
        <f>Jan_Period_1_Tbl[[#This Row],[$ PT COMM]]</f>
        <v>0</v>
      </c>
      <c r="AC10" s="128">
        <f>Jan_Period_1_Tbl[[#This Row],[$ BONUS PAY]]</f>
        <v>0</v>
      </c>
      <c r="AD10" s="128">
        <f>Jan_Period_1_Tbl[[#This Row],[TOTAL PAY]]</f>
        <v>1175</v>
      </c>
    </row>
    <row r="11" spans="1:30" ht="15.75" thickBot="1" x14ac:dyDescent="0.3">
      <c r="A11" s="21" t="s">
        <v>58</v>
      </c>
      <c r="B11" s="22"/>
      <c r="C11" s="79">
        <f>SUBTOTAL(109,Jan_Period_1_Tbl['# PTO USED])</f>
        <v>0</v>
      </c>
      <c r="D11" s="79">
        <f>SUBTOTAL(109,Jan_Period_1_Tbl['# PTO Holiday])</f>
        <v>0</v>
      </c>
      <c r="E11" s="80">
        <f>SUBTOTAL(109,Jan_Period_1_Tbl['# HRS WORKED])</f>
        <v>0</v>
      </c>
      <c r="F11" s="97">
        <f>SUBTOTAL(109,Jan_Period_1_Tbl[$ Hourly RATE])</f>
        <v>0</v>
      </c>
      <c r="G11" s="97">
        <f>SUBTOTAL(109,Jan_Period_1_Tbl[$ Hourly WAGES])</f>
        <v>0</v>
      </c>
      <c r="H11" s="97">
        <f>SUBTOTAL(109,Jan_Period_1_Tbl[$ SALARY])</f>
        <v>2075</v>
      </c>
      <c r="I11" s="97">
        <f>SUBTOTAL(109,Jan_Period_1_Tbl[$ SALARY PT])</f>
        <v>0</v>
      </c>
      <c r="J11" s="97">
        <f>SUBTOTAL(109,Jan_Period_1_Tbl[$ FREE PT])</f>
        <v>24</v>
      </c>
      <c r="K11" s="97">
        <f>SUBTOTAL(109,Jan_Period_1_Tbl[$ PAID PT])</f>
        <v>1509.28</v>
      </c>
      <c r="L11" s="97">
        <f>SUBTOTAL(109,Jan_Period_1_Tbl[$ PT COMM])</f>
        <v>0</v>
      </c>
      <c r="M11" s="98">
        <f>SUBTOTAL(109,Jan_Period_1_Tbl[$ EFT COMM])</f>
        <v>0</v>
      </c>
      <c r="N11" s="98">
        <f>SUBTOTAL(109,Jan_Period_1_Tbl[$ CLASS PAY])</f>
        <v>195</v>
      </c>
      <c r="O11" s="99">
        <f>SUBTOTAL(109,Jan_Period_1_Tbl[$ BONUS PAY])</f>
        <v>0</v>
      </c>
      <c r="P11" s="100">
        <f>SUBTOTAL(109,Jan_Period_1_Tbl[TOTAL PAY])</f>
        <v>3803.28</v>
      </c>
      <c r="Q11"/>
      <c r="R11" s="130">
        <f>SUBTOTAL(109,Jan_Period_1_Tbl['# POINTS EARNED])</f>
        <v>0</v>
      </c>
      <c r="S11" s="130">
        <f>SUBTOTAL(109,Jan_Period_1_Tbl['# POINTS USED])</f>
        <v>0</v>
      </c>
      <c r="T11" s="130">
        <f>SUBTOTAL(109,Jan_Period_1_Tbl['# CLASSES LEAD])</f>
        <v>0</v>
      </c>
      <c r="U11" s="130">
        <f>SUBTOTAL(109,Jan_Period_1_Tbl['# CLASSES SHOW])</f>
        <v>0</v>
      </c>
      <c r="V11" s="125"/>
      <c r="W11" s="165" t="s">
        <v>105</v>
      </c>
      <c r="X11" s="128">
        <f>SUBTOTAL(109,Jan_Period_1_Tbl[$ REGULAR WAGES])</f>
        <v>2075</v>
      </c>
      <c r="Y11" s="128">
        <f>SUBTOTAL(109,Jan_Period_1_Tbl[$ PERSONAL TRAINING])</f>
        <v>1533.28</v>
      </c>
      <c r="Z11" s="128">
        <f>SUBTOTAL(109,Jan_Period_1_Tbl[$ CLASSES])</f>
        <v>195</v>
      </c>
      <c r="AA11" s="128">
        <f>SUBTOTAL(109,Jan_Period_1_Tbl[$ EFT COMMISSION])</f>
        <v>0</v>
      </c>
      <c r="AB11" s="128">
        <f>SUBTOTAL(109,Jan_Period_1_Tbl[$ PT COMMISSION])</f>
        <v>0</v>
      </c>
      <c r="AC11" s="128">
        <f>SUBTOTAL(109,Jan_Period_1_Tbl[BONUS])</f>
        <v>0</v>
      </c>
      <c r="AD11" s="128">
        <f>SUBTOTAL(109,Jan_Period_1_Tbl[TOTAL
PAY])</f>
        <v>3803.28</v>
      </c>
    </row>
    <row r="12" spans="1:30" s="30" customFormat="1" ht="15.75" thickTop="1" x14ac:dyDescent="0.25">
      <c r="A12" s="29"/>
      <c r="B12" s="33"/>
      <c r="C12" s="42"/>
      <c r="D12" s="82"/>
      <c r="E12" s="35"/>
      <c r="F12" s="34"/>
      <c r="G12" s="34"/>
      <c r="H12" s="34"/>
      <c r="I12" s="77"/>
      <c r="J12" s="34"/>
      <c r="K12" s="35"/>
      <c r="L12" s="35"/>
      <c r="M12" s="34"/>
      <c r="N12" s="34"/>
      <c r="O12" s="27"/>
      <c r="R12" s="122"/>
      <c r="S12" s="122"/>
      <c r="T12" s="122"/>
      <c r="U12" s="122"/>
      <c r="V12" s="125"/>
      <c r="W12" s="166" t="s">
        <v>106</v>
      </c>
      <c r="X12" s="162">
        <f>SUBTOTAL(109,Jan_Period_1_Tbl[$ REGULAR WAGES])</f>
        <v>2075</v>
      </c>
      <c r="Y12" s="162">
        <f>SUBTOTAL(109,Jan_Period_1_Tbl[$ PERSONAL TRAINING])</f>
        <v>1533.28</v>
      </c>
      <c r="Z12" s="162">
        <f>SUBTOTAL(109,Jan_Period_1_Tbl[$ CLASSES])</f>
        <v>195</v>
      </c>
      <c r="AA12" s="162">
        <f>SUBTOTAL(109,Jan_Period_1_Tbl[$ EFT COMMISSION])</f>
        <v>0</v>
      </c>
      <c r="AB12" s="162">
        <f>SUBTOTAL(109,Jan_Period_1_Tbl[$ PT COMMISSION])</f>
        <v>0</v>
      </c>
      <c r="AC12" s="162">
        <f>SUBTOTAL(109,Jan_Period_1_Tbl[BONUS])</f>
        <v>0</v>
      </c>
      <c r="AD12" s="162">
        <f>SUBTOTAL(109,Jan_Period_1_Tbl[TOTAL
PAY])</f>
        <v>3803.28</v>
      </c>
    </row>
    <row r="13" spans="1:30" s="30" customFormat="1" ht="12.75" x14ac:dyDescent="0.2">
      <c r="A13" s="88" t="s">
        <v>84</v>
      </c>
      <c r="B13" s="36">
        <f>Summary!D69</f>
        <v>42750</v>
      </c>
      <c r="C13" s="43"/>
      <c r="D13" s="83"/>
      <c r="E13" s="39"/>
      <c r="F13" s="38"/>
      <c r="G13" s="38"/>
      <c r="H13" s="38"/>
      <c r="I13" s="38"/>
      <c r="J13" s="38"/>
      <c r="K13" s="39"/>
      <c r="L13" s="39"/>
      <c r="M13" s="38"/>
      <c r="N13" s="38"/>
      <c r="O13" s="37"/>
      <c r="R13" s="122"/>
      <c r="S13" s="122"/>
      <c r="T13" s="122"/>
      <c r="U13" s="122"/>
    </row>
    <row r="14" spans="1:30" x14ac:dyDescent="0.25">
      <c r="A14" s="88" t="s">
        <v>5</v>
      </c>
      <c r="B14" s="36" t="s">
        <v>36</v>
      </c>
      <c r="C14" s="43"/>
      <c r="D14" s="83"/>
      <c r="E14" s="39"/>
      <c r="F14" s="38"/>
      <c r="G14" s="38"/>
      <c r="H14" s="38"/>
      <c r="I14" s="38"/>
      <c r="J14" s="38"/>
      <c r="K14" s="39"/>
      <c r="L14" s="39"/>
      <c r="M14" s="38"/>
      <c r="N14" s="38"/>
      <c r="O14" s="37"/>
      <c r="P14" s="32"/>
      <c r="R14" s="30" t="s">
        <v>95</v>
      </c>
      <c r="S14" s="123"/>
      <c r="T14" s="123"/>
      <c r="U14" s="123"/>
      <c r="W14" s="163" t="s">
        <v>96</v>
      </c>
      <c r="X14" s="164"/>
      <c r="Y14" s="164"/>
      <c r="Z14" s="164"/>
      <c r="AA14" s="164"/>
      <c r="AB14" s="164"/>
      <c r="AC14" s="164"/>
      <c r="AD14" s="164"/>
    </row>
    <row r="15" spans="1:30" ht="32.25" customHeight="1" thickBot="1" x14ac:dyDescent="0.3">
      <c r="A15" s="55" t="s">
        <v>85</v>
      </c>
      <c r="B15" s="89" t="s">
        <v>0</v>
      </c>
      <c r="C15" s="58" t="s">
        <v>18</v>
      </c>
      <c r="D15" s="58" t="s">
        <v>87</v>
      </c>
      <c r="E15" s="90" t="s">
        <v>12</v>
      </c>
      <c r="F15" s="56" t="s">
        <v>88</v>
      </c>
      <c r="G15" s="56" t="s">
        <v>89</v>
      </c>
      <c r="H15" s="56" t="s">
        <v>90</v>
      </c>
      <c r="I15" s="91" t="s">
        <v>9</v>
      </c>
      <c r="J15" s="92" t="s">
        <v>7</v>
      </c>
      <c r="K15" s="91" t="s">
        <v>8</v>
      </c>
      <c r="L15" s="57" t="s">
        <v>14</v>
      </c>
      <c r="M15" s="58" t="s">
        <v>15</v>
      </c>
      <c r="N15" s="58" t="s">
        <v>13</v>
      </c>
      <c r="O15" s="93" t="s">
        <v>16</v>
      </c>
      <c r="P15" s="94" t="s">
        <v>17</v>
      </c>
      <c r="Q15" s="117" t="s">
        <v>86</v>
      </c>
      <c r="R15" s="176" t="s">
        <v>94</v>
      </c>
      <c r="S15" s="176" t="s">
        <v>93</v>
      </c>
      <c r="T15" s="176" t="s">
        <v>91</v>
      </c>
      <c r="U15" s="176" t="s">
        <v>92</v>
      </c>
      <c r="V15" s="117" t="s">
        <v>97</v>
      </c>
      <c r="W15" s="132" t="s">
        <v>98</v>
      </c>
      <c r="X15" s="131" t="s">
        <v>99</v>
      </c>
      <c r="Y15" s="131" t="s">
        <v>100</v>
      </c>
      <c r="Z15" s="131" t="s">
        <v>101</v>
      </c>
      <c r="AA15" s="131" t="s">
        <v>102</v>
      </c>
      <c r="AB15" s="131" t="s">
        <v>103</v>
      </c>
      <c r="AC15" s="131" t="s">
        <v>104</v>
      </c>
      <c r="AD15" s="131" t="s">
        <v>107</v>
      </c>
    </row>
    <row r="16" spans="1:30" x14ac:dyDescent="0.25">
      <c r="A16" s="111" t="s">
        <v>1</v>
      </c>
      <c r="B16" s="59"/>
      <c r="C16" s="60"/>
      <c r="D16" s="60"/>
      <c r="E16" s="84"/>
      <c r="F16" s="102"/>
      <c r="G16" s="97" t="str">
        <f>IF(OR(ISBLANK(Jan_Period_2_Tbl[[#This Row],['# HRS WORKED]]),ISBLANK(Jan_Period_2_Tbl[[#This Row],[$ Hourly RATE]])),"",Jan_Period_2_Tbl[[#This Row],['# HRS WORKED]]*Jan_Period_2_Tbl[[#This Row],[$ Hourly RATE]])</f>
        <v/>
      </c>
      <c r="H16" s="102">
        <v>900</v>
      </c>
      <c r="I16" s="102"/>
      <c r="J16" s="102"/>
      <c r="K16" s="102"/>
      <c r="L16" s="102"/>
      <c r="M16" s="103">
        <v>410.16</v>
      </c>
      <c r="N16" s="103"/>
      <c r="O16" s="104"/>
      <c r="P16" s="100">
        <f>IF(Jan_Period_2_Tbl[[#This Row],[$ Hourly WAGES]]="",SUM(Jan_Period_2_Tbl[[#This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PAY]]),SUM(Jan_Period_2_Tbl[[#This Row],[$ Hourly WAGES]]+Jan_Period_2_Tbl[[#This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PAY]]))</f>
        <v>1310.1600000000001</v>
      </c>
      <c r="Q16" s="115"/>
      <c r="R16" s="135"/>
      <c r="S16" s="135"/>
      <c r="T16" s="135"/>
      <c r="U16" s="135"/>
      <c r="V16" s="120"/>
      <c r="W16" s="127" t="str">
        <f>Jan_Period_2_Tbl[[#This Row],[STAFF:]]</f>
        <v>Roxy Ayala</v>
      </c>
      <c r="X16" s="128">
        <f>IF(Jan_Period_2_Tbl[[#This Row],[$ Hourly WAGES]]="",Jan_Period_2_Tbl[[#This Row],[$ SALARY]],Jan_Period_2_Tbl[[#This Row],[$ Hourly WAGES]]+Jan_Period_2_Tbl[[#This Row],[$ SALARY]])</f>
        <v>900</v>
      </c>
      <c r="Y16" s="128">
        <f>Jan_Period_2_Tbl[[#This Row],[$ FREE PT]]+Jan_Period_2_Tbl[[#This Row],[$ PAID PT]]</f>
        <v>0</v>
      </c>
      <c r="Z16" s="128">
        <f>Jan_Period_2_Tbl[[#This Row],[$ CLASS PAY]]</f>
        <v>0</v>
      </c>
      <c r="AA16" s="128">
        <f>Jan_Period_2_Tbl[[#This Row],[$ EFT COMM]]</f>
        <v>410.16</v>
      </c>
      <c r="AB16" s="128">
        <f>Jan_Period_2_Tbl[[#This Row],[$ PT COMM]]</f>
        <v>0</v>
      </c>
      <c r="AC16" s="128">
        <f>Jan_Period_2_Tbl[[#This Row],[$ BONUS PAY]]</f>
        <v>0</v>
      </c>
      <c r="AD16" s="128">
        <f>Jan_Period_2_Tbl[[#This Row],[TOTAL PAY]]</f>
        <v>1310.1600000000001</v>
      </c>
    </row>
    <row r="17" spans="1:30" x14ac:dyDescent="0.25">
      <c r="A17" s="111" t="s">
        <v>2</v>
      </c>
      <c r="B17" s="59"/>
      <c r="C17" s="60"/>
      <c r="D17" s="60"/>
      <c r="E17" s="84"/>
      <c r="F17" s="102"/>
      <c r="G17" s="97" t="str">
        <f>IF(OR(ISBLANK(Jan_Period_2_Tbl[[#This Row],['# HRS WORKED]]),ISBLANK(Jan_Period_2_Tbl[[#This Row],[$ Hourly RATE]])),"",Jan_Period_2_Tbl[[#This Row],['# HRS WORKED]]*Jan_Period_2_Tbl[[#This Row],[$ Hourly RATE]])</f>
        <v/>
      </c>
      <c r="H17" s="102"/>
      <c r="I17" s="102"/>
      <c r="J17" s="102">
        <v>176</v>
      </c>
      <c r="K17" s="102">
        <v>291.23</v>
      </c>
      <c r="L17" s="102">
        <v>24.08</v>
      </c>
      <c r="M17" s="103"/>
      <c r="N17" s="103">
        <v>90</v>
      </c>
      <c r="O17" s="104"/>
      <c r="P17" s="100">
        <f>IF(Jan_Period_2_Tbl[[#This Row],[$ Hourly WAGES]]="",SUM(Jan_Period_2_Tbl[[#This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PAY]]),SUM(Jan_Period_2_Tbl[[#This Row],[$ Hourly WAGES]]+Jan_Period_2_Tbl[[#This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PAY]]))</f>
        <v>581.30999999999995</v>
      </c>
      <c r="Q17" s="115"/>
      <c r="R17" s="135"/>
      <c r="S17" s="135"/>
      <c r="T17" s="135"/>
      <c r="U17" s="135"/>
      <c r="V17" s="120"/>
      <c r="W17" s="127" t="str">
        <f>Jan_Period_2_Tbl[[#This Row],[STAFF:]]</f>
        <v>David Pecinovsky</v>
      </c>
      <c r="X17" s="128">
        <f>IF(Jan_Period_2_Tbl[[#This Row],[$ Hourly WAGES]]="",Jan_Period_2_Tbl[[#This Row],[$ SALARY]],Jan_Period_2_Tbl[[#This Row],[$ Hourly WAGES]]+Jan_Period_2_Tbl[[#This Row],[$ SALARY]])</f>
        <v>0</v>
      </c>
      <c r="Y17" s="128">
        <f>Jan_Period_2_Tbl[[#This Row],[$ FREE PT]]+Jan_Period_2_Tbl[[#This Row],[$ PAID PT]]</f>
        <v>467.23</v>
      </c>
      <c r="Z17" s="128">
        <f>Jan_Period_2_Tbl[[#This Row],[$ CLASS PAY]]</f>
        <v>90</v>
      </c>
      <c r="AA17" s="128">
        <f>Jan_Period_2_Tbl[[#This Row],[$ EFT COMM]]</f>
        <v>0</v>
      </c>
      <c r="AB17" s="128">
        <f>Jan_Period_2_Tbl[[#This Row],[$ PT COMM]]</f>
        <v>24.08</v>
      </c>
      <c r="AC17" s="128">
        <f>Jan_Period_2_Tbl[[#This Row],[$ BONUS PAY]]</f>
        <v>0</v>
      </c>
      <c r="AD17" s="128">
        <f>Jan_Period_2_Tbl[[#This Row],[TOTAL PAY]]</f>
        <v>581.30999999999995</v>
      </c>
    </row>
    <row r="18" spans="1:30" x14ac:dyDescent="0.25">
      <c r="A18" s="111" t="s">
        <v>3</v>
      </c>
      <c r="B18" s="59"/>
      <c r="C18" s="60"/>
      <c r="D18" s="60"/>
      <c r="E18" s="84"/>
      <c r="F18" s="102"/>
      <c r="G18" s="97" t="str">
        <f>IF(OR(ISBLANK(Jan_Period_2_Tbl[[#This Row],['# HRS WORKED]]),ISBLANK(Jan_Period_2_Tbl[[#This Row],[$ Hourly RATE]])),"",Jan_Period_2_Tbl[[#This Row],['# HRS WORKED]]*Jan_Period_2_Tbl[[#This Row],[$ Hourly RATE]])</f>
        <v/>
      </c>
      <c r="H18" s="102"/>
      <c r="I18" s="102"/>
      <c r="J18" s="102"/>
      <c r="K18" s="102">
        <v>486</v>
      </c>
      <c r="L18" s="102"/>
      <c r="M18" s="103"/>
      <c r="N18" s="103"/>
      <c r="O18" s="104"/>
      <c r="P18" s="100">
        <f>IF(Jan_Period_2_Tbl[[#This Row],[$ Hourly WAGES]]="",SUM(Jan_Period_2_Tbl[[#This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PAY]]),SUM(Jan_Period_2_Tbl[[#This Row],[$ Hourly WAGES]]+Jan_Period_2_Tbl[[#This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PAY]]))</f>
        <v>486</v>
      </c>
      <c r="Q18" s="115"/>
      <c r="R18" s="135"/>
      <c r="S18" s="135"/>
      <c r="T18" s="135"/>
      <c r="U18" s="135"/>
      <c r="V18" s="120"/>
      <c r="W18" s="127" t="str">
        <f>Jan_Period_2_Tbl[[#This Row],[STAFF:]]</f>
        <v>Justin Stead</v>
      </c>
      <c r="X18" s="128">
        <f>IF(Jan_Period_2_Tbl[[#This Row],[$ Hourly WAGES]]="",Jan_Period_2_Tbl[[#This Row],[$ SALARY]],Jan_Period_2_Tbl[[#This Row],[$ Hourly WAGES]]+Jan_Period_2_Tbl[[#This Row],[$ SALARY]])</f>
        <v>0</v>
      </c>
      <c r="Y18" s="128">
        <f>Jan_Period_2_Tbl[[#This Row],[$ FREE PT]]+Jan_Period_2_Tbl[[#This Row],[$ PAID PT]]</f>
        <v>486</v>
      </c>
      <c r="Z18" s="128">
        <f>Jan_Period_2_Tbl[[#This Row],[$ CLASS PAY]]</f>
        <v>0</v>
      </c>
      <c r="AA18" s="128">
        <f>Jan_Period_2_Tbl[[#This Row],[$ EFT COMM]]</f>
        <v>0</v>
      </c>
      <c r="AB18" s="128">
        <f>Jan_Period_2_Tbl[[#This Row],[$ PT COMM]]</f>
        <v>0</v>
      </c>
      <c r="AC18" s="128">
        <f>Jan_Period_2_Tbl[[#This Row],[$ BONUS PAY]]</f>
        <v>0</v>
      </c>
      <c r="AD18" s="128">
        <f>Jan_Period_2_Tbl[[#This Row],[TOTAL PAY]]</f>
        <v>486</v>
      </c>
    </row>
    <row r="19" spans="1:30" x14ac:dyDescent="0.25">
      <c r="A19" s="112" t="s">
        <v>69</v>
      </c>
      <c r="B19" s="72"/>
      <c r="C19" s="73"/>
      <c r="D19" s="73"/>
      <c r="E19" s="85"/>
      <c r="F19" s="105"/>
      <c r="G19" s="106" t="str">
        <f>IF(OR(ISBLANK(Jan_Period_2_Tbl[[#This Row],['# HRS WORKED]]),ISBLANK(Jan_Period_2_Tbl[[#This Row],[$ Hourly RATE]])),"",Jan_Period_2_Tbl[[#This Row],['# HRS WORKED]]*Jan_Period_2_Tbl[[#This Row],[$ Hourly RATE]])</f>
        <v/>
      </c>
      <c r="H19" s="105">
        <v>1200</v>
      </c>
      <c r="I19" s="105"/>
      <c r="J19" s="105"/>
      <c r="K19" s="105"/>
      <c r="L19" s="105">
        <v>9.6</v>
      </c>
      <c r="M19" s="107">
        <v>96.37</v>
      </c>
      <c r="N19" s="107"/>
      <c r="O19" s="108"/>
      <c r="P19" s="100">
        <f>IF(Jan_Period_2_Tbl[[#This Row],[$ Hourly WAGES]]="",SUM(Jan_Period_2_Tbl[[#This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PAY]]),SUM(Jan_Period_2_Tbl[[#This Row],[$ Hourly WAGES]]+Jan_Period_2_Tbl[[#This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PAY]]))</f>
        <v>1305.9699999999998</v>
      </c>
      <c r="Q19" s="115"/>
      <c r="R19" s="135"/>
      <c r="S19" s="135"/>
      <c r="T19" s="135"/>
      <c r="U19" s="135"/>
      <c r="V19" s="120"/>
      <c r="W19" s="127" t="str">
        <f>Jan_Period_2_Tbl[[#This Row],[STAFF:]]</f>
        <v>Georgine Diolamou</v>
      </c>
      <c r="X19" s="128">
        <f>IF(Jan_Period_2_Tbl[[#This Row],[$ Hourly WAGES]]="",Jan_Period_2_Tbl[[#This Row],[$ SALARY]],Jan_Period_2_Tbl[[#This Row],[$ Hourly WAGES]]+Jan_Period_2_Tbl[[#This Row],[$ SALARY]])</f>
        <v>1200</v>
      </c>
      <c r="Y19" s="128">
        <f>Jan_Period_2_Tbl[[#This Row],[$ FREE PT]]+Jan_Period_2_Tbl[[#This Row],[$ PAID PT]]</f>
        <v>0</v>
      </c>
      <c r="Z19" s="128">
        <f>Jan_Period_2_Tbl[[#This Row],[$ CLASS PAY]]</f>
        <v>0</v>
      </c>
      <c r="AA19" s="128">
        <f>Jan_Period_2_Tbl[[#This Row],[$ EFT COMM]]</f>
        <v>96.37</v>
      </c>
      <c r="AB19" s="128">
        <f>Jan_Period_2_Tbl[[#This Row],[$ PT COMM]]</f>
        <v>9.6</v>
      </c>
      <c r="AC19" s="128">
        <f>Jan_Period_2_Tbl[[#This Row],[$ BONUS PAY]]</f>
        <v>0</v>
      </c>
      <c r="AD19" s="128">
        <f>Jan_Period_2_Tbl[[#This Row],[TOTAL PAY]]</f>
        <v>1305.9699999999998</v>
      </c>
    </row>
    <row r="20" spans="1:30" x14ac:dyDescent="0.25">
      <c r="A20" s="112" t="s">
        <v>4</v>
      </c>
      <c r="B20" s="72"/>
      <c r="C20" s="73"/>
      <c r="D20" s="73"/>
      <c r="E20" s="85"/>
      <c r="F20" s="105"/>
      <c r="G20" s="106" t="str">
        <f>IF(OR(ISBLANK(Jan_Period_2_Tbl[[#This Row],['# HRS WORKED]]),ISBLANK(Jan_Period_2_Tbl[[#This Row],[$ Hourly RATE]])),"",Jan_Period_2_Tbl[[#This Row],['# HRS WORKED]]*Jan_Period_2_Tbl[[#This Row],[$ Hourly RATE]])</f>
        <v/>
      </c>
      <c r="H20" s="105"/>
      <c r="I20" s="105"/>
      <c r="J20" s="105"/>
      <c r="K20" s="105"/>
      <c r="L20" s="105"/>
      <c r="M20" s="107"/>
      <c r="N20" s="107"/>
      <c r="O20" s="108"/>
      <c r="P20" s="100">
        <f>IF(Jan_Period_2_Tbl[[#This Row],[$ Hourly WAGES]]="",SUM(Jan_Period_2_Tbl[[#This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PAY]]),SUM(Jan_Period_2_Tbl[[#This Row],[$ Hourly WAGES]]+Jan_Period_2_Tbl[[#This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PAY]]))</f>
        <v>0</v>
      </c>
      <c r="Q20" s="115"/>
      <c r="R20" s="135"/>
      <c r="S20" s="135"/>
      <c r="T20" s="135"/>
      <c r="U20" s="135"/>
      <c r="V20" s="120"/>
      <c r="W20" s="127" t="str">
        <f>Jan_Period_2_Tbl[[#This Row],[STAFF:]]</f>
        <v>Kelly Glyptis</v>
      </c>
      <c r="X20" s="128">
        <f>IF(Jan_Period_2_Tbl[[#This Row],[$ Hourly WAGES]]="",Jan_Period_2_Tbl[[#This Row],[$ SALARY]],Jan_Period_2_Tbl[[#This Row],[$ Hourly WAGES]]+Jan_Period_2_Tbl[[#This Row],[$ SALARY]])</f>
        <v>0</v>
      </c>
      <c r="Y20" s="128">
        <f>Jan_Period_2_Tbl[[#This Row],[$ FREE PT]]+Jan_Period_2_Tbl[[#This Row],[$ PAID PT]]</f>
        <v>0</v>
      </c>
      <c r="Z20" s="128">
        <f>Jan_Period_2_Tbl[[#This Row],[$ CLASS PAY]]</f>
        <v>0</v>
      </c>
      <c r="AA20" s="128">
        <f>Jan_Period_2_Tbl[[#This Row],[$ EFT COMM]]</f>
        <v>0</v>
      </c>
      <c r="AB20" s="128">
        <f>Jan_Period_2_Tbl[[#This Row],[$ PT COMM]]</f>
        <v>0</v>
      </c>
      <c r="AC20" s="128">
        <f>Jan_Period_2_Tbl[[#This Row],[$ BONUS PAY]]</f>
        <v>0</v>
      </c>
      <c r="AD20" s="128">
        <f>Jan_Period_2_Tbl[[#This Row],[TOTAL PAY]]</f>
        <v>0</v>
      </c>
    </row>
    <row r="21" spans="1:30" x14ac:dyDescent="0.25">
      <c r="A21" s="112"/>
      <c r="B21" s="208"/>
      <c r="C21" s="73"/>
      <c r="D21" s="73"/>
      <c r="E21" s="85"/>
      <c r="F21" s="105"/>
      <c r="G21" s="106" t="str">
        <f>IF(OR(ISBLANK(Jan_Period_2_Tbl[[#This Row],['# HRS WORKED]]),ISBLANK(Jan_Period_2_Tbl[[#This Row],[$ Hourly RATE]])),"",Jan_Period_2_Tbl[[#This Row],['# HRS WORKED]]*Jan_Period_2_Tbl[[#This Row],[$ Hourly RATE]])</f>
        <v/>
      </c>
      <c r="H21" s="105"/>
      <c r="I21" s="105"/>
      <c r="J21" s="105"/>
      <c r="K21" s="105"/>
      <c r="L21" s="105"/>
      <c r="M21" s="107"/>
      <c r="N21" s="107"/>
      <c r="O21" s="108"/>
      <c r="P21" s="209">
        <f>IF(Jan_Period_2_Tbl[[#This Row],[$ Hourly WAGES]]="",SUM(Jan_Period_2_Tbl[[#This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PAY]]),SUM(Jan_Period_2_Tbl[[#This Row],[$ Hourly WAGES]]+Jan_Period_2_Tbl[[#This Row],[$ SALARY]]+Jan_Period_2_Tbl[[#This Row],[$ FREE PT]]+Jan_Period_2_Tbl[[#This Row],[$ PAID PT]]+Jan_Period_2_Tbl[[#This Row],[$ PT COMM]]+Jan_Period_2_Tbl[[#This Row],[$ EFT COMM]]+Jan_Period_2_Tbl[[#This Row],[$ CLASS PAY]]+Jan_Period_2_Tbl[[#This Row],[$ BONUS PAY]]))</f>
        <v>0</v>
      </c>
      <c r="Q21" s="115"/>
      <c r="R21" s="135"/>
      <c r="S21" s="135"/>
      <c r="T21" s="135"/>
      <c r="U21" s="135"/>
      <c r="V21" s="120"/>
      <c r="W21" s="127">
        <f>Jan_Period_2_Tbl[[#This Row],[STAFF:]]</f>
        <v>0</v>
      </c>
      <c r="X21" s="128">
        <f>IF(Jan_Period_2_Tbl[[#This Row],[$ Hourly WAGES]]="",Jan_Period_2_Tbl[[#This Row],[$ SALARY]],Jan_Period_2_Tbl[[#This Row],[$ Hourly WAGES]]+Jan_Period_2_Tbl[[#This Row],[$ SALARY]])</f>
        <v>0</v>
      </c>
      <c r="Y21" s="128">
        <f>Jan_Period_2_Tbl[[#This Row],[$ FREE PT]]+Jan_Period_2_Tbl[[#This Row],[$ PAID PT]]</f>
        <v>0</v>
      </c>
      <c r="Z21" s="128">
        <f>Jan_Period_2_Tbl[[#This Row],[$ CLASS PAY]]</f>
        <v>0</v>
      </c>
      <c r="AA21" s="128">
        <f>Jan_Period_2_Tbl[[#This Row],[$ EFT COMM]]</f>
        <v>0</v>
      </c>
      <c r="AB21" s="128">
        <f>Jan_Period_2_Tbl[[#This Row],[$ PT COMM]]</f>
        <v>0</v>
      </c>
      <c r="AC21" s="128">
        <f>Jan_Period_2_Tbl[[#This Row],[$ BONUS PAY]]</f>
        <v>0</v>
      </c>
      <c r="AD21" s="128">
        <f>Jan_Period_2_Tbl[[#This Row],[TOTAL PAY]]</f>
        <v>0</v>
      </c>
    </row>
    <row r="22" spans="1:30" ht="15.75" thickBot="1" x14ac:dyDescent="0.3">
      <c r="A22" s="21" t="s">
        <v>58</v>
      </c>
      <c r="B22" s="22"/>
      <c r="C22" s="79">
        <f>SUBTOTAL(109,Jan_Period_2_Tbl['# PTO USED])</f>
        <v>0</v>
      </c>
      <c r="D22" s="79">
        <f>SUBTOTAL(109,Jan_Period_2_Tbl['# PTO Holiday])</f>
        <v>0</v>
      </c>
      <c r="E22" s="80">
        <f>SUBTOTAL(109,Jan_Period_2_Tbl['# HRS WORKED])</f>
        <v>0</v>
      </c>
      <c r="F22" s="97">
        <f>SUBTOTAL(109,Jan_Period_2_Tbl[$ Hourly RATE])</f>
        <v>0</v>
      </c>
      <c r="G22" s="97">
        <f>SUBTOTAL(109,Jan_Period_2_Tbl[$ Hourly WAGES])</f>
        <v>0</v>
      </c>
      <c r="H22" s="97">
        <f>SUBTOTAL(109,Jan_Period_2_Tbl[$ SALARY])</f>
        <v>2100</v>
      </c>
      <c r="I22" s="97">
        <f>SUBTOTAL(109,Jan_Period_2_Tbl[$ SALARY PT])</f>
        <v>0</v>
      </c>
      <c r="J22" s="97">
        <f>SUBTOTAL(109,Jan_Period_2_Tbl[$ FREE PT])</f>
        <v>176</v>
      </c>
      <c r="K22" s="97">
        <f>SUBTOTAL(109,Jan_Period_2_Tbl[$ PAID PT])</f>
        <v>777.23</v>
      </c>
      <c r="L22" s="97">
        <f>SUBTOTAL(109,Jan_Period_2_Tbl[$ PT COMM])</f>
        <v>33.68</v>
      </c>
      <c r="M22" s="98">
        <f>SUBTOTAL(109,Jan_Period_2_Tbl[$ EFT COMM])</f>
        <v>506.53000000000003</v>
      </c>
      <c r="N22" s="98">
        <f>SUBTOTAL(109,Jan_Period_2_Tbl[$ CLASS PAY])</f>
        <v>90</v>
      </c>
      <c r="O22" s="99">
        <f>SUBTOTAL(109,Jan_Period_2_Tbl[$ BONUS PAY])</f>
        <v>0</v>
      </c>
      <c r="P22" s="100">
        <f>SUBTOTAL(109,Jan_Period_2_Tbl[TOTAL PAY])</f>
        <v>3683.44</v>
      </c>
      <c r="Q22" s="109"/>
      <c r="R22" s="120">
        <f>SUBTOTAL(109,Jan_Period_2_Tbl['# POINTS EARNED])</f>
        <v>0</v>
      </c>
      <c r="S22" s="120">
        <f>SUBTOTAL(109,Jan_Period_2_Tbl['# POINTS USED])</f>
        <v>0</v>
      </c>
      <c r="T22" s="120">
        <f>SUBTOTAL(109,Jan_Period_2_Tbl['# CLASSES LEAD])</f>
        <v>0</v>
      </c>
      <c r="U22" s="120">
        <f>SUBTOTAL(109,Jan_Period_2_Tbl['# CLASSES SHOW])</f>
        <v>0</v>
      </c>
      <c r="V22" s="123"/>
      <c r="W22" s="165" t="s">
        <v>105</v>
      </c>
      <c r="X22" s="128">
        <f>SUBTOTAL(109,Jan_Period_2_Tbl[$ REGULAR WAGES])</f>
        <v>2100</v>
      </c>
      <c r="Y22" s="128">
        <f>SUBTOTAL(109,Jan_Period_2_Tbl[$ PERSONAL TRAINING])</f>
        <v>953.23</v>
      </c>
      <c r="Z22" s="128">
        <f>SUBTOTAL(109,Jan_Period_2_Tbl[$ CLASSES])</f>
        <v>90</v>
      </c>
      <c r="AA22" s="128">
        <f>SUBTOTAL(109,Jan_Period_2_Tbl[$ EFT COMMISSION])</f>
        <v>506.53000000000003</v>
      </c>
      <c r="AB22" s="128">
        <f>SUBTOTAL(109,Jan_Period_2_Tbl[$ PT COMMISSION])</f>
        <v>33.68</v>
      </c>
      <c r="AC22" s="128">
        <f>SUBTOTAL(109,Jan_Period_2_Tbl[BONUS])</f>
        <v>0</v>
      </c>
      <c r="AD22" s="128">
        <f>SUBTOTAL(109,Jan_Period_2_Tbl[TOTAL
PAY])</f>
        <v>3683.44</v>
      </c>
    </row>
    <row r="23" spans="1:30" ht="15.75" thickTop="1" x14ac:dyDescent="0.25">
      <c r="R23" s="119"/>
      <c r="S23" s="119"/>
      <c r="T23" s="119"/>
      <c r="U23" s="119"/>
      <c r="W23" s="166" t="s">
        <v>106</v>
      </c>
      <c r="X23" s="162">
        <f>Jan_Period_1_Tbl[[#Totals],[$ REGULAR WAGES]]+Jan_Period_2_Tbl[[#Totals],[$ REGULAR WAGES]]</f>
        <v>4175</v>
      </c>
      <c r="Y23" s="162">
        <f>Jan_Period_1_Tbl[[#Totals],[$ PERSONAL TRAINING]]+Jan_Period_2_Tbl[[#Totals],[$ PERSONAL TRAINING]]</f>
        <v>2486.5100000000002</v>
      </c>
      <c r="Z23" s="162">
        <f>Jan_Period_1_Tbl[[#Totals],[$ CLASSES]]+Jan_Period_2_Tbl[[#Totals],[$ CLASSES]]</f>
        <v>285</v>
      </c>
      <c r="AA23" s="162">
        <f>Jan_Period_1_Tbl[[#Totals],[$ EFT COMMISSION]]+Jan_Period_2_Tbl[[#Totals],[$ EFT COMMISSION]]</f>
        <v>506.53000000000003</v>
      </c>
      <c r="AB23" s="162">
        <f>Jan_Period_1_Tbl[[#Totals],[$ PT COMMISSION]]+Jan_Period_2_Tbl[[#Totals],[$ PT COMMISSION]]</f>
        <v>33.68</v>
      </c>
      <c r="AC23" s="162">
        <f>Jan_Period_1_Tbl[[#Totals],[BONUS]]+Jan_Period_2_Tbl[[#Totals],[BONUS]]</f>
        <v>0</v>
      </c>
      <c r="AD23" s="162">
        <f>Jan_Period_1_Tbl[[#Totals],[TOTAL
PAY]]+Jan_Period_2_Tbl[[#Totals],[TOTAL
PAY]]</f>
        <v>7486.72</v>
      </c>
    </row>
  </sheetData>
  <sheetProtection algorithmName="SHA-512" hashValue="gu+ZiaRcPLvPFZq+TdogIU/2aIwNlOUkE1WVmMkvgViD1DTcKKzDEyFvLVwdawDFFVaCtVQyk4J6ktfyaLSmNQ==" saltValue="TiKsZkpMX6Mb1BOwT3VU+w==" spinCount="100000" sheet="1" objects="1" scenarios="1"/>
  <mergeCells count="1">
    <mergeCell ref="A1:P1"/>
  </mergeCells>
  <pageMargins left="0.7" right="0.7" top="0.75" bottom="0.75" header="0.3" footer="0.3"/>
  <pageSetup orientation="portrait" horizontalDpi="4294967293" verticalDpi="4294967293" r:id="rId1"/>
  <ignoredErrors>
    <ignoredError sqref="W23:AD23" calculatedColumn="1"/>
  </ignoredErrors>
  <drawing r:id="rId2"/>
  <legacy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02_Feb2017"/>
  <dimension ref="A1:AD20"/>
  <sheetViews>
    <sheetView showGridLines="0" tabSelected="1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28515625" style="29" customWidth="1"/>
    <col min="30" max="30" width="8.7109375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Summary!D70</f>
        <v>42767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IF(OR(ISBLANK(Feb_Period_1_Tbl[[#This Row],['# HRS WORKED]]),ISBLANK(Feb_Period_1_Tbl[[#This Row],[$ Hourly RATE]])),"",Feb_Period_1_Tbl[[#This Row],['# HRS WORKED]]*Feb_Period_1_Tbl[[#This Row],[$ Hourly RATE]])</f>
        <v/>
      </c>
      <c r="H6" s="102">
        <v>900</v>
      </c>
      <c r="I6" s="102"/>
      <c r="J6" s="102"/>
      <c r="K6" s="102"/>
      <c r="L6" s="102"/>
      <c r="M6" s="103"/>
      <c r="N6" s="103"/>
      <c r="O6" s="104"/>
      <c r="P6" s="100">
        <f>IF(Feb_Period_1_Tbl[[#This Row],[$ Hourly WAGES]]="",SUM(Feb_Period_1_Tbl[[#This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PAY]]),SUM(Feb_Period_1_Tbl[[#This Row],[$ Hourly WAGES]]+Feb_Period_1_Tbl[[#This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PAY]]))</f>
        <v>900</v>
      </c>
      <c r="Q6" s="115"/>
      <c r="R6" s="135"/>
      <c r="S6" s="135"/>
      <c r="T6" s="135"/>
      <c r="U6" s="135"/>
      <c r="V6" s="120"/>
      <c r="W6" s="127" t="str">
        <f>Feb_Period_1_Tbl[[#This Row],[STAFF:]]</f>
        <v>Roxy Ayala</v>
      </c>
      <c r="X6" s="128">
        <f>IF(Feb_Period_1_Tbl[[#This Row],[$ Hourly WAGES]]="",Feb_Period_1_Tbl[[#This Row],[$ SALARY]],Feb_Period_1_Tbl[[#This Row],[$ Hourly WAGES]]+Feb_Period_1_Tbl[[#This Row],[$ SALARY]])</f>
        <v>900</v>
      </c>
      <c r="Y6" s="128">
        <f>Feb_Period_1_Tbl[[#This Row],[$ FREE PT]]+Feb_Period_1_Tbl[[#This Row],[$ PAID PT]]</f>
        <v>0</v>
      </c>
      <c r="Z6" s="128">
        <f>Feb_Period_1_Tbl[[#This Row],[$ CLASS PAY]]</f>
        <v>0</v>
      </c>
      <c r="AA6" s="128">
        <f>Feb_Period_1_Tbl[[#This Row],[$ EFT COMM]]</f>
        <v>0</v>
      </c>
      <c r="AB6" s="128">
        <f>Feb_Period_1_Tbl[[#This Row],[$ PT COMM]]</f>
        <v>0</v>
      </c>
      <c r="AC6" s="128">
        <f>Feb_Period_1_Tbl[[#This Row],[$ BONUS PAY]]</f>
        <v>0</v>
      </c>
      <c r="AD6" s="128">
        <f>Feb_Period_1_Tbl[[#This Row],[TOTAL PAY]]</f>
        <v>900</v>
      </c>
    </row>
    <row r="7" spans="1:30" x14ac:dyDescent="0.25">
      <c r="A7" s="95" t="s">
        <v>2</v>
      </c>
      <c r="B7" s="59"/>
      <c r="C7" s="60"/>
      <c r="D7" s="60"/>
      <c r="E7" s="84">
        <v>16</v>
      </c>
      <c r="F7" s="102">
        <v>10</v>
      </c>
      <c r="G7" s="97">
        <f>IF(OR(ISBLANK(Feb_Period_1_Tbl[[#This Row],['# HRS WORKED]]),ISBLANK(Feb_Period_1_Tbl[[#This Row],[$ Hourly RATE]])),"",Feb_Period_1_Tbl[[#This Row],['# HRS WORKED]]*Feb_Period_1_Tbl[[#This Row],[$ Hourly RATE]])</f>
        <v>160</v>
      </c>
      <c r="H7" s="102"/>
      <c r="I7" s="102"/>
      <c r="J7" s="102">
        <v>392.64</v>
      </c>
      <c r="K7" s="102">
        <v>878.36</v>
      </c>
      <c r="L7" s="102"/>
      <c r="M7" s="103"/>
      <c r="N7" s="103">
        <v>210</v>
      </c>
      <c r="O7" s="104"/>
      <c r="P7" s="100">
        <f>IF(Feb_Period_1_Tbl[[#This Row],[$ Hourly WAGES]]="",SUM(Feb_Period_1_Tbl[[#This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PAY]]),SUM(Feb_Period_1_Tbl[[#This Row],[$ Hourly WAGES]]+Feb_Period_1_Tbl[[#This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PAY]]))</f>
        <v>1641</v>
      </c>
      <c r="Q7" s="115"/>
      <c r="R7" s="135"/>
      <c r="S7" s="135"/>
      <c r="T7" s="135"/>
      <c r="U7" s="135"/>
      <c r="V7" s="120"/>
      <c r="W7" s="127" t="str">
        <f>Feb_Period_1_Tbl[[#This Row],[STAFF:]]</f>
        <v>David Pecinovsky</v>
      </c>
      <c r="X7" s="128">
        <f>IF(Feb_Period_1_Tbl[[#This Row],[$ Hourly WAGES]]="",Feb_Period_1_Tbl[[#This Row],[$ SALARY]],Feb_Period_1_Tbl[[#This Row],[$ Hourly WAGES]]+Feb_Period_1_Tbl[[#This Row],[$ SALARY]])</f>
        <v>160</v>
      </c>
      <c r="Y7" s="128">
        <f>Feb_Period_1_Tbl[[#This Row],[$ FREE PT]]+Feb_Period_1_Tbl[[#This Row],[$ PAID PT]]</f>
        <v>1271</v>
      </c>
      <c r="Z7" s="128">
        <f>Feb_Period_1_Tbl[[#This Row],[$ CLASS PAY]]</f>
        <v>210</v>
      </c>
      <c r="AA7" s="128">
        <f>Feb_Period_1_Tbl[[#This Row],[$ EFT COMM]]</f>
        <v>0</v>
      </c>
      <c r="AB7" s="128">
        <f>Feb_Period_1_Tbl[[#This Row],[$ PT COMM]]</f>
        <v>0</v>
      </c>
      <c r="AC7" s="128">
        <f>Feb_Period_1_Tbl[[#This Row],[$ BONUS PAY]]</f>
        <v>0</v>
      </c>
      <c r="AD7" s="128">
        <f>Feb_Period_1_Tbl[[#This Row],[TOTAL PAY]]</f>
        <v>1641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IF(OR(ISBLANK(Feb_Period_1_Tbl[[#This Row],['# HRS WORKED]]),ISBLANK(Feb_Period_1_Tbl[[#This Row],[$ Hourly RATE]])),"",Feb_Period_1_Tbl[[#This Row],['# HRS WORKED]]*Feb_Period_1_Tbl[[#This Row],[$ Hourly RATE]])</f>
        <v/>
      </c>
      <c r="H8" s="102"/>
      <c r="I8" s="102"/>
      <c r="J8" s="102">
        <v>16</v>
      </c>
      <c r="K8" s="102">
        <v>1026.22</v>
      </c>
      <c r="L8" s="102"/>
      <c r="M8" s="103"/>
      <c r="N8" s="103"/>
      <c r="O8" s="104"/>
      <c r="P8" s="100">
        <f>IF(Feb_Period_1_Tbl[[#This Row],[$ Hourly WAGES]]="",SUM(Feb_Period_1_Tbl[[#This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PAY]]),SUM(Feb_Period_1_Tbl[[#This Row],[$ Hourly WAGES]]+Feb_Period_1_Tbl[[#This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PAY]]))</f>
        <v>1042.22</v>
      </c>
      <c r="Q8" s="115"/>
      <c r="R8" s="135"/>
      <c r="S8" s="135"/>
      <c r="T8" s="135"/>
      <c r="U8" s="135"/>
      <c r="V8" s="120"/>
      <c r="W8" s="127" t="str">
        <f>Feb_Period_1_Tbl[[#This Row],[STAFF:]]</f>
        <v>Justin Stead</v>
      </c>
      <c r="X8" s="128">
        <f>IF(Feb_Period_1_Tbl[[#This Row],[$ Hourly WAGES]]="",Feb_Period_1_Tbl[[#This Row],[$ SALARY]],Feb_Period_1_Tbl[[#This Row],[$ Hourly WAGES]]+Feb_Period_1_Tbl[[#This Row],[$ SALARY]])</f>
        <v>0</v>
      </c>
      <c r="Y8" s="128">
        <f>Feb_Period_1_Tbl[[#This Row],[$ FREE PT]]+Feb_Period_1_Tbl[[#This Row],[$ PAID PT]]</f>
        <v>1042.22</v>
      </c>
      <c r="Z8" s="128">
        <f>Feb_Period_1_Tbl[[#This Row],[$ CLASS PAY]]</f>
        <v>0</v>
      </c>
      <c r="AA8" s="128">
        <f>Feb_Period_1_Tbl[[#This Row],[$ EFT COMM]]</f>
        <v>0</v>
      </c>
      <c r="AB8" s="128">
        <f>Feb_Period_1_Tbl[[#This Row],[$ PT COMM]]</f>
        <v>0</v>
      </c>
      <c r="AC8" s="128">
        <f>Feb_Period_1_Tbl[[#This Row],[$ BONUS PAY]]</f>
        <v>0</v>
      </c>
      <c r="AD8" s="128">
        <f>Feb_Period_1_Tbl[[#This Row],[TOTAL PAY]]</f>
        <v>1042.22</v>
      </c>
    </row>
    <row r="9" spans="1:30" x14ac:dyDescent="0.25">
      <c r="A9" s="96" t="s">
        <v>69</v>
      </c>
      <c r="B9" s="76"/>
      <c r="C9" s="73"/>
      <c r="D9" s="73"/>
      <c r="E9" s="85"/>
      <c r="F9" s="105"/>
      <c r="G9" s="106" t="str">
        <f>IF(OR(ISBLANK(Feb_Period_1_Tbl[[#This Row],['# HRS WORKED]]),ISBLANK(Feb_Period_1_Tbl[[#This Row],[$ Hourly RATE]])),"",Feb_Period_1_Tbl[[#This Row],['# HRS WORKED]]*Feb_Period_1_Tbl[[#This Row],[$ Hourly RATE]])</f>
        <v/>
      </c>
      <c r="H9" s="105">
        <v>1200</v>
      </c>
      <c r="I9" s="105"/>
      <c r="J9" s="105"/>
      <c r="K9" s="105"/>
      <c r="L9" s="105"/>
      <c r="M9" s="107"/>
      <c r="N9" s="107"/>
      <c r="O9" s="108"/>
      <c r="P9" s="101">
        <f>IF(Feb_Period_1_Tbl[[#This Row],[$ Hourly WAGES]]="",SUM(Feb_Period_1_Tbl[[#This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PAY]]),SUM(Feb_Period_1_Tbl[[#This Row],[$ Hourly WAGES]]+Feb_Period_1_Tbl[[#This Row],[$ SALARY]]+Feb_Period_1_Tbl[[#This Row],[$ FREE PT]]+Feb_Period_1_Tbl[[#This Row],[$ PAID PT]]+Feb_Period_1_Tbl[[#This Row],[$ PT COMM]]+Feb_Period_1_Tbl[[#This Row],[$ EFT COMM]]+Feb_Period_1_Tbl[[#This Row],[$ CLASS PAY]]+Feb_Period_1_Tbl[[#This Row],[$ BONUS PAY]]))</f>
        <v>1200</v>
      </c>
      <c r="Q9" s="115"/>
      <c r="R9" s="135"/>
      <c r="S9" s="135"/>
      <c r="T9" s="135"/>
      <c r="U9" s="135"/>
      <c r="V9" s="120"/>
      <c r="W9" s="127" t="str">
        <f>Feb_Period_1_Tbl[[#This Row],[STAFF:]]</f>
        <v>Georgine Diolamou</v>
      </c>
      <c r="X9" s="128">
        <f>IF(Feb_Period_1_Tbl[[#This Row],[$ Hourly WAGES]]="",Feb_Period_1_Tbl[[#This Row],[$ SALARY]],Feb_Period_1_Tbl[[#This Row],[$ Hourly WAGES]]+Feb_Period_1_Tbl[[#This Row],[$ SALARY]])</f>
        <v>1200</v>
      </c>
      <c r="Y9" s="128">
        <f>Feb_Period_1_Tbl[[#This Row],[$ FREE PT]]+Feb_Period_1_Tbl[[#This Row],[$ PAID PT]]</f>
        <v>0</v>
      </c>
      <c r="Z9" s="128">
        <f>Feb_Period_1_Tbl[[#This Row],[$ CLASS PAY]]</f>
        <v>0</v>
      </c>
      <c r="AA9" s="128">
        <f>Feb_Period_1_Tbl[[#This Row],[$ EFT COMM]]</f>
        <v>0</v>
      </c>
      <c r="AB9" s="128">
        <f>Feb_Period_1_Tbl[[#This Row],[$ PT COMM]]</f>
        <v>0</v>
      </c>
      <c r="AC9" s="128">
        <f>Feb_Period_1_Tbl[[#This Row],[$ BONUS PAY]]</f>
        <v>0</v>
      </c>
      <c r="AD9" s="128">
        <f>Feb_Period_1_Tbl[[#This Row],[TOTAL PAY]]</f>
        <v>1200</v>
      </c>
    </row>
    <row r="10" spans="1:30" ht="15.75" thickBot="1" x14ac:dyDescent="0.3">
      <c r="A10" s="21" t="s">
        <v>58</v>
      </c>
      <c r="B10" s="22"/>
      <c r="C10" s="79">
        <f>SUBTOTAL(109,Feb_Period_1_Tbl['# PTO USED])</f>
        <v>0</v>
      </c>
      <c r="D10" s="79">
        <f>SUBTOTAL(109,Feb_Period_1_Tbl['# PTO Holiday])</f>
        <v>0</v>
      </c>
      <c r="E10" s="80">
        <f>SUBTOTAL(109,Feb_Period_1_Tbl['# HRS WORKED])</f>
        <v>16</v>
      </c>
      <c r="F10" s="97">
        <f>SUBTOTAL(109,Feb_Period_1_Tbl[$ Hourly RATE])</f>
        <v>10</v>
      </c>
      <c r="G10" s="97">
        <f>SUBTOTAL(109,Feb_Period_1_Tbl[$ Hourly WAGES])</f>
        <v>160</v>
      </c>
      <c r="H10" s="97">
        <f>SUBTOTAL(109,Feb_Period_1_Tbl[$ SALARY])</f>
        <v>2100</v>
      </c>
      <c r="I10" s="97">
        <f>SUBTOTAL(109,Feb_Period_1_Tbl[$ SALARY PT])</f>
        <v>0</v>
      </c>
      <c r="J10" s="97">
        <f>SUBTOTAL(109,Feb_Period_1_Tbl[$ FREE PT])</f>
        <v>408.64</v>
      </c>
      <c r="K10" s="97">
        <f>SUBTOTAL(109,Feb_Period_1_Tbl[$ PAID PT])</f>
        <v>1904.58</v>
      </c>
      <c r="L10" s="97">
        <f>SUBTOTAL(109,Feb_Period_1_Tbl[$ PT COMM])</f>
        <v>0</v>
      </c>
      <c r="M10" s="98">
        <f>SUBTOTAL(109,Feb_Period_1_Tbl[$ EFT COMM])</f>
        <v>0</v>
      </c>
      <c r="N10" s="98">
        <f>SUBTOTAL(109,Feb_Period_1_Tbl[$ CLASS PAY])</f>
        <v>210</v>
      </c>
      <c r="O10" s="99">
        <f>SUBTOTAL(109,Feb_Period_1_Tbl[$ BONUS PAY])</f>
        <v>0</v>
      </c>
      <c r="P10" s="100">
        <f>SUBTOTAL(109,Feb_Period_1_Tbl[TOTAL PAY])</f>
        <v>4783.22</v>
      </c>
      <c r="Q10"/>
      <c r="R10" s="121">
        <f>SUBTOTAL(109,Dec_Period_1_Tbl['# POINTS EARNED])</f>
        <v>0</v>
      </c>
      <c r="S10" s="121">
        <f>SUBTOTAL(109,Dec_Period_1_Tbl['# POINTS USED])</f>
        <v>0</v>
      </c>
      <c r="T10" s="121">
        <f>SUBTOTAL(109,Dec_Period_1_Tbl['# CLASSES LEAD])</f>
        <v>0</v>
      </c>
      <c r="U10" s="121">
        <f>SUBTOTAL(109,Dec_Period_1_Tbl['# CLASSES SHOW])</f>
        <v>0</v>
      </c>
      <c r="V10" s="123"/>
      <c r="W10" s="129" t="s">
        <v>105</v>
      </c>
      <c r="X10" s="128">
        <f>SUBTOTAL(109,Feb_Period_1_Tbl[$ REGULAR WAGES])</f>
        <v>2260</v>
      </c>
      <c r="Y10" s="128">
        <f>SUBTOTAL(109,Feb_Period_1_Tbl[$ PERSONAL TRAINING])</f>
        <v>2313.2200000000003</v>
      </c>
      <c r="Z10" s="128">
        <f>SUBTOTAL(109,Feb_Period_1_Tbl[$ CLASSES])</f>
        <v>210</v>
      </c>
      <c r="AA10" s="128">
        <f>SUBTOTAL(109,Feb_Period_1_Tbl[$ EFT COMMISSION])</f>
        <v>0</v>
      </c>
      <c r="AB10" s="128">
        <f>SUBTOTAL(109,Feb_Period_1_Tbl[$ PT COMMISSION])</f>
        <v>0</v>
      </c>
      <c r="AC10" s="128">
        <f>SUBTOTAL(109,Feb_Period_1_Tbl[BONUS])</f>
        <v>0</v>
      </c>
      <c r="AD10" s="128">
        <f>SUBTOTAL(109,Feb_Period_1_Tbl[TOTAL
PAY])</f>
        <v>4783.22</v>
      </c>
    </row>
    <row r="11" spans="1:30" s="30" customFormat="1" ht="15.75" thickTop="1" x14ac:dyDescent="0.25">
      <c r="A11" s="61"/>
      <c r="B11" s="62"/>
      <c r="C11" s="63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W11" s="133" t="s">
        <v>106</v>
      </c>
      <c r="X11" s="134">
        <f>Jan_Period_1_Tbl[[#Totals],[$ REGULAR WAGES]]+Jan_Period_2_Tbl[[#Totals],[$ REGULAR WAGES]]+Feb_Period_1_Tbl[[#Totals],[$ REGULAR WAGES]]</f>
        <v>6435</v>
      </c>
      <c r="Y11" s="134">
        <f>Jan_Period_1_Tbl[[#Totals],[$ PERSONAL TRAINING]]+Jan_Period_2_Tbl[[#Totals],[$ PERSONAL TRAINING]]+Feb_Period_1_Tbl[[#Totals],[$ PERSONAL TRAINING]]</f>
        <v>4799.7300000000005</v>
      </c>
      <c r="Z11" s="134">
        <f>Jan_Period_1_Tbl[[#Totals],[$ CLASSES]]+Jan_Period_2_Tbl[[#Totals],[$ CLASSES]]+Feb_Period_1_Tbl[[#Totals],[$ CLASSES]]</f>
        <v>495</v>
      </c>
      <c r="AA11" s="134">
        <f>Jan_Period_1_Tbl[[#Totals],[$ EFT COMMISSION]]+Jan_Period_2_Tbl[[#Totals],[$ EFT COMMISSION]]+Feb_Period_1_Tbl[[#Totals],[$ EFT COMMISSION]]</f>
        <v>506.53000000000003</v>
      </c>
      <c r="AB11" s="134">
        <f>Jan_Period_1_Tbl[[#Totals],[$ PT COMMISSION]]+Jan_Period_2_Tbl[[#Totals],[$ PT COMMISSION]]+Feb_Period_1_Tbl[[#Totals],[$ PT COMMISSION]]</f>
        <v>33.68</v>
      </c>
      <c r="AC11" s="134">
        <f>Jan_Period_1_Tbl[[#Totals],[BONUS]]+Jan_Period_2_Tbl[[#Totals],[BONUS]]+Feb_Period_1_Tbl[[#Totals],[BONUS]]</f>
        <v>0</v>
      </c>
      <c r="AD11" s="134">
        <f>Jan_Period_1_Tbl[[#Totals],[TOTAL
PAY]]+Jan_Period_2_Tbl[[#Totals],[TOTAL
PAY]]+Feb_Period_1_Tbl[[#Totals],[TOTAL
PAY]]</f>
        <v>12269.94</v>
      </c>
    </row>
    <row r="12" spans="1:30" s="30" customFormat="1" ht="12.75" x14ac:dyDescent="0.2">
      <c r="A12" s="88" t="s">
        <v>84</v>
      </c>
      <c r="B12" s="67">
        <f>Summary!D71</f>
        <v>42781</v>
      </c>
      <c r="C12" s="68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68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IF(OR(ISBLANK(Feb_Period_2_Tbl[[#This Row],['# HRS WORKED]]),ISBLANK(Feb_Period_2_Tbl[[#This Row],[$ Hourly RATE]])),"",Feb_Period_2_Tbl[[#This Row],['# HRS WORKED]]*Feb_Period_2_Tbl[[#This Row],[$ Hourly RATE]])</f>
        <v/>
      </c>
      <c r="H15" s="102">
        <v>900</v>
      </c>
      <c r="I15" s="102"/>
      <c r="J15" s="102"/>
      <c r="K15" s="102"/>
      <c r="L15" s="102"/>
      <c r="M15" s="103">
        <v>569.33000000000004</v>
      </c>
      <c r="N15" s="103"/>
      <c r="O15" s="104">
        <v>100</v>
      </c>
      <c r="P15" s="100">
        <f>IF(Feb_Period_2_Tbl[[#This Row],[$ Hourly WAGES]]="",SUM(Feb_Period_2_Tbl[[#This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PAY]]),SUM(Feb_Period_2_Tbl[[#This Row],[$ Hourly WAGES]]+Feb_Period_2_Tbl[[#This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PAY]]))</f>
        <v>1569.33</v>
      </c>
      <c r="Q15" s="115"/>
      <c r="R15" s="135"/>
      <c r="S15" s="135"/>
      <c r="T15" s="135"/>
      <c r="U15" s="135"/>
      <c r="V15" s="120"/>
      <c r="W15" s="127" t="str">
        <f>Feb_Period_2_Tbl[[#This Row],[STAFF:]]</f>
        <v>Roxy Ayala</v>
      </c>
      <c r="X15" s="128">
        <f>IF(Feb_Period_2_Tbl[[#This Row],[$ Hourly WAGES]]="",Feb_Period_2_Tbl[[#This Row],[$ SALARY]],Feb_Period_2_Tbl[[#This Row],[$ Hourly WAGES]]+Feb_Period_2_Tbl[[#This Row],[$ SALARY]])</f>
        <v>900</v>
      </c>
      <c r="Y15" s="128">
        <f>Feb_Period_2_Tbl[[#This Row],[$ FREE PT]]+Feb_Period_2_Tbl[[#This Row],[$ PAID PT]]</f>
        <v>0</v>
      </c>
      <c r="Z15" s="128">
        <f>Feb_Period_2_Tbl[[#This Row],[$ CLASS PAY]]</f>
        <v>0</v>
      </c>
      <c r="AA15" s="128">
        <f>Feb_Period_2_Tbl[[#This Row],[$ EFT COMM]]</f>
        <v>569.33000000000004</v>
      </c>
      <c r="AB15" s="128">
        <f>Feb_Period_2_Tbl[[#This Row],[$ PT COMM]]</f>
        <v>0</v>
      </c>
      <c r="AC15" s="128">
        <f>Feb_Period_2_Tbl[[#This Row],[$ BONUS PAY]]</f>
        <v>100</v>
      </c>
      <c r="AD15" s="128">
        <f>Feb_Period_2_Tbl[[#This Row],[TOTAL PAY]]</f>
        <v>1569.33</v>
      </c>
    </row>
    <row r="16" spans="1:30" x14ac:dyDescent="0.25">
      <c r="A16" s="95" t="s">
        <v>2</v>
      </c>
      <c r="B16" s="59"/>
      <c r="C16" s="60"/>
      <c r="D16" s="60"/>
      <c r="E16" s="84">
        <v>16</v>
      </c>
      <c r="F16" s="102">
        <v>10</v>
      </c>
      <c r="G16" s="97">
        <f>IF(OR(ISBLANK(Feb_Period_2_Tbl[[#This Row],['# HRS WORKED]]),ISBLANK(Feb_Period_2_Tbl[[#This Row],[$ Hourly RATE]])),"",Feb_Period_2_Tbl[[#This Row],['# HRS WORKED]]*Feb_Period_2_Tbl[[#This Row],[$ Hourly RATE]])</f>
        <v>160</v>
      </c>
      <c r="H16" s="102"/>
      <c r="I16" s="102"/>
      <c r="J16" s="102">
        <v>95</v>
      </c>
      <c r="K16" s="102">
        <v>891.93</v>
      </c>
      <c r="L16" s="102">
        <v>695.75</v>
      </c>
      <c r="M16" s="103">
        <v>98.16</v>
      </c>
      <c r="N16" s="103">
        <v>180</v>
      </c>
      <c r="O16" s="104"/>
      <c r="P16" s="100">
        <f>IF(Feb_Period_2_Tbl[[#This Row],[$ Hourly WAGES]]="",SUM(Feb_Period_2_Tbl[[#This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PAY]]),SUM(Feb_Period_2_Tbl[[#This Row],[$ Hourly WAGES]]+Feb_Period_2_Tbl[[#This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PAY]]))</f>
        <v>2120.84</v>
      </c>
      <c r="Q16" s="115"/>
      <c r="R16" s="135"/>
      <c r="S16" s="135"/>
      <c r="T16" s="135"/>
      <c r="U16" s="135"/>
      <c r="V16" s="120"/>
      <c r="W16" s="127" t="str">
        <f>Feb_Period_2_Tbl[[#This Row],[STAFF:]]</f>
        <v>David Pecinovsky</v>
      </c>
      <c r="X16" s="128">
        <f>IF(Feb_Period_2_Tbl[[#This Row],[$ Hourly WAGES]]="",Feb_Period_2_Tbl[[#This Row],[$ SALARY]],Feb_Period_2_Tbl[[#This Row],[$ Hourly WAGES]]+Feb_Period_2_Tbl[[#This Row],[$ SALARY]])</f>
        <v>160</v>
      </c>
      <c r="Y16" s="128">
        <f>Feb_Period_2_Tbl[[#This Row],[$ FREE PT]]+Feb_Period_2_Tbl[[#This Row],[$ PAID PT]]</f>
        <v>986.93</v>
      </c>
      <c r="Z16" s="128">
        <f>Feb_Period_2_Tbl[[#This Row],[$ CLASS PAY]]</f>
        <v>180</v>
      </c>
      <c r="AA16" s="128">
        <f>Feb_Period_2_Tbl[[#This Row],[$ EFT COMM]]</f>
        <v>98.16</v>
      </c>
      <c r="AB16" s="128">
        <f>Feb_Period_2_Tbl[[#This Row],[$ PT COMM]]</f>
        <v>695.75</v>
      </c>
      <c r="AC16" s="128">
        <f>Feb_Period_2_Tbl[[#This Row],[$ BONUS PAY]]</f>
        <v>0</v>
      </c>
      <c r="AD16" s="128">
        <f>Feb_Period_2_Tbl[[#This Row],[TOTAL PAY]]</f>
        <v>2120.84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IF(OR(ISBLANK(Feb_Period_2_Tbl[[#This Row],['# HRS WORKED]]),ISBLANK(Feb_Period_2_Tbl[[#This Row],[$ Hourly RATE]])),"",Feb_Period_2_Tbl[[#This Row],['# HRS WORKED]]*Feb_Period_2_Tbl[[#This Row],[$ Hourly RATE]])</f>
        <v/>
      </c>
      <c r="H17" s="102"/>
      <c r="I17" s="102"/>
      <c r="J17" s="102">
        <v>16</v>
      </c>
      <c r="K17" s="102">
        <v>837.54</v>
      </c>
      <c r="L17" s="102">
        <v>11.99</v>
      </c>
      <c r="M17" s="103"/>
      <c r="N17" s="103"/>
      <c r="O17" s="104"/>
      <c r="P17" s="100">
        <f>IF(Feb_Period_2_Tbl[[#This Row],[$ Hourly WAGES]]="",SUM(Feb_Period_2_Tbl[[#This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PAY]]),SUM(Feb_Period_2_Tbl[[#This Row],[$ Hourly WAGES]]+Feb_Period_2_Tbl[[#This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PAY]]))</f>
        <v>865.53</v>
      </c>
      <c r="Q17" s="115"/>
      <c r="R17" s="135"/>
      <c r="S17" s="135"/>
      <c r="T17" s="135"/>
      <c r="U17" s="135"/>
      <c r="V17" s="120"/>
      <c r="W17" s="127" t="str">
        <f>Feb_Period_2_Tbl[[#This Row],[STAFF:]]</f>
        <v>Justin Stead</v>
      </c>
      <c r="X17" s="128">
        <f>IF(Feb_Period_2_Tbl[[#This Row],[$ Hourly WAGES]]="",Feb_Period_2_Tbl[[#This Row],[$ SALARY]],Feb_Period_2_Tbl[[#This Row],[$ Hourly WAGES]]+Feb_Period_2_Tbl[[#This Row],[$ SALARY]])</f>
        <v>0</v>
      </c>
      <c r="Y17" s="128">
        <f>Feb_Period_2_Tbl[[#This Row],[$ FREE PT]]+Feb_Period_2_Tbl[[#This Row],[$ PAID PT]]</f>
        <v>853.54</v>
      </c>
      <c r="Z17" s="128">
        <f>Feb_Period_2_Tbl[[#This Row],[$ CLASS PAY]]</f>
        <v>0</v>
      </c>
      <c r="AA17" s="128">
        <f>Feb_Period_2_Tbl[[#This Row],[$ EFT COMM]]</f>
        <v>0</v>
      </c>
      <c r="AB17" s="128">
        <f>Feb_Period_2_Tbl[[#This Row],[$ PT COMM]]</f>
        <v>11.99</v>
      </c>
      <c r="AC17" s="128">
        <f>Feb_Period_2_Tbl[[#This Row],[$ BONUS PAY]]</f>
        <v>0</v>
      </c>
      <c r="AD17" s="128">
        <f>Feb_Period_2_Tbl[[#This Row],[TOTAL PAY]]</f>
        <v>865.53</v>
      </c>
    </row>
    <row r="18" spans="1:30" x14ac:dyDescent="0.25">
      <c r="A18" s="96" t="s">
        <v>69</v>
      </c>
      <c r="B18" s="76"/>
      <c r="C18" s="73"/>
      <c r="D18" s="73"/>
      <c r="E18" s="85"/>
      <c r="F18" s="105"/>
      <c r="G18" s="106" t="str">
        <f>IF(OR(ISBLANK(Feb_Period_2_Tbl[[#This Row],['# HRS WORKED]]),ISBLANK(Feb_Period_2_Tbl[[#This Row],[$ Hourly RATE]])),"",Feb_Period_2_Tbl[[#This Row],['# HRS WORKED]]*Feb_Period_2_Tbl[[#This Row],[$ Hourly RATE]])</f>
        <v/>
      </c>
      <c r="H18" s="105">
        <v>1200</v>
      </c>
      <c r="I18" s="105"/>
      <c r="J18" s="105"/>
      <c r="K18" s="105"/>
      <c r="L18" s="105"/>
      <c r="M18" s="107">
        <v>145.22</v>
      </c>
      <c r="N18" s="107"/>
      <c r="O18" s="108">
        <v>200</v>
      </c>
      <c r="P18" s="101">
        <f>IF(Feb_Period_2_Tbl[[#This Row],[$ Hourly WAGES]]="",SUM(Feb_Period_2_Tbl[[#This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PAY]]),SUM(Feb_Period_2_Tbl[[#This Row],[$ Hourly WAGES]]+Feb_Period_2_Tbl[[#This Row],[$ SALARY]]+Feb_Period_2_Tbl[[#This Row],[$ FREE PT]]+Feb_Period_2_Tbl[[#This Row],[$ PAID PT]]+Feb_Period_2_Tbl[[#This Row],[$ PT COMM]]+Feb_Period_2_Tbl[[#This Row],[$ EFT COMM]]+Feb_Period_2_Tbl[[#This Row],[$ CLASS PAY]]+Feb_Period_2_Tbl[[#This Row],[$ BONUS PAY]]))</f>
        <v>1545.22</v>
      </c>
      <c r="Q18" s="115"/>
      <c r="R18" s="135"/>
      <c r="S18" s="135"/>
      <c r="T18" s="135"/>
      <c r="U18" s="135"/>
      <c r="V18" s="120"/>
      <c r="W18" s="127" t="str">
        <f>Feb_Period_2_Tbl[[#This Row],[STAFF:]]</f>
        <v>Georgine Diolamou</v>
      </c>
      <c r="X18" s="128">
        <f>IF(Feb_Period_2_Tbl[[#This Row],[$ Hourly WAGES]]="",Feb_Period_2_Tbl[[#This Row],[$ SALARY]],Feb_Period_2_Tbl[[#This Row],[$ Hourly WAGES]]+Feb_Period_2_Tbl[[#This Row],[$ SALARY]])</f>
        <v>1200</v>
      </c>
      <c r="Y18" s="128">
        <f>Feb_Period_2_Tbl[[#This Row],[$ FREE PT]]+Feb_Period_2_Tbl[[#This Row],[$ PAID PT]]</f>
        <v>0</v>
      </c>
      <c r="Z18" s="128">
        <f>Feb_Period_2_Tbl[[#This Row],[$ CLASS PAY]]</f>
        <v>0</v>
      </c>
      <c r="AA18" s="128">
        <f>Feb_Period_2_Tbl[[#This Row],[$ EFT COMM]]</f>
        <v>145.22</v>
      </c>
      <c r="AB18" s="128">
        <f>Feb_Period_2_Tbl[[#This Row],[$ PT COMM]]</f>
        <v>0</v>
      </c>
      <c r="AC18" s="128">
        <f>Feb_Period_2_Tbl[[#This Row],[$ BONUS PAY]]</f>
        <v>200</v>
      </c>
      <c r="AD18" s="128">
        <f>Feb_Period_2_Tbl[[#This Row],[TOTAL PAY]]</f>
        <v>1545.22</v>
      </c>
    </row>
    <row r="19" spans="1:30" ht="15.75" thickBot="1" x14ac:dyDescent="0.3">
      <c r="A19" s="21" t="s">
        <v>58</v>
      </c>
      <c r="B19" s="22"/>
      <c r="C19" s="79">
        <f>SUBTOTAL(109,Feb_Period_2_Tbl['# PTO USED])</f>
        <v>0</v>
      </c>
      <c r="D19" s="79">
        <f>SUBTOTAL(109,Feb_Period_2_Tbl['# PTO Holiday])</f>
        <v>0</v>
      </c>
      <c r="E19" s="80">
        <f>SUBTOTAL(109,Feb_Period_2_Tbl['# HRS WORKED])</f>
        <v>16</v>
      </c>
      <c r="F19" s="97">
        <f>SUBTOTAL(109,Feb_Period_2_Tbl[$ Hourly RATE])</f>
        <v>10</v>
      </c>
      <c r="G19" s="97">
        <f>SUBTOTAL(109,Feb_Period_2_Tbl[$ Hourly WAGES])</f>
        <v>160</v>
      </c>
      <c r="H19" s="97">
        <f>SUBTOTAL(109,Feb_Period_2_Tbl[$ SALARY])</f>
        <v>2100</v>
      </c>
      <c r="I19" s="97">
        <f>SUBTOTAL(109,Feb_Period_2_Tbl[$ SALARY PT])</f>
        <v>0</v>
      </c>
      <c r="J19" s="97">
        <f>SUBTOTAL(109,Feb_Period_2_Tbl[$ FREE PT])</f>
        <v>111</v>
      </c>
      <c r="K19" s="97">
        <f>SUBTOTAL(109,Feb_Period_2_Tbl[$ PAID PT])</f>
        <v>1729.4699999999998</v>
      </c>
      <c r="L19" s="97">
        <f>SUBTOTAL(109,Feb_Period_2_Tbl[$ PT COMM])</f>
        <v>707.74</v>
      </c>
      <c r="M19" s="98">
        <f>SUBTOTAL(109,Feb_Period_2_Tbl[$ EFT COMM])</f>
        <v>812.71</v>
      </c>
      <c r="N19" s="98">
        <f>SUBTOTAL(109,Feb_Period_2_Tbl[$ CLASS PAY])</f>
        <v>180</v>
      </c>
      <c r="O19" s="99">
        <f>SUBTOTAL(109,Feb_Period_2_Tbl[$ BONUS PAY])</f>
        <v>300</v>
      </c>
      <c r="P19" s="100">
        <f>SUBTOTAL(109,Feb_Period_2_Tbl[TOTAL PAY])</f>
        <v>6100.92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SUBTOTAL(109,Feb_Period_2_Tbl[$ REGULAR WAGES])</f>
        <v>2260</v>
      </c>
      <c r="Y19" s="128">
        <f>SUBTOTAL(109,Feb_Period_2_Tbl[$ PERSONAL TRAINING])</f>
        <v>1840.4699999999998</v>
      </c>
      <c r="Z19" s="128">
        <f>SUBTOTAL(109,Feb_Period_2_Tbl[$ CLASSES])</f>
        <v>180</v>
      </c>
      <c r="AA19" s="128">
        <f>SUBTOTAL(109,Feb_Period_2_Tbl[$ EFT COMMISSION])</f>
        <v>812.71</v>
      </c>
      <c r="AB19" s="128">
        <f>SUBTOTAL(109,Feb_Period_2_Tbl[$ PT COMMISSION])</f>
        <v>707.74</v>
      </c>
      <c r="AC19" s="128">
        <f>SUBTOTAL(109,Feb_Period_2_Tbl[BONUS])</f>
        <v>300</v>
      </c>
      <c r="AD19" s="128">
        <f>SUBTOTAL(109,Feb_Period_2_Tbl[TOTAL
PAY])</f>
        <v>6100.92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</f>
        <v>741.42</v>
      </c>
      <c r="AC20" s="134">
        <f>Jan_Period_1_Tbl[[#Totals],[BONUS]]+Jan_Period_2_Tbl[[#Totals],[BONUS]]+Feb_Period_1_Tbl[[#Totals],[BONUS]]+Feb_Period_2_Tbl[[#Totals],[BONUS]]</f>
        <v>300</v>
      </c>
      <c r="AD20" s="134">
        <f>Jan_Period_1_Tbl[[#Totals],[TOTAL
PAY]]+Jan_Period_2_Tbl[[#Totals],[TOTAL
PAY]]+Feb_Period_1_Tbl[[#Totals],[TOTAL
PAY]]+Feb_Period_2_Tbl[[#Totals],[TOTAL
PAY]]</f>
        <v>18370.86</v>
      </c>
    </row>
  </sheetData>
  <sheetProtection algorithmName="SHA-512" hashValue="Yu8YVbYlyAiwwybXCWkOK5hxXREJCXg9zBiL0Alhu6qYEsQrSwGkYWn0g0wTW+UP3kWkDbk6DDBwmnrqKM5uWg==" saltValue="CbiFcd1HEWX/pI1bGczHYw==" spinCount="100000" sheet="1" objects="1" scenarios="1"/>
  <mergeCells count="1">
    <mergeCell ref="A1:P1"/>
  </mergeCells>
  <pageMargins left="0.7" right="0.7" top="0.75" bottom="0.75" header="0.3" footer="0.3"/>
  <ignoredErrors>
    <ignoredError sqref="W7:AD9 W18:AD18 W16:AD17 X15:AD15" calculatedColumn="1"/>
  </ignoredErrors>
  <drawing r:id="rId1"/>
  <legacyDrawing r:id="rId2"/>
  <tableParts count="2"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03_Mar2017"/>
  <dimension ref="A1:AD20"/>
  <sheetViews>
    <sheetView showGridLines="0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7109375" style="29" customWidth="1"/>
    <col min="30" max="30" width="8.7109375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Summary!D72</f>
        <v>42795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IF(OR(ISBLANK(Mar_Period_1_Tbl[[#This Row],['# HRS WORKED]]),ISBLANK(Mar_Period_1_Tbl[[#This Row],[$ Hourly RATE]])),"",Mar_Period_1_Tbl[[#This Row],['# HRS WORKED]]*Mar_Period_1_Tbl[[#This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IF(Mar_Period_1_Tbl[[#This Row],[$ Hourly WAGES]]="",SUM(Mar_Period_1_Tbl[[#This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PAY]]),SUM(Mar_Period_1_Tbl[[#This Row],[$ Hourly WAGES]]+Mar_Period_1_Tbl[[#This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PAY]]))</f>
        <v>0</v>
      </c>
      <c r="Q6" s="115"/>
      <c r="R6" s="135"/>
      <c r="S6" s="135"/>
      <c r="T6" s="135"/>
      <c r="U6" s="135"/>
      <c r="V6" s="120"/>
      <c r="W6" s="127" t="str">
        <f>Mar_Period_1_Tbl[[#This Row],[STAFF:]]</f>
        <v>Roxy Ayala</v>
      </c>
      <c r="X6" s="128">
        <f>IF(Mar_Period_1_Tbl[[#This Row],[$ Hourly WAGES]]="",Mar_Period_1_Tbl[[#This Row],[$ SALARY]],Mar_Period_1_Tbl[[#This Row],[$ Hourly WAGES]]+Mar_Period_1_Tbl[[#This Row],[$ SALARY]])</f>
        <v>0</v>
      </c>
      <c r="Y6" s="128">
        <f>Mar_Period_1_Tbl[[#This Row],[$ FREE PT]]+Mar_Period_1_Tbl[[#This Row],[$ PAID PT]]</f>
        <v>0</v>
      </c>
      <c r="Z6" s="128">
        <f>Mar_Period_1_Tbl[[#This Row],[$ CLASS PAY]]</f>
        <v>0</v>
      </c>
      <c r="AA6" s="128">
        <f>Mar_Period_1_Tbl[[#This Row],[$ EFT COMM]]</f>
        <v>0</v>
      </c>
      <c r="AB6" s="128">
        <f>Mar_Period_1_Tbl[[#This Row],[$ PT COMM]]</f>
        <v>0</v>
      </c>
      <c r="AC6" s="128">
        <f>Mar_Period_1_Tbl[[#This Row],[$ BONUS PAY]]</f>
        <v>0</v>
      </c>
      <c r="AD6" s="128">
        <f>Mar_Period_1_Tbl[[#This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IF(OR(ISBLANK(Mar_Period_1_Tbl[[#This Row],['# HRS WORKED]]),ISBLANK(Mar_Period_1_Tbl[[#This Row],[$ Hourly RATE]])),"",Mar_Period_1_Tbl[[#This Row],['# HRS WORKED]]*Mar_Period_1_Tbl[[#This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IF(Mar_Period_1_Tbl[[#This Row],[$ Hourly WAGES]]="",SUM(Mar_Period_1_Tbl[[#This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PAY]]),SUM(Mar_Period_1_Tbl[[#This Row],[$ Hourly WAGES]]+Mar_Period_1_Tbl[[#This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PAY]]))</f>
        <v>0</v>
      </c>
      <c r="Q7" s="115"/>
      <c r="R7" s="135"/>
      <c r="S7" s="135"/>
      <c r="T7" s="135"/>
      <c r="U7" s="135"/>
      <c r="V7" s="120"/>
      <c r="W7" s="127" t="str">
        <f>Mar_Period_1_Tbl[[#This Row],[STAFF:]]</f>
        <v>David Pecinovsky</v>
      </c>
      <c r="X7" s="128">
        <f>IF(Mar_Period_1_Tbl[[#This Row],[$ Hourly WAGES]]="",Mar_Period_1_Tbl[[#This Row],[$ SALARY]],Mar_Period_1_Tbl[[#This Row],[$ Hourly WAGES]]+Mar_Period_1_Tbl[[#This Row],[$ SALARY]])</f>
        <v>0</v>
      </c>
      <c r="Y7" s="128">
        <f>Mar_Period_1_Tbl[[#This Row],[$ FREE PT]]+Mar_Period_1_Tbl[[#This Row],[$ PAID PT]]</f>
        <v>0</v>
      </c>
      <c r="Z7" s="128">
        <f>Mar_Period_1_Tbl[[#This Row],[$ CLASS PAY]]</f>
        <v>0</v>
      </c>
      <c r="AA7" s="128">
        <f>Mar_Period_1_Tbl[[#This Row],[$ EFT COMM]]</f>
        <v>0</v>
      </c>
      <c r="AB7" s="128">
        <f>Mar_Period_1_Tbl[[#This Row],[$ PT COMM]]</f>
        <v>0</v>
      </c>
      <c r="AC7" s="128">
        <f>Mar_Period_1_Tbl[[#This Row],[$ BONUS PAY]]</f>
        <v>0</v>
      </c>
      <c r="AD7" s="128">
        <f>Mar_Period_1_Tbl[[#This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IF(OR(ISBLANK(Mar_Period_1_Tbl[[#This Row],['# HRS WORKED]]),ISBLANK(Mar_Period_1_Tbl[[#This Row],[$ Hourly RATE]])),"",Mar_Period_1_Tbl[[#This Row],['# HRS WORKED]]*Mar_Period_1_Tbl[[#This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IF(Mar_Period_1_Tbl[[#This Row],[$ Hourly WAGES]]="",SUM(Mar_Period_1_Tbl[[#This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PAY]]),SUM(Mar_Period_1_Tbl[[#This Row],[$ Hourly WAGES]]+Mar_Period_1_Tbl[[#This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PAY]]))</f>
        <v>0</v>
      </c>
      <c r="Q8" s="115"/>
      <c r="R8" s="135"/>
      <c r="S8" s="135"/>
      <c r="T8" s="135"/>
      <c r="U8" s="135"/>
      <c r="V8" s="120"/>
      <c r="W8" s="127" t="str">
        <f>Mar_Period_1_Tbl[[#This Row],[STAFF:]]</f>
        <v>Justin Stead</v>
      </c>
      <c r="X8" s="128">
        <f>IF(Mar_Period_1_Tbl[[#This Row],[$ Hourly WAGES]]="",Mar_Period_1_Tbl[[#This Row],[$ SALARY]],Mar_Period_1_Tbl[[#This Row],[$ Hourly WAGES]]+Mar_Period_1_Tbl[[#This Row],[$ SALARY]])</f>
        <v>0</v>
      </c>
      <c r="Y8" s="128">
        <f>Mar_Period_1_Tbl[[#This Row],[$ FREE PT]]+Mar_Period_1_Tbl[[#This Row],[$ PAID PT]]</f>
        <v>0</v>
      </c>
      <c r="Z8" s="128">
        <f>Mar_Period_1_Tbl[[#This Row],[$ CLASS PAY]]</f>
        <v>0</v>
      </c>
      <c r="AA8" s="128">
        <f>Mar_Period_1_Tbl[[#This Row],[$ EFT COMM]]</f>
        <v>0</v>
      </c>
      <c r="AB8" s="128">
        <f>Mar_Period_1_Tbl[[#This Row],[$ PT COMM]]</f>
        <v>0</v>
      </c>
      <c r="AC8" s="128">
        <f>Mar_Period_1_Tbl[[#This Row],[$ BONUS PAY]]</f>
        <v>0</v>
      </c>
      <c r="AD8" s="128">
        <f>Mar_Period_1_Tbl[[#This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IF(OR(ISBLANK(Mar_Period_1_Tbl[[#This Row],['# HRS WORKED]]),ISBLANK(Mar_Period_1_Tbl[[#This Row],[$ Hourly RATE]])),"",Mar_Period_1_Tbl[[#This Row],['# HRS WORKED]]*Mar_Period_1_Tbl[[#This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IF(Mar_Period_1_Tbl[[#This Row],[$ Hourly WAGES]]="",SUM(Mar_Period_1_Tbl[[#This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PAY]]),SUM(Mar_Period_1_Tbl[[#This Row],[$ Hourly WAGES]]+Mar_Period_1_Tbl[[#This Row],[$ SALARY]]+Mar_Period_1_Tbl[[#This Row],[$ FREE PT]]+Mar_Period_1_Tbl[[#This Row],[$ PAID PT]]+Mar_Period_1_Tbl[[#This Row],[$ PT COMM]]+Mar_Period_1_Tbl[[#This Row],[$ EFT COMM]]+Mar_Period_1_Tbl[[#This Row],[$ CLASS PAY]]+Mar_Period_1_Tbl[[#This Row],[$ BONUS PAY]]))</f>
        <v>0</v>
      </c>
      <c r="Q9" s="115"/>
      <c r="R9" s="135"/>
      <c r="S9" s="135"/>
      <c r="T9" s="135"/>
      <c r="U9" s="135"/>
      <c r="V9" s="120"/>
      <c r="W9" s="127" t="str">
        <f>Mar_Period_1_Tbl[[#This Row],[STAFF:]]</f>
        <v>Georgine Diolamou</v>
      </c>
      <c r="X9" s="128">
        <f>IF(Mar_Period_1_Tbl[[#This Row],[$ Hourly WAGES]]="",Mar_Period_1_Tbl[[#This Row],[$ SALARY]],Mar_Period_1_Tbl[[#This Row],[$ Hourly WAGES]]+Mar_Period_1_Tbl[[#This Row],[$ SALARY]])</f>
        <v>0</v>
      </c>
      <c r="Y9" s="128">
        <f>Mar_Period_1_Tbl[[#This Row],[$ FREE PT]]+Mar_Period_1_Tbl[[#This Row],[$ PAID PT]]</f>
        <v>0</v>
      </c>
      <c r="Z9" s="128">
        <f>Mar_Period_1_Tbl[[#This Row],[$ CLASS PAY]]</f>
        <v>0</v>
      </c>
      <c r="AA9" s="128">
        <f>Mar_Period_1_Tbl[[#This Row],[$ EFT COMM]]</f>
        <v>0</v>
      </c>
      <c r="AB9" s="128">
        <f>Mar_Period_1_Tbl[[#This Row],[$ PT COMM]]</f>
        <v>0</v>
      </c>
      <c r="AC9" s="128">
        <f>Mar_Period_1_Tbl[[#This Row],[$ BONUS PAY]]</f>
        <v>0</v>
      </c>
      <c r="AD9" s="128">
        <f>Mar_Period_1_Tbl[[#This Row],[TOTAL PAY]]</f>
        <v>0</v>
      </c>
    </row>
    <row r="10" spans="1:30" ht="15.75" thickBot="1" x14ac:dyDescent="0.3">
      <c r="A10" s="21" t="s">
        <v>58</v>
      </c>
      <c r="B10" s="22"/>
      <c r="C10" s="79">
        <f>SUBTOTAL(109,Mar_Period_1_Tbl['# PTO USED])</f>
        <v>0</v>
      </c>
      <c r="D10" s="79">
        <f>SUBTOTAL(109,Mar_Period_1_Tbl['# PTO Holiday])</f>
        <v>0</v>
      </c>
      <c r="E10" s="80">
        <f>SUBTOTAL(109,Mar_Period_1_Tbl['# HRS WORKED])</f>
        <v>0</v>
      </c>
      <c r="F10" s="97">
        <f>SUBTOTAL(109,Mar_Period_1_Tbl[$ Hourly RATE])</f>
        <v>0</v>
      </c>
      <c r="G10" s="97">
        <f>SUBTOTAL(109,Mar_Period_1_Tbl[$ Hourly WAGES])</f>
        <v>0</v>
      </c>
      <c r="H10" s="97">
        <f>SUBTOTAL(109,Mar_Period_1_Tbl[$ SALARY])</f>
        <v>0</v>
      </c>
      <c r="I10" s="97">
        <f>SUBTOTAL(109,Mar_Period_1_Tbl[$ SALARY PT])</f>
        <v>0</v>
      </c>
      <c r="J10" s="97">
        <f>SUBTOTAL(109,Mar_Period_1_Tbl[$ FREE PT])</f>
        <v>0</v>
      </c>
      <c r="K10" s="97">
        <f>SUBTOTAL(109,Mar_Period_1_Tbl[$ PAID PT])</f>
        <v>0</v>
      </c>
      <c r="L10" s="97">
        <f>SUBTOTAL(109,Mar_Period_1_Tbl[$ PT COMM])</f>
        <v>0</v>
      </c>
      <c r="M10" s="98">
        <f>SUBTOTAL(109,Mar_Period_1_Tbl[$ EFT COMM])</f>
        <v>0</v>
      </c>
      <c r="N10" s="98">
        <f>SUBTOTAL(109,Mar_Period_1_Tbl[$ CLASS PAY])</f>
        <v>0</v>
      </c>
      <c r="O10" s="99">
        <f>SUBTOTAL(109,Mar_Period_1_Tbl[$ BONUS PAY])</f>
        <v>0</v>
      </c>
      <c r="P10" s="100">
        <f>SUBTOTAL(109,Mar_Period_1_Tbl[TOTAL PAY])</f>
        <v>0</v>
      </c>
      <c r="Q10"/>
      <c r="R10" s="121">
        <f>SUBTOTAL(109,Dec_Period_1_Tbl['# POINTS EARNED])</f>
        <v>0</v>
      </c>
      <c r="S10" s="121">
        <f>SUBTOTAL(109,Dec_Period_1_Tbl['# POINTS USED])</f>
        <v>0</v>
      </c>
      <c r="T10" s="121">
        <f>SUBTOTAL(109,Dec_Period_1_Tbl['# CLASSES LEAD])</f>
        <v>0</v>
      </c>
      <c r="U10" s="121">
        <f>SUBTOTAL(109,Dec_Period_1_Tbl['# CLASSES SHOW])</f>
        <v>0</v>
      </c>
      <c r="V10" s="123"/>
      <c r="W10" s="129" t="s">
        <v>105</v>
      </c>
      <c r="X10" s="128">
        <f>SUBTOTAL(109,Mar_Period_1_Tbl[$ REGULAR WAGES])</f>
        <v>0</v>
      </c>
      <c r="Y10" s="128">
        <f>SUBTOTAL(109,Mar_Period_1_Tbl[$ PERSONAL TRAINING])</f>
        <v>0</v>
      </c>
      <c r="Z10" s="128">
        <f>SUBTOTAL(109,Mar_Period_1_Tbl[$ CLASSES])</f>
        <v>0</v>
      </c>
      <c r="AA10" s="128">
        <f>SUBTOTAL(109,Mar_Period_1_Tbl[$ EFT COMMISSION])</f>
        <v>0</v>
      </c>
      <c r="AB10" s="128">
        <f>SUBTOTAL(109,Mar_Period_1_Tbl[$ PT COMMISSION])</f>
        <v>0</v>
      </c>
      <c r="AC10" s="128">
        <f>SUBTOTAL(109,Mar_Period_1_Tbl[BONUS])</f>
        <v>0</v>
      </c>
      <c r="AD10" s="128">
        <f>SUBTOTAL(109,Mar_Period_1_Tbl[TOTAL
PAY])</f>
        <v>0</v>
      </c>
    </row>
    <row r="11" spans="1:30" s="30" customFormat="1" ht="15.75" thickTop="1" x14ac:dyDescent="0.25">
      <c r="A11" s="61"/>
      <c r="B11" s="62"/>
      <c r="C11" s="66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</f>
        <v>18370.86</v>
      </c>
    </row>
    <row r="12" spans="1:30" s="30" customFormat="1" ht="12.75" x14ac:dyDescent="0.2">
      <c r="A12" s="88" t="s">
        <v>84</v>
      </c>
      <c r="B12" s="67">
        <f>Summary!D73</f>
        <v>42809</v>
      </c>
      <c r="C12" s="71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71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IF(OR(ISBLANK(Mar_Period_2_Tbl[[#This Row],['# HRS WORKED]]),ISBLANK(Mar_Period_2_Tbl[[#This Row],[$ Hourly RATE]])),"",Mar_Period_2_Tbl[[#This Row],['# HRS WORKED]]*Mar_Period_2_Tbl[[#This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IF(Mar_Period_2_Tbl[[#This Row],[$ Hourly WAGES]]="",SUM(Mar_Period_2_Tbl[[#This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PAY]]),SUM(Mar_Period_2_Tbl[[#This Row],[$ Hourly WAGES]]+Mar_Period_2_Tbl[[#This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Mar_Period_2_Tbl[[#This Row],[STAFF:]]</f>
        <v>Roxy Ayala</v>
      </c>
      <c r="X15" s="128">
        <f>IF(Mar_Period_2_Tbl[[#This Row],[$ Hourly WAGES]]="",Mar_Period_2_Tbl[[#This Row],[$ SALARY]],Mar_Period_2_Tbl[[#This Row],[$ Hourly WAGES]]+Mar_Period_2_Tbl[[#This Row],[$ SALARY]])</f>
        <v>0</v>
      </c>
      <c r="Y15" s="128">
        <f>Mar_Period_2_Tbl[[#This Row],[$ FREE PT]]+Mar_Period_2_Tbl[[#This Row],[$ PAID PT]]</f>
        <v>0</v>
      </c>
      <c r="Z15" s="128">
        <f>Mar_Period_2_Tbl[[#This Row],[$ CLASS PAY]]</f>
        <v>0</v>
      </c>
      <c r="AA15" s="128">
        <f>Mar_Period_2_Tbl[[#This Row],[$ EFT COMM]]</f>
        <v>0</v>
      </c>
      <c r="AB15" s="128">
        <f>Mar_Period_2_Tbl[[#This Row],[$ PT COMM]]</f>
        <v>0</v>
      </c>
      <c r="AC15" s="128">
        <f>Mar_Period_2_Tbl[[#This Row],[$ BONUS PAY]]</f>
        <v>0</v>
      </c>
      <c r="AD15" s="128">
        <f>Mar_Period_2_Tbl[[#This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IF(OR(ISBLANK(Mar_Period_2_Tbl[[#This Row],['# HRS WORKED]]),ISBLANK(Mar_Period_2_Tbl[[#This Row],[$ Hourly RATE]])),"",Mar_Period_2_Tbl[[#This Row],['# HRS WORKED]]*Mar_Period_2_Tbl[[#This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IF(Mar_Period_2_Tbl[[#This Row],[$ Hourly WAGES]]="",SUM(Mar_Period_2_Tbl[[#This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PAY]]),SUM(Mar_Period_2_Tbl[[#This Row],[$ Hourly WAGES]]+Mar_Period_2_Tbl[[#This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Mar_Period_2_Tbl[[#This Row],[STAFF:]]</f>
        <v>David Pecinovsky</v>
      </c>
      <c r="X16" s="128">
        <f>IF(Mar_Period_2_Tbl[[#This Row],[$ Hourly WAGES]]="",Mar_Period_2_Tbl[[#This Row],[$ SALARY]],Mar_Period_2_Tbl[[#This Row],[$ Hourly WAGES]]+Mar_Period_2_Tbl[[#This Row],[$ SALARY]])</f>
        <v>0</v>
      </c>
      <c r="Y16" s="128">
        <f>Mar_Period_2_Tbl[[#This Row],[$ FREE PT]]+Mar_Period_2_Tbl[[#This Row],[$ PAID PT]]</f>
        <v>0</v>
      </c>
      <c r="Z16" s="128">
        <f>Mar_Period_2_Tbl[[#This Row],[$ CLASS PAY]]</f>
        <v>0</v>
      </c>
      <c r="AA16" s="128">
        <f>Mar_Period_2_Tbl[[#This Row],[$ EFT COMM]]</f>
        <v>0</v>
      </c>
      <c r="AB16" s="128">
        <f>Mar_Period_2_Tbl[[#This Row],[$ PT COMM]]</f>
        <v>0</v>
      </c>
      <c r="AC16" s="128">
        <f>Mar_Period_2_Tbl[[#This Row],[$ BONUS PAY]]</f>
        <v>0</v>
      </c>
      <c r="AD16" s="128">
        <f>Mar_Period_2_Tbl[[#This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IF(OR(ISBLANK(Mar_Period_2_Tbl[[#This Row],['# HRS WORKED]]),ISBLANK(Mar_Period_2_Tbl[[#This Row],[$ Hourly RATE]])),"",Mar_Period_2_Tbl[[#This Row],['# HRS WORKED]]*Mar_Period_2_Tbl[[#This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IF(Mar_Period_2_Tbl[[#This Row],[$ Hourly WAGES]]="",SUM(Mar_Period_2_Tbl[[#This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PAY]]),SUM(Mar_Period_2_Tbl[[#This Row],[$ Hourly WAGES]]+Mar_Period_2_Tbl[[#This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Mar_Period_2_Tbl[[#This Row],[STAFF:]]</f>
        <v>Justin Stead</v>
      </c>
      <c r="X17" s="128">
        <f>IF(Mar_Period_2_Tbl[[#This Row],[$ Hourly WAGES]]="",Mar_Period_2_Tbl[[#This Row],[$ SALARY]],Mar_Period_2_Tbl[[#This Row],[$ Hourly WAGES]]+Mar_Period_2_Tbl[[#This Row],[$ SALARY]])</f>
        <v>0</v>
      </c>
      <c r="Y17" s="128">
        <f>Mar_Period_2_Tbl[[#This Row],[$ FREE PT]]+Mar_Period_2_Tbl[[#This Row],[$ PAID PT]]</f>
        <v>0</v>
      </c>
      <c r="Z17" s="128">
        <f>Mar_Period_2_Tbl[[#This Row],[$ CLASS PAY]]</f>
        <v>0</v>
      </c>
      <c r="AA17" s="128">
        <f>Mar_Period_2_Tbl[[#This Row],[$ EFT COMM]]</f>
        <v>0</v>
      </c>
      <c r="AB17" s="128">
        <f>Mar_Period_2_Tbl[[#This Row],[$ PT COMM]]</f>
        <v>0</v>
      </c>
      <c r="AC17" s="128">
        <f>Mar_Period_2_Tbl[[#This Row],[$ BONUS PAY]]</f>
        <v>0</v>
      </c>
      <c r="AD17" s="128">
        <f>Mar_Period_2_Tbl[[#This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IF(OR(ISBLANK(Mar_Period_2_Tbl[[#This Row],['# HRS WORKED]]),ISBLANK(Mar_Period_2_Tbl[[#This Row],[$ Hourly RATE]])),"",Mar_Period_2_Tbl[[#This Row],['# HRS WORKED]]*Mar_Period_2_Tbl[[#This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IF(Mar_Period_2_Tbl[[#This Row],[$ Hourly WAGES]]="",SUM(Mar_Period_2_Tbl[[#This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PAY]]),SUM(Mar_Period_2_Tbl[[#This Row],[$ Hourly WAGES]]+Mar_Period_2_Tbl[[#This Row],[$ SALARY]]+Mar_Period_2_Tbl[[#This Row],[$ FREE PT]]+Mar_Period_2_Tbl[[#This Row],[$ PAID PT]]+Mar_Period_2_Tbl[[#This Row],[$ PT COMM]]+Mar_Period_2_Tbl[[#This Row],[$ EFT COMM]]+Mar_Period_2_Tbl[[#This Row],[$ CLASS PAY]]+Mar_Period_2_Tbl[[#This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Mar_Period_2_Tbl[[#This Row],[STAFF:]]</f>
        <v>Georgine Diolamou</v>
      </c>
      <c r="X18" s="128">
        <f>IF(Mar_Period_2_Tbl[[#This Row],[$ Hourly WAGES]]="",Mar_Period_2_Tbl[[#This Row],[$ SALARY]],Mar_Period_2_Tbl[[#This Row],[$ Hourly WAGES]]+Mar_Period_2_Tbl[[#This Row],[$ SALARY]])</f>
        <v>0</v>
      </c>
      <c r="Y18" s="128">
        <f>Mar_Period_2_Tbl[[#This Row],[$ FREE PT]]+Mar_Period_2_Tbl[[#This Row],[$ PAID PT]]</f>
        <v>0</v>
      </c>
      <c r="Z18" s="128">
        <f>Mar_Period_2_Tbl[[#This Row],[$ CLASS PAY]]</f>
        <v>0</v>
      </c>
      <c r="AA18" s="128">
        <f>Mar_Period_2_Tbl[[#This Row],[$ EFT COMM]]</f>
        <v>0</v>
      </c>
      <c r="AB18" s="128">
        <f>Mar_Period_2_Tbl[[#This Row],[$ PT COMM]]</f>
        <v>0</v>
      </c>
      <c r="AC18" s="128">
        <f>Mar_Period_2_Tbl[[#This Row],[$ BONUS PAY]]</f>
        <v>0</v>
      </c>
      <c r="AD18" s="128">
        <f>Mar_Period_2_Tbl[[#This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SUBTOTAL(109,Mar_Period_2_Tbl['# PTO USED])</f>
        <v>0</v>
      </c>
      <c r="D19" s="79">
        <f>SUBTOTAL(109,Mar_Period_2_Tbl['# PTO Holiday])</f>
        <v>0</v>
      </c>
      <c r="E19" s="80">
        <f>SUBTOTAL(109,Mar_Period_2_Tbl['# HRS WORKED])</f>
        <v>0</v>
      </c>
      <c r="F19" s="97">
        <f>SUBTOTAL(109,Mar_Period_2_Tbl[$ Hourly RATE])</f>
        <v>0</v>
      </c>
      <c r="G19" s="97">
        <f>SUBTOTAL(109,Mar_Period_2_Tbl[$ Hourly WAGES])</f>
        <v>0</v>
      </c>
      <c r="H19" s="97">
        <f>SUBTOTAL(109,Mar_Period_2_Tbl[$ SALARY])</f>
        <v>0</v>
      </c>
      <c r="I19" s="97">
        <f>SUBTOTAL(109,Mar_Period_2_Tbl[$ SALARY PT])</f>
        <v>0</v>
      </c>
      <c r="J19" s="97">
        <f>SUBTOTAL(109,Mar_Period_2_Tbl[$ FREE PT])</f>
        <v>0</v>
      </c>
      <c r="K19" s="97">
        <f>SUBTOTAL(109,Mar_Period_2_Tbl[$ PAID PT])</f>
        <v>0</v>
      </c>
      <c r="L19" s="97">
        <f>SUBTOTAL(109,Mar_Period_2_Tbl[$ PT COMM])</f>
        <v>0</v>
      </c>
      <c r="M19" s="98">
        <f>SUBTOTAL(109,Mar_Period_2_Tbl[$ EFT COMM])</f>
        <v>0</v>
      </c>
      <c r="N19" s="98">
        <f>SUBTOTAL(109,Mar_Period_2_Tbl[$ CLASS PAY])</f>
        <v>0</v>
      </c>
      <c r="O19" s="99">
        <f>SUBTOTAL(109,Mar_Period_2_Tbl[$ BONUS PAY])</f>
        <v>0</v>
      </c>
      <c r="P19" s="100">
        <f>SUBTOTAL(109,Mar_Period_2_Tbl[TOTAL PAY])</f>
        <v>0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SUBTOTAL(109,Mar_Period_2_Tbl[$ REGULAR WAGES])</f>
        <v>0</v>
      </c>
      <c r="Y19" s="128">
        <f>SUBTOTAL(109,Mar_Period_2_Tbl[$ PERSONAL TRAINING])</f>
        <v>0</v>
      </c>
      <c r="Z19" s="128">
        <f>SUBTOTAL(109,Mar_Period_2_Tbl[$ CLASSES])</f>
        <v>0</v>
      </c>
      <c r="AA19" s="128">
        <f>SUBTOTAL(109,Mar_Period_2_Tbl[$ EFT COMMISSION])</f>
        <v>0</v>
      </c>
      <c r="AB19" s="128">
        <f>SUBTOTAL(109,Mar_Period_2_Tbl[$ PT COMMISSION])</f>
        <v>0</v>
      </c>
      <c r="AC19" s="128">
        <f>SUBTOTAL(109,Mar_Period_2_Tbl[BONUS])</f>
        <v>0</v>
      </c>
      <c r="AD19" s="128">
        <f>SUBTOTAL(109,Mar_Period_2_Tbl[TOTAL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</f>
        <v>18370.86</v>
      </c>
    </row>
  </sheetData>
  <sheetProtection algorithmName="SHA-512" hashValue="8az9975JTHmW55h0VV1N1GfCKTH+jKZIh02UkaCG923c1C/cT08SDDFRXuxpoCplDcBOVJG2UctM+0w/84pRVA==" saltValue="gUwwgRgJxu2heH61owsmkw==" spinCount="100000" sheet="1" objects="1" scenarios="1"/>
  <mergeCells count="1">
    <mergeCell ref="A1:P1"/>
  </mergeCell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04_Apr2017"/>
  <dimension ref="A1:AD20"/>
  <sheetViews>
    <sheetView showGridLines="0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7109375" style="29" customWidth="1"/>
    <col min="30" max="30" width="8.7109375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Summary!D74</f>
        <v>42826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IF(OR(ISBLANK(Apr_Period_1_Tbl[[#This Row],['# HRS WORKED]]),ISBLANK(Apr_Period_1_Tbl[[#This Row],[$ Hourly RATE]])),"",Apr_Period_1_Tbl[[#This Row],['# HRS WORKED]]*Apr_Period_1_Tbl[[#This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IF(Apr_Period_1_Tbl[[#This Row],[$ Hourly WAGES]]="",SUM(Apr_Period_1_Tbl[[#This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PAY]]),SUM(Apr_Period_1_Tbl[[#This Row],[$ Hourly WAGES]]+Apr_Period_1_Tbl[[#This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PAY]]))</f>
        <v>0</v>
      </c>
      <c r="Q6" s="115"/>
      <c r="R6" s="135"/>
      <c r="S6" s="135"/>
      <c r="T6" s="135"/>
      <c r="U6" s="135"/>
      <c r="V6" s="120"/>
      <c r="W6" s="127" t="str">
        <f>Apr_Period_1_Tbl[[#This Row],[STAFF:]]</f>
        <v>Roxy Ayala</v>
      </c>
      <c r="X6" s="128">
        <f>IF(Apr_Period_1_Tbl[[#This Row],[$ Hourly WAGES]]="",Apr_Period_1_Tbl[[#This Row],[$ SALARY]],Apr_Period_1_Tbl[[#This Row],[$ Hourly WAGES]]+Apr_Period_1_Tbl[[#This Row],[$ SALARY]])</f>
        <v>0</v>
      </c>
      <c r="Y6" s="128">
        <f>Apr_Period_1_Tbl[[#This Row],[$ FREE PT]]+Apr_Period_1_Tbl[[#This Row],[$ PAID PT]]</f>
        <v>0</v>
      </c>
      <c r="Z6" s="128">
        <f>Apr_Period_1_Tbl[[#This Row],[$ CLASS PAY]]</f>
        <v>0</v>
      </c>
      <c r="AA6" s="128">
        <f>Apr_Period_1_Tbl[[#This Row],[$ EFT COMM]]</f>
        <v>0</v>
      </c>
      <c r="AB6" s="128">
        <f>Apr_Period_1_Tbl[[#This Row],[$ PT COMM]]</f>
        <v>0</v>
      </c>
      <c r="AC6" s="128">
        <f>Apr_Period_1_Tbl[[#This Row],[$ BONUS PAY]]</f>
        <v>0</v>
      </c>
      <c r="AD6" s="128">
        <f>Apr_Period_1_Tbl[[#This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IF(OR(ISBLANK(Apr_Period_1_Tbl[[#This Row],['# HRS WORKED]]),ISBLANK(Apr_Period_1_Tbl[[#This Row],[$ Hourly RATE]])),"",Apr_Period_1_Tbl[[#This Row],['# HRS WORKED]]*Apr_Period_1_Tbl[[#This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IF(Apr_Period_1_Tbl[[#This Row],[$ Hourly WAGES]]="",SUM(Apr_Period_1_Tbl[[#This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PAY]]),SUM(Apr_Period_1_Tbl[[#This Row],[$ Hourly WAGES]]+Apr_Period_1_Tbl[[#This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PAY]]))</f>
        <v>0</v>
      </c>
      <c r="Q7" s="115"/>
      <c r="R7" s="135"/>
      <c r="S7" s="135"/>
      <c r="T7" s="135"/>
      <c r="U7" s="135"/>
      <c r="V7" s="120"/>
      <c r="W7" s="127" t="str">
        <f>Apr_Period_1_Tbl[[#This Row],[STAFF:]]</f>
        <v>David Pecinovsky</v>
      </c>
      <c r="X7" s="128">
        <f>IF(Apr_Period_1_Tbl[[#This Row],[$ Hourly WAGES]]="",Apr_Period_1_Tbl[[#This Row],[$ SALARY]],Apr_Period_1_Tbl[[#This Row],[$ Hourly WAGES]]+Apr_Period_1_Tbl[[#This Row],[$ SALARY]])</f>
        <v>0</v>
      </c>
      <c r="Y7" s="128">
        <f>Apr_Period_1_Tbl[[#This Row],[$ FREE PT]]+Apr_Period_1_Tbl[[#This Row],[$ PAID PT]]</f>
        <v>0</v>
      </c>
      <c r="Z7" s="128">
        <f>Apr_Period_1_Tbl[[#This Row],[$ CLASS PAY]]</f>
        <v>0</v>
      </c>
      <c r="AA7" s="128">
        <f>Apr_Period_1_Tbl[[#This Row],[$ EFT COMM]]</f>
        <v>0</v>
      </c>
      <c r="AB7" s="128">
        <f>Apr_Period_1_Tbl[[#This Row],[$ PT COMM]]</f>
        <v>0</v>
      </c>
      <c r="AC7" s="128">
        <f>Apr_Period_1_Tbl[[#This Row],[$ BONUS PAY]]</f>
        <v>0</v>
      </c>
      <c r="AD7" s="128">
        <f>Apr_Period_1_Tbl[[#This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IF(OR(ISBLANK(Apr_Period_1_Tbl[[#This Row],['# HRS WORKED]]),ISBLANK(Apr_Period_1_Tbl[[#This Row],[$ Hourly RATE]])),"",Apr_Period_1_Tbl[[#This Row],['# HRS WORKED]]*Apr_Period_1_Tbl[[#This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IF(Apr_Period_1_Tbl[[#This Row],[$ Hourly WAGES]]="",SUM(Apr_Period_1_Tbl[[#This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PAY]]),SUM(Apr_Period_1_Tbl[[#This Row],[$ Hourly WAGES]]+Apr_Period_1_Tbl[[#This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PAY]]))</f>
        <v>0</v>
      </c>
      <c r="Q8" s="115"/>
      <c r="R8" s="135"/>
      <c r="S8" s="135"/>
      <c r="T8" s="135"/>
      <c r="U8" s="135"/>
      <c r="V8" s="120"/>
      <c r="W8" s="127" t="str">
        <f>Apr_Period_1_Tbl[[#This Row],[STAFF:]]</f>
        <v>Justin Stead</v>
      </c>
      <c r="X8" s="128">
        <f>IF(Apr_Period_1_Tbl[[#This Row],[$ Hourly WAGES]]="",Apr_Period_1_Tbl[[#This Row],[$ SALARY]],Apr_Period_1_Tbl[[#This Row],[$ Hourly WAGES]]+Apr_Period_1_Tbl[[#This Row],[$ SALARY]])</f>
        <v>0</v>
      </c>
      <c r="Y8" s="128">
        <f>Apr_Period_1_Tbl[[#This Row],[$ FREE PT]]+Apr_Period_1_Tbl[[#This Row],[$ PAID PT]]</f>
        <v>0</v>
      </c>
      <c r="Z8" s="128">
        <f>Apr_Period_1_Tbl[[#This Row],[$ CLASS PAY]]</f>
        <v>0</v>
      </c>
      <c r="AA8" s="128">
        <f>Apr_Period_1_Tbl[[#This Row],[$ EFT COMM]]</f>
        <v>0</v>
      </c>
      <c r="AB8" s="128">
        <f>Apr_Period_1_Tbl[[#This Row],[$ PT COMM]]</f>
        <v>0</v>
      </c>
      <c r="AC8" s="128">
        <f>Apr_Period_1_Tbl[[#This Row],[$ BONUS PAY]]</f>
        <v>0</v>
      </c>
      <c r="AD8" s="128">
        <f>Apr_Period_1_Tbl[[#This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IF(OR(ISBLANK(Apr_Period_1_Tbl[[#This Row],['# HRS WORKED]]),ISBLANK(Apr_Period_1_Tbl[[#This Row],[$ Hourly RATE]])),"",Apr_Period_1_Tbl[[#This Row],['# HRS WORKED]]*Apr_Period_1_Tbl[[#This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IF(Apr_Period_1_Tbl[[#This Row],[$ Hourly WAGES]]="",SUM(Apr_Period_1_Tbl[[#This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PAY]]),SUM(Apr_Period_1_Tbl[[#This Row],[$ Hourly WAGES]]+Apr_Period_1_Tbl[[#This Row],[$ SALARY]]+Apr_Period_1_Tbl[[#This Row],[$ FREE PT]]+Apr_Period_1_Tbl[[#This Row],[$ PAID PT]]+Apr_Period_1_Tbl[[#This Row],[$ PT COMM]]+Apr_Period_1_Tbl[[#This Row],[$ EFT COMM]]+Apr_Period_1_Tbl[[#This Row],[$ CLASS PAY]]+Apr_Period_1_Tbl[[#This Row],[$ BONUS PAY]]))</f>
        <v>0</v>
      </c>
      <c r="Q9" s="115"/>
      <c r="R9" s="135"/>
      <c r="S9" s="135"/>
      <c r="T9" s="135"/>
      <c r="U9" s="135"/>
      <c r="V9" s="120"/>
      <c r="W9" s="127" t="str">
        <f>Apr_Period_1_Tbl[[#This Row],[STAFF:]]</f>
        <v>Georgine Diolamou</v>
      </c>
      <c r="X9" s="128">
        <f>IF(Apr_Period_1_Tbl[[#This Row],[$ Hourly WAGES]]="",Apr_Period_1_Tbl[[#This Row],[$ SALARY]],Apr_Period_1_Tbl[[#This Row],[$ Hourly WAGES]]+Apr_Period_1_Tbl[[#This Row],[$ SALARY]])</f>
        <v>0</v>
      </c>
      <c r="Y9" s="128">
        <f>Apr_Period_1_Tbl[[#This Row],[$ FREE PT]]+Apr_Period_1_Tbl[[#This Row],[$ PAID PT]]</f>
        <v>0</v>
      </c>
      <c r="Z9" s="128">
        <f>Apr_Period_1_Tbl[[#This Row],[$ CLASS PAY]]</f>
        <v>0</v>
      </c>
      <c r="AA9" s="128">
        <f>Apr_Period_1_Tbl[[#This Row],[$ EFT COMM]]</f>
        <v>0</v>
      </c>
      <c r="AB9" s="128">
        <f>Apr_Period_1_Tbl[[#This Row],[$ PT COMM]]</f>
        <v>0</v>
      </c>
      <c r="AC9" s="128">
        <f>Apr_Period_1_Tbl[[#This Row],[$ BONUS PAY]]</f>
        <v>0</v>
      </c>
      <c r="AD9" s="128">
        <f>Apr_Period_1_Tbl[[#This Row],[TOTAL PAY]]</f>
        <v>0</v>
      </c>
    </row>
    <row r="10" spans="1:30" s="30" customFormat="1" ht="15.75" thickBot="1" x14ac:dyDescent="0.3">
      <c r="A10" s="21" t="s">
        <v>58</v>
      </c>
      <c r="B10" s="22"/>
      <c r="C10" s="79">
        <f>SUBTOTAL(109,Apr_Period_1_Tbl['# PTO USED])</f>
        <v>0</v>
      </c>
      <c r="D10" s="79">
        <f>SUBTOTAL(109,Apr_Period_1_Tbl['# PTO Holiday])</f>
        <v>0</v>
      </c>
      <c r="E10" s="80">
        <f>SUBTOTAL(109,Apr_Period_1_Tbl['# HRS WORKED])</f>
        <v>0</v>
      </c>
      <c r="F10" s="97">
        <f>SUBTOTAL(109,Apr_Period_1_Tbl[$ Hourly RATE])</f>
        <v>0</v>
      </c>
      <c r="G10" s="97">
        <f>SUBTOTAL(109,Apr_Period_1_Tbl[$ Hourly WAGES])</f>
        <v>0</v>
      </c>
      <c r="H10" s="97">
        <f>SUBTOTAL(109,Apr_Period_1_Tbl[$ SALARY])</f>
        <v>0</v>
      </c>
      <c r="I10" s="97">
        <f>SUBTOTAL(109,Apr_Period_1_Tbl[$ SALARY PT])</f>
        <v>0</v>
      </c>
      <c r="J10" s="97">
        <f>SUBTOTAL(109,Apr_Period_1_Tbl[$ FREE PT])</f>
        <v>0</v>
      </c>
      <c r="K10" s="97">
        <f>SUBTOTAL(109,Apr_Period_1_Tbl[$ PAID PT])</f>
        <v>0</v>
      </c>
      <c r="L10" s="97">
        <f>SUBTOTAL(109,Apr_Period_1_Tbl[$ PT COMM])</f>
        <v>0</v>
      </c>
      <c r="M10" s="98">
        <f>SUBTOTAL(109,Apr_Period_1_Tbl[$ EFT COMM])</f>
        <v>0</v>
      </c>
      <c r="N10" s="98">
        <f>SUBTOTAL(109,Apr_Period_1_Tbl[$ CLASS PAY])</f>
        <v>0</v>
      </c>
      <c r="O10" s="99">
        <f>SUBTOTAL(109,Apr_Period_1_Tbl[$ BONUS PAY])</f>
        <v>0</v>
      </c>
      <c r="P10" s="100">
        <f>SUBTOTAL(109,Apr_Period_1_Tbl[TOTAL PAY])</f>
        <v>0</v>
      </c>
      <c r="Q10"/>
      <c r="R10" s="121">
        <f>SUBTOTAL(109,Dec_Period_1_Tbl['# POINTS EARNED])</f>
        <v>0</v>
      </c>
      <c r="S10" s="121">
        <f>SUBTOTAL(109,Dec_Period_1_Tbl['# POINTS USED])</f>
        <v>0</v>
      </c>
      <c r="T10" s="121">
        <f>SUBTOTAL(109,Dec_Period_1_Tbl['# CLASSES LEAD])</f>
        <v>0</v>
      </c>
      <c r="U10" s="121">
        <f>SUBTOTAL(109,Dec_Period_1_Tbl['# CLASSES SHOW])</f>
        <v>0</v>
      </c>
      <c r="V10" s="123"/>
      <c r="W10" s="129" t="s">
        <v>105</v>
      </c>
      <c r="X10" s="128">
        <f>SUBTOTAL(109,Apr_Period_1_Tbl[$ REGULAR WAGES])</f>
        <v>0</v>
      </c>
      <c r="Y10" s="128">
        <f>SUBTOTAL(109,Apr_Period_1_Tbl[$ PERSONAL TRAINING])</f>
        <v>0</v>
      </c>
      <c r="Z10" s="128">
        <f>SUBTOTAL(109,Apr_Period_1_Tbl[$ CLASSES])</f>
        <v>0</v>
      </c>
      <c r="AA10" s="128">
        <f>SUBTOTAL(109,Apr_Period_1_Tbl[$ EFT COMMISSION])</f>
        <v>0</v>
      </c>
      <c r="AB10" s="128">
        <f>SUBTOTAL(109,Apr_Period_1_Tbl[$ PT COMMISSION])</f>
        <v>0</v>
      </c>
      <c r="AC10" s="128">
        <f>SUBTOTAL(109,Apr_Period_1_Tbl[BONUS])</f>
        <v>0</v>
      </c>
      <c r="AD10" s="128">
        <f>SUBTOTAL(109,Apr_Period_1_Tbl[TOTAL
PAY])</f>
        <v>0</v>
      </c>
    </row>
    <row r="11" spans="1:30" s="30" customFormat="1" ht="15.75" thickTop="1" x14ac:dyDescent="0.25">
      <c r="A11" s="21"/>
      <c r="B11" s="22"/>
      <c r="C11" s="23"/>
      <c r="D11" s="80"/>
      <c r="E11" s="24"/>
      <c r="F11" s="24"/>
      <c r="G11" s="23"/>
      <c r="H11" s="23"/>
      <c r="I11" s="23"/>
      <c r="J11" s="23"/>
      <c r="K11" s="23"/>
      <c r="L11" s="41"/>
      <c r="M11" s="41"/>
      <c r="N11" s="40"/>
      <c r="O11" s="40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CLASSES]]+Mar_Period_2_Tbl[[#Totals],[$ CLASSES]]+Apr_Period_1_Tbl[[#Totals],[$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Jan_Period_1_Tbl[[#Totals],[BONUS]]+Jan_Period_2_Tbl[[#Totals],[BONUS]]+Feb_Period_1_Tbl[[#Totals],[BONUS]]+Feb_Period_2_Tbl[[#Totals],[BONUS]]+Mar_Period_1_Tbl[[#Totals],[BONUS]]+Mar_Period_2_Tbl[[#Totals],[BONUS]]+Apr_Period_1_Tbl[[#Totals],[BONUS]]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</f>
        <v>18370.86</v>
      </c>
    </row>
    <row r="12" spans="1:30" s="30" customFormat="1" ht="12.75" x14ac:dyDescent="0.2">
      <c r="A12" s="88" t="s">
        <v>84</v>
      </c>
      <c r="B12" s="67">
        <f>Summary!D75</f>
        <v>42840</v>
      </c>
      <c r="C12" s="71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71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IF(OR(ISBLANK(Apr_Period_2_Tbl[[#This Row],['# HRS WORKED]]),ISBLANK(Apr_Period_2_Tbl[[#This Row],[$ Hourly RATE]])),"",Apr_Period_2_Tbl[[#This Row],['# HRS WORKED]]*Apr_Period_2_Tbl[[#This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IF(Apr_Period_2_Tbl[[#This Row],[$ Hourly WAGES]]="",SUM(Apr_Period_2_Tbl[[#This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PAY]]),SUM(Apr_Period_2_Tbl[[#This Row],[$ Hourly WAGES]]+Apr_Period_2_Tbl[[#This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Apr_Period_2_Tbl[[#This Row],[STAFF:]]</f>
        <v>Roxy Ayala</v>
      </c>
      <c r="X15" s="128">
        <f>IF(Apr_Period_2_Tbl[[#This Row],[$ Hourly WAGES]]="",Apr_Period_2_Tbl[[#This Row],[$ SALARY]],Apr_Period_2_Tbl[[#This Row],[$ Hourly WAGES]]+Apr_Period_2_Tbl[[#This Row],[$ SALARY]])</f>
        <v>0</v>
      </c>
      <c r="Y15" s="128">
        <f>Apr_Period_2_Tbl[[#This Row],[$ FREE PT]]+Apr_Period_2_Tbl[[#This Row],[$ PAID PT]]</f>
        <v>0</v>
      </c>
      <c r="Z15" s="128">
        <f>Apr_Period_2_Tbl[[#This Row],[$ CLASS PAY]]</f>
        <v>0</v>
      </c>
      <c r="AA15" s="128">
        <f>Apr_Period_2_Tbl[[#This Row],[$ EFT COMM]]</f>
        <v>0</v>
      </c>
      <c r="AB15" s="128">
        <f>Apr_Period_2_Tbl[[#This Row],[$ PT COMM]]</f>
        <v>0</v>
      </c>
      <c r="AC15" s="128">
        <f>Apr_Period_2_Tbl[[#This Row],[$ BONUS PAY]]</f>
        <v>0</v>
      </c>
      <c r="AD15" s="128">
        <f>Apr_Period_2_Tbl[[#This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IF(OR(ISBLANK(Apr_Period_2_Tbl[[#This Row],['# HRS WORKED]]),ISBLANK(Apr_Period_2_Tbl[[#This Row],[$ Hourly RATE]])),"",Apr_Period_2_Tbl[[#This Row],['# HRS WORKED]]*Apr_Period_2_Tbl[[#This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IF(Apr_Period_2_Tbl[[#This Row],[$ Hourly WAGES]]="",SUM(Apr_Period_2_Tbl[[#This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PAY]]),SUM(Apr_Period_2_Tbl[[#This Row],[$ Hourly WAGES]]+Apr_Period_2_Tbl[[#This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Apr_Period_2_Tbl[[#This Row],[STAFF:]]</f>
        <v>David Pecinovsky</v>
      </c>
      <c r="X16" s="128">
        <f>IF(Apr_Period_2_Tbl[[#This Row],[$ Hourly WAGES]]="",Apr_Period_2_Tbl[[#This Row],[$ SALARY]],Apr_Period_2_Tbl[[#This Row],[$ Hourly WAGES]]+Apr_Period_2_Tbl[[#This Row],[$ SALARY]])</f>
        <v>0</v>
      </c>
      <c r="Y16" s="128">
        <f>Apr_Period_2_Tbl[[#This Row],[$ FREE PT]]+Apr_Period_2_Tbl[[#This Row],[$ PAID PT]]</f>
        <v>0</v>
      </c>
      <c r="Z16" s="128">
        <f>Apr_Period_2_Tbl[[#This Row],[$ CLASS PAY]]</f>
        <v>0</v>
      </c>
      <c r="AA16" s="128">
        <f>Apr_Period_2_Tbl[[#This Row],[$ EFT COMM]]</f>
        <v>0</v>
      </c>
      <c r="AB16" s="128">
        <f>Apr_Period_2_Tbl[[#This Row],[$ PT COMM]]</f>
        <v>0</v>
      </c>
      <c r="AC16" s="128">
        <f>Apr_Period_2_Tbl[[#This Row],[$ BONUS PAY]]</f>
        <v>0</v>
      </c>
      <c r="AD16" s="128">
        <f>Apr_Period_2_Tbl[[#This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IF(OR(ISBLANK(Apr_Period_2_Tbl[[#This Row],['# HRS WORKED]]),ISBLANK(Apr_Period_2_Tbl[[#This Row],[$ Hourly RATE]])),"",Apr_Period_2_Tbl[[#This Row],['# HRS WORKED]]*Apr_Period_2_Tbl[[#This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IF(Apr_Period_2_Tbl[[#This Row],[$ Hourly WAGES]]="",SUM(Apr_Period_2_Tbl[[#This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PAY]]),SUM(Apr_Period_2_Tbl[[#This Row],[$ Hourly WAGES]]+Apr_Period_2_Tbl[[#This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Apr_Period_2_Tbl[[#This Row],[STAFF:]]</f>
        <v>Justin Stead</v>
      </c>
      <c r="X17" s="128">
        <f>IF(Apr_Period_2_Tbl[[#This Row],[$ Hourly WAGES]]="",Apr_Period_2_Tbl[[#This Row],[$ SALARY]],Apr_Period_2_Tbl[[#This Row],[$ Hourly WAGES]]+Apr_Period_2_Tbl[[#This Row],[$ SALARY]])</f>
        <v>0</v>
      </c>
      <c r="Y17" s="128">
        <f>Apr_Period_2_Tbl[[#This Row],[$ FREE PT]]+Apr_Period_2_Tbl[[#This Row],[$ PAID PT]]</f>
        <v>0</v>
      </c>
      <c r="Z17" s="128">
        <f>Apr_Period_2_Tbl[[#This Row],[$ CLASS PAY]]</f>
        <v>0</v>
      </c>
      <c r="AA17" s="128">
        <f>Apr_Period_2_Tbl[[#This Row],[$ EFT COMM]]</f>
        <v>0</v>
      </c>
      <c r="AB17" s="128">
        <f>Apr_Period_2_Tbl[[#This Row],[$ PT COMM]]</f>
        <v>0</v>
      </c>
      <c r="AC17" s="128">
        <f>Apr_Period_2_Tbl[[#This Row],[$ BONUS PAY]]</f>
        <v>0</v>
      </c>
      <c r="AD17" s="128">
        <f>Apr_Period_2_Tbl[[#This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IF(OR(ISBLANK(Apr_Period_2_Tbl[[#This Row],['# HRS WORKED]]),ISBLANK(Apr_Period_2_Tbl[[#This Row],[$ Hourly RATE]])),"",Apr_Period_2_Tbl[[#This Row],['# HRS WORKED]]*Apr_Period_2_Tbl[[#This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IF(Apr_Period_2_Tbl[[#This Row],[$ Hourly WAGES]]="",SUM(Apr_Period_2_Tbl[[#This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PAY]]),SUM(Apr_Period_2_Tbl[[#This Row],[$ Hourly WAGES]]+Apr_Period_2_Tbl[[#This Row],[$ SALARY]]+Apr_Period_2_Tbl[[#This Row],[$ FREE PT]]+Apr_Period_2_Tbl[[#This Row],[$ PAID PT]]+Apr_Period_2_Tbl[[#This Row],[$ PT COMM]]+Apr_Period_2_Tbl[[#This Row],[$ EFT COMM]]+Apr_Period_2_Tbl[[#This Row],[$ CLASS PAY]]+Apr_Period_2_Tbl[[#This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Apr_Period_2_Tbl[[#This Row],[STAFF:]]</f>
        <v>Georgine Diolamou</v>
      </c>
      <c r="X18" s="128">
        <f>IF(Apr_Period_2_Tbl[[#This Row],[$ Hourly WAGES]]="",Apr_Period_2_Tbl[[#This Row],[$ SALARY]],Apr_Period_2_Tbl[[#This Row],[$ Hourly WAGES]]+Apr_Period_2_Tbl[[#This Row],[$ SALARY]])</f>
        <v>0</v>
      </c>
      <c r="Y18" s="128">
        <f>Apr_Period_2_Tbl[[#This Row],[$ FREE PT]]+Apr_Period_2_Tbl[[#This Row],[$ PAID PT]]</f>
        <v>0</v>
      </c>
      <c r="Z18" s="128">
        <f>Apr_Period_2_Tbl[[#This Row],[$ CLASS PAY]]</f>
        <v>0</v>
      </c>
      <c r="AA18" s="128">
        <f>Apr_Period_2_Tbl[[#This Row],[$ EFT COMM]]</f>
        <v>0</v>
      </c>
      <c r="AB18" s="128">
        <f>Apr_Period_2_Tbl[[#This Row],[$ PT COMM]]</f>
        <v>0</v>
      </c>
      <c r="AC18" s="128">
        <f>Apr_Period_2_Tbl[[#This Row],[$ BONUS PAY]]</f>
        <v>0</v>
      </c>
      <c r="AD18" s="128">
        <f>Apr_Period_2_Tbl[[#This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SUBTOTAL(109,Apr_Period_2_Tbl['# PTO USED])</f>
        <v>0</v>
      </c>
      <c r="D19" s="79">
        <f>SUBTOTAL(109,Apr_Period_2_Tbl['# PTO Holiday])</f>
        <v>0</v>
      </c>
      <c r="E19" s="80">
        <f>SUBTOTAL(109,Apr_Period_2_Tbl['# HRS WORKED])</f>
        <v>0</v>
      </c>
      <c r="F19" s="97">
        <f>SUBTOTAL(109,Apr_Period_2_Tbl[$ Hourly RATE])</f>
        <v>0</v>
      </c>
      <c r="G19" s="97">
        <f>SUBTOTAL(109,Apr_Period_2_Tbl[$ Hourly WAGES])</f>
        <v>0</v>
      </c>
      <c r="H19" s="97">
        <f>SUBTOTAL(109,Apr_Period_2_Tbl[$ SALARY])</f>
        <v>0</v>
      </c>
      <c r="I19" s="97">
        <f>SUBTOTAL(109,Apr_Period_2_Tbl[$ SALARY PT])</f>
        <v>0</v>
      </c>
      <c r="J19" s="97">
        <f>SUBTOTAL(109,Apr_Period_2_Tbl[$ FREE PT])</f>
        <v>0</v>
      </c>
      <c r="K19" s="97">
        <f>SUBTOTAL(109,Apr_Period_2_Tbl[$ PAID PT])</f>
        <v>0</v>
      </c>
      <c r="L19" s="97">
        <f>SUBTOTAL(109,Apr_Period_2_Tbl[$ PT COMM])</f>
        <v>0</v>
      </c>
      <c r="M19" s="98">
        <f>SUBTOTAL(109,Apr_Period_2_Tbl[$ EFT COMM])</f>
        <v>0</v>
      </c>
      <c r="N19" s="98">
        <f>SUBTOTAL(109,Apr_Period_2_Tbl[$ CLASS PAY])</f>
        <v>0</v>
      </c>
      <c r="O19" s="99">
        <f>SUBTOTAL(109,Apr_Period_2_Tbl[$ BONUS PAY])</f>
        <v>0</v>
      </c>
      <c r="P19" s="100">
        <f>SUBTOTAL(109,Apr_Period_2_Tbl[TOTAL PAY])</f>
        <v>0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SUBTOTAL(109,Apr_Period_2_Tbl[$ REGULAR WAGES])</f>
        <v>0</v>
      </c>
      <c r="Y19" s="128">
        <f>SUBTOTAL(109,Apr_Period_2_Tbl[$ PERSONAL TRAINING])</f>
        <v>0</v>
      </c>
      <c r="Z19" s="128">
        <f>SUBTOTAL(109,Apr_Period_2_Tbl[$ CLASSES])</f>
        <v>0</v>
      </c>
      <c r="AA19" s="128">
        <f>SUBTOTAL(109,Apr_Period_2_Tbl[$ EFT COMMISSION])</f>
        <v>0</v>
      </c>
      <c r="AB19" s="128">
        <f>SUBTOTAL(109,Apr_Period_2_Tbl[$ PT COMMISSION])</f>
        <v>0</v>
      </c>
      <c r="AC19" s="128">
        <f>SUBTOTAL(109,Apr_Period_2_Tbl[BONUS])</f>
        <v>0</v>
      </c>
      <c r="AD19" s="128">
        <f>SUBTOTAL(109,Apr_Period_2_Tbl[TOTAL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</f>
        <v>18370.86</v>
      </c>
    </row>
  </sheetData>
  <sheetProtection algorithmName="SHA-512" hashValue="7A+fjGfYJXw4hsiYpVcko1Ox+BhYh54uvYsg4a8dYWGlruMM1czS+BdGa8xXqD6SzFdRvIytfN0iyV0RzV7LGQ==" saltValue="UjOqtdBZBUOCcFq7VBGewA==" spinCount="100000" sheet="1" objects="1" scenarios="1"/>
  <mergeCells count="1">
    <mergeCell ref="A1:P1"/>
  </mergeCell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05_May2017"/>
  <dimension ref="A1:AD20"/>
  <sheetViews>
    <sheetView showGridLines="0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7109375" style="29" customWidth="1"/>
    <col min="30" max="30" width="8.7109375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Summary!D76</f>
        <v>42856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IF(OR(ISBLANK(May_Period_1_Tbl[[#This Row],['# HRS WORKED]]),ISBLANK(May_Period_1_Tbl[[#This Row],[$ Hourly RATE]])),"",May_Period_1_Tbl[[#This Row],['# HRS WORKED]]*May_Period_1_Tbl[[#This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IF(May_Period_1_Tbl[[#This Row],[$ Hourly WAGES]]="",SUM(May_Period_1_Tbl[[#This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PAY]]),SUM(May_Period_1_Tbl[[#This Row],[$ Hourly WAGES]]+May_Period_1_Tbl[[#This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PAY]]))</f>
        <v>0</v>
      </c>
      <c r="Q6" s="115"/>
      <c r="R6" s="135"/>
      <c r="S6" s="135"/>
      <c r="T6" s="135"/>
      <c r="U6" s="135"/>
      <c r="V6" s="120"/>
      <c r="W6" s="127" t="str">
        <f>May_Period_1_Tbl[[#This Row],[STAFF:]]</f>
        <v>Roxy Ayala</v>
      </c>
      <c r="X6" s="128">
        <f>IF(May_Period_1_Tbl[[#This Row],[$ Hourly WAGES]]="",May_Period_1_Tbl[[#This Row],[$ SALARY]],May_Period_1_Tbl[[#This Row],[$ Hourly WAGES]]+May_Period_1_Tbl[[#This Row],[$ SALARY]])</f>
        <v>0</v>
      </c>
      <c r="Y6" s="128">
        <f>May_Period_1_Tbl[[#This Row],[$ FREE PT]]+May_Period_1_Tbl[[#This Row],[$ PAID PT]]</f>
        <v>0</v>
      </c>
      <c r="Z6" s="128">
        <f>May_Period_1_Tbl[[#This Row],[$ CLASS PAY]]</f>
        <v>0</v>
      </c>
      <c r="AA6" s="128">
        <f>May_Period_1_Tbl[[#This Row],[$ EFT COMM]]</f>
        <v>0</v>
      </c>
      <c r="AB6" s="128">
        <f>May_Period_1_Tbl[[#This Row],[$ PT COMM]]</f>
        <v>0</v>
      </c>
      <c r="AC6" s="128">
        <f>May_Period_1_Tbl[[#This Row],[$ BONUS PAY]]</f>
        <v>0</v>
      </c>
      <c r="AD6" s="128">
        <f>May_Period_1_Tbl[[#This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IF(OR(ISBLANK(May_Period_1_Tbl[[#This Row],['# HRS WORKED]]),ISBLANK(May_Period_1_Tbl[[#This Row],[$ Hourly RATE]])),"",May_Period_1_Tbl[[#This Row],['# HRS WORKED]]*May_Period_1_Tbl[[#This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IF(May_Period_1_Tbl[[#This Row],[$ Hourly WAGES]]="",SUM(May_Period_1_Tbl[[#This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PAY]]),SUM(May_Period_1_Tbl[[#This Row],[$ Hourly WAGES]]+May_Period_1_Tbl[[#This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PAY]]))</f>
        <v>0</v>
      </c>
      <c r="Q7" s="115"/>
      <c r="R7" s="135"/>
      <c r="S7" s="135"/>
      <c r="T7" s="135"/>
      <c r="U7" s="135"/>
      <c r="V7" s="120"/>
      <c r="W7" s="127" t="str">
        <f>May_Period_1_Tbl[[#This Row],[STAFF:]]</f>
        <v>David Pecinovsky</v>
      </c>
      <c r="X7" s="128">
        <f>IF(May_Period_1_Tbl[[#This Row],[$ Hourly WAGES]]="",May_Period_1_Tbl[[#This Row],[$ SALARY]],May_Period_1_Tbl[[#This Row],[$ Hourly WAGES]]+May_Period_1_Tbl[[#This Row],[$ SALARY]])</f>
        <v>0</v>
      </c>
      <c r="Y7" s="128">
        <f>May_Period_1_Tbl[[#This Row],[$ FREE PT]]+May_Period_1_Tbl[[#This Row],[$ PAID PT]]</f>
        <v>0</v>
      </c>
      <c r="Z7" s="128">
        <f>May_Period_1_Tbl[[#This Row],[$ CLASS PAY]]</f>
        <v>0</v>
      </c>
      <c r="AA7" s="128">
        <f>May_Period_1_Tbl[[#This Row],[$ EFT COMM]]</f>
        <v>0</v>
      </c>
      <c r="AB7" s="128">
        <f>May_Period_1_Tbl[[#This Row],[$ PT COMM]]</f>
        <v>0</v>
      </c>
      <c r="AC7" s="128">
        <f>May_Period_1_Tbl[[#This Row],[$ BONUS PAY]]</f>
        <v>0</v>
      </c>
      <c r="AD7" s="128">
        <f>May_Period_1_Tbl[[#This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IF(OR(ISBLANK(May_Period_1_Tbl[[#This Row],['# HRS WORKED]]),ISBLANK(May_Period_1_Tbl[[#This Row],[$ Hourly RATE]])),"",May_Period_1_Tbl[[#This Row],['# HRS WORKED]]*May_Period_1_Tbl[[#This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IF(May_Period_1_Tbl[[#This Row],[$ Hourly WAGES]]="",SUM(May_Period_1_Tbl[[#This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PAY]]),SUM(May_Period_1_Tbl[[#This Row],[$ Hourly WAGES]]+May_Period_1_Tbl[[#This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PAY]]))</f>
        <v>0</v>
      </c>
      <c r="Q8" s="115"/>
      <c r="R8" s="135"/>
      <c r="S8" s="135"/>
      <c r="T8" s="135"/>
      <c r="U8" s="135"/>
      <c r="V8" s="120"/>
      <c r="W8" s="127" t="str">
        <f>May_Period_1_Tbl[[#This Row],[STAFF:]]</f>
        <v>Justin Stead</v>
      </c>
      <c r="X8" s="128">
        <f>IF(May_Period_1_Tbl[[#This Row],[$ Hourly WAGES]]="",May_Period_1_Tbl[[#This Row],[$ SALARY]],May_Period_1_Tbl[[#This Row],[$ Hourly WAGES]]+May_Period_1_Tbl[[#This Row],[$ SALARY]])</f>
        <v>0</v>
      </c>
      <c r="Y8" s="128">
        <f>May_Period_1_Tbl[[#This Row],[$ FREE PT]]+May_Period_1_Tbl[[#This Row],[$ PAID PT]]</f>
        <v>0</v>
      </c>
      <c r="Z8" s="128">
        <f>May_Period_1_Tbl[[#This Row],[$ CLASS PAY]]</f>
        <v>0</v>
      </c>
      <c r="AA8" s="128">
        <f>May_Period_1_Tbl[[#This Row],[$ EFT COMM]]</f>
        <v>0</v>
      </c>
      <c r="AB8" s="128">
        <f>May_Period_1_Tbl[[#This Row],[$ PT COMM]]</f>
        <v>0</v>
      </c>
      <c r="AC8" s="128">
        <f>May_Period_1_Tbl[[#This Row],[$ BONUS PAY]]</f>
        <v>0</v>
      </c>
      <c r="AD8" s="128">
        <f>May_Period_1_Tbl[[#This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IF(OR(ISBLANK(May_Period_1_Tbl[[#This Row],['# HRS WORKED]]),ISBLANK(May_Period_1_Tbl[[#This Row],[$ Hourly RATE]])),"",May_Period_1_Tbl[[#This Row],['# HRS WORKED]]*May_Period_1_Tbl[[#This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IF(May_Period_1_Tbl[[#This Row],[$ Hourly WAGES]]="",SUM(May_Period_1_Tbl[[#This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PAY]]),SUM(May_Period_1_Tbl[[#This Row],[$ Hourly WAGES]]+May_Period_1_Tbl[[#This Row],[$ SALARY]]+May_Period_1_Tbl[[#This Row],[$ FREE PT]]+May_Period_1_Tbl[[#This Row],[$ PAID PT]]+May_Period_1_Tbl[[#This Row],[$ PT COMM]]+May_Period_1_Tbl[[#This Row],[$ EFT COMM]]+May_Period_1_Tbl[[#This Row],[$ CLASS PAY]]+May_Period_1_Tbl[[#This Row],[$ BONUS PAY]]))</f>
        <v>0</v>
      </c>
      <c r="Q9" s="115"/>
      <c r="R9" s="135"/>
      <c r="S9" s="135"/>
      <c r="T9" s="135"/>
      <c r="U9" s="135"/>
      <c r="V9" s="120"/>
      <c r="W9" s="127" t="str">
        <f>May_Period_1_Tbl[[#This Row],[STAFF:]]</f>
        <v>Georgine Diolamou</v>
      </c>
      <c r="X9" s="128">
        <f>IF(May_Period_1_Tbl[[#This Row],[$ Hourly WAGES]]="",May_Period_1_Tbl[[#This Row],[$ SALARY]],May_Period_1_Tbl[[#This Row],[$ Hourly WAGES]]+May_Period_1_Tbl[[#This Row],[$ SALARY]])</f>
        <v>0</v>
      </c>
      <c r="Y9" s="128">
        <f>May_Period_1_Tbl[[#This Row],[$ FREE PT]]+May_Period_1_Tbl[[#This Row],[$ PAID PT]]</f>
        <v>0</v>
      </c>
      <c r="Z9" s="128">
        <f>May_Period_1_Tbl[[#This Row],[$ CLASS PAY]]</f>
        <v>0</v>
      </c>
      <c r="AA9" s="128">
        <f>May_Period_1_Tbl[[#This Row],[$ EFT COMM]]</f>
        <v>0</v>
      </c>
      <c r="AB9" s="128">
        <f>May_Period_1_Tbl[[#This Row],[$ PT COMM]]</f>
        <v>0</v>
      </c>
      <c r="AC9" s="128">
        <f>May_Period_1_Tbl[[#This Row],[$ BONUS PAY]]</f>
        <v>0</v>
      </c>
      <c r="AD9" s="128">
        <f>May_Period_1_Tbl[[#This Row],[TOTAL PAY]]</f>
        <v>0</v>
      </c>
    </row>
    <row r="10" spans="1:30" ht="15.75" thickBot="1" x14ac:dyDescent="0.3">
      <c r="A10" s="21" t="s">
        <v>58</v>
      </c>
      <c r="B10" s="22"/>
      <c r="C10" s="79">
        <f>SUBTOTAL(109,May_Period_1_Tbl['# PTO USED])</f>
        <v>0</v>
      </c>
      <c r="D10" s="79">
        <f>SUBTOTAL(109,May_Period_1_Tbl['# PTO Holiday])</f>
        <v>0</v>
      </c>
      <c r="E10" s="80">
        <f>SUBTOTAL(109,May_Period_1_Tbl['# HRS WORKED])</f>
        <v>0</v>
      </c>
      <c r="F10" s="97">
        <f>SUBTOTAL(109,May_Period_1_Tbl[$ Hourly RATE])</f>
        <v>0</v>
      </c>
      <c r="G10" s="97">
        <f>SUBTOTAL(109,May_Period_1_Tbl[$ Hourly WAGES])</f>
        <v>0</v>
      </c>
      <c r="H10" s="97">
        <f>SUBTOTAL(109,May_Period_1_Tbl[$ SALARY])</f>
        <v>0</v>
      </c>
      <c r="I10" s="97">
        <f>SUBTOTAL(109,May_Period_1_Tbl[$ SALARY PT])</f>
        <v>0</v>
      </c>
      <c r="J10" s="97">
        <f>SUBTOTAL(109,May_Period_1_Tbl[$ FREE PT])</f>
        <v>0</v>
      </c>
      <c r="K10" s="97">
        <f>SUBTOTAL(109,May_Period_1_Tbl[$ PAID PT])</f>
        <v>0</v>
      </c>
      <c r="L10" s="97">
        <f>SUBTOTAL(109,May_Period_1_Tbl[$ PT COMM])</f>
        <v>0</v>
      </c>
      <c r="M10" s="98">
        <f>SUBTOTAL(109,May_Period_1_Tbl[$ EFT COMM])</f>
        <v>0</v>
      </c>
      <c r="N10" s="98">
        <f>SUBTOTAL(109,May_Period_1_Tbl[$ CLASS PAY])</f>
        <v>0</v>
      </c>
      <c r="O10" s="99">
        <f>SUBTOTAL(109,May_Period_1_Tbl[$ BONUS PAY])</f>
        <v>0</v>
      </c>
      <c r="P10" s="100">
        <f>SUBTOTAL(109,May_Period_1_Tbl[TOTAL PAY])</f>
        <v>0</v>
      </c>
      <c r="Q10"/>
      <c r="R10" s="121">
        <f>SUBTOTAL(109,Dec_Period_1_Tbl['# POINTS EARNED])</f>
        <v>0</v>
      </c>
      <c r="S10" s="121">
        <f>SUBTOTAL(109,Dec_Period_1_Tbl['# POINTS USED])</f>
        <v>0</v>
      </c>
      <c r="T10" s="121">
        <f>SUBTOTAL(109,Dec_Period_1_Tbl['# CLASSES LEAD])</f>
        <v>0</v>
      </c>
      <c r="U10" s="121">
        <f>SUBTOTAL(109,Dec_Period_1_Tbl['# CLASSES SHOW])</f>
        <v>0</v>
      </c>
      <c r="V10" s="123"/>
      <c r="W10" s="129" t="s">
        <v>105</v>
      </c>
      <c r="X10" s="128">
        <f>SUBTOTAL(109,May_Period_1_Tbl[$ REGULAR WAGES])</f>
        <v>0</v>
      </c>
      <c r="Y10" s="128">
        <f>SUBTOTAL(109,May_Period_1_Tbl[$ PERSONAL TRAINING])</f>
        <v>0</v>
      </c>
      <c r="Z10" s="128">
        <f>SUBTOTAL(109,May_Period_1_Tbl[$ CLASSES])</f>
        <v>0</v>
      </c>
      <c r="AA10" s="128">
        <f>SUBTOTAL(109,May_Period_1_Tbl[$ EFT COMMISSION])</f>
        <v>0</v>
      </c>
      <c r="AB10" s="128">
        <f>SUBTOTAL(109,May_Period_1_Tbl[$ PT COMMISSION])</f>
        <v>0</v>
      </c>
      <c r="AC10" s="128">
        <f>SUBTOTAL(109,May_Period_1_Tbl[BONUS])</f>
        <v>0</v>
      </c>
      <c r="AD10" s="128">
        <f>SUBTOTAL(109,May_Period_1_Tbl[TOTAL
PAY])</f>
        <v>0</v>
      </c>
    </row>
    <row r="11" spans="1:30" s="30" customFormat="1" ht="15.75" thickTop="1" x14ac:dyDescent="0.25">
      <c r="A11" s="61"/>
      <c r="B11" s="62"/>
      <c r="C11" s="63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</f>
        <v>18370.86</v>
      </c>
    </row>
    <row r="12" spans="1:30" s="30" customFormat="1" ht="12.75" x14ac:dyDescent="0.2">
      <c r="A12" s="88" t="s">
        <v>84</v>
      </c>
      <c r="B12" s="67">
        <f>Summary!D77</f>
        <v>42870</v>
      </c>
      <c r="C12" s="68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68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IF(OR(ISBLANK(May_Period_2_Tbl[[#This Row],['# HRS WORKED]]),ISBLANK(May_Period_2_Tbl[[#This Row],[$ Hourly RATE]])),"",May_Period_2_Tbl[[#This Row],['# HRS WORKED]]*May_Period_2_Tbl[[#This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IF(May_Period_2_Tbl[[#This Row],[$ Hourly WAGES]]="",SUM(May_Period_2_Tbl[[#This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PAY]]),SUM(May_Period_2_Tbl[[#This Row],[$ Hourly WAGES]]+May_Period_2_Tbl[[#This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May_Period_2_Tbl[[#This Row],[STAFF:]]</f>
        <v>Roxy Ayala</v>
      </c>
      <c r="X15" s="128">
        <f>IF(May_Period_2_Tbl[[#This Row],[$ Hourly WAGES]]="",May_Period_2_Tbl[[#This Row],[$ SALARY]],May_Period_2_Tbl[[#This Row],[$ Hourly WAGES]]+May_Period_2_Tbl[[#This Row],[$ SALARY]])</f>
        <v>0</v>
      </c>
      <c r="Y15" s="128">
        <f>May_Period_2_Tbl[[#This Row],[$ FREE PT]]+May_Period_2_Tbl[[#This Row],[$ PAID PT]]</f>
        <v>0</v>
      </c>
      <c r="Z15" s="128">
        <f>May_Period_2_Tbl[[#This Row],[$ CLASS PAY]]</f>
        <v>0</v>
      </c>
      <c r="AA15" s="128">
        <f>May_Period_2_Tbl[[#This Row],[$ EFT COMM]]</f>
        <v>0</v>
      </c>
      <c r="AB15" s="128">
        <f>May_Period_2_Tbl[[#This Row],[$ PT COMM]]</f>
        <v>0</v>
      </c>
      <c r="AC15" s="128">
        <f>May_Period_2_Tbl[[#This Row],[$ BONUS PAY]]</f>
        <v>0</v>
      </c>
      <c r="AD15" s="128">
        <f>May_Period_2_Tbl[[#This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IF(OR(ISBLANK(May_Period_2_Tbl[[#This Row],['# HRS WORKED]]),ISBLANK(May_Period_2_Tbl[[#This Row],[$ Hourly RATE]])),"",May_Period_2_Tbl[[#This Row],['# HRS WORKED]]*May_Period_2_Tbl[[#This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IF(May_Period_2_Tbl[[#This Row],[$ Hourly WAGES]]="",SUM(May_Period_2_Tbl[[#This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PAY]]),SUM(May_Period_2_Tbl[[#This Row],[$ Hourly WAGES]]+May_Period_2_Tbl[[#This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May_Period_2_Tbl[[#This Row],[STAFF:]]</f>
        <v>David Pecinovsky</v>
      </c>
      <c r="X16" s="128">
        <f>IF(May_Period_2_Tbl[[#This Row],[$ Hourly WAGES]]="",May_Period_2_Tbl[[#This Row],[$ SALARY]],May_Period_2_Tbl[[#This Row],[$ Hourly WAGES]]+May_Period_2_Tbl[[#This Row],[$ SALARY]])</f>
        <v>0</v>
      </c>
      <c r="Y16" s="128">
        <f>May_Period_2_Tbl[[#This Row],[$ FREE PT]]+May_Period_2_Tbl[[#This Row],[$ PAID PT]]</f>
        <v>0</v>
      </c>
      <c r="Z16" s="128">
        <f>May_Period_2_Tbl[[#This Row],[$ CLASS PAY]]</f>
        <v>0</v>
      </c>
      <c r="AA16" s="128">
        <f>May_Period_2_Tbl[[#This Row],[$ EFT COMM]]</f>
        <v>0</v>
      </c>
      <c r="AB16" s="128">
        <f>May_Period_2_Tbl[[#This Row],[$ PT COMM]]</f>
        <v>0</v>
      </c>
      <c r="AC16" s="128">
        <f>May_Period_2_Tbl[[#This Row],[$ BONUS PAY]]</f>
        <v>0</v>
      </c>
      <c r="AD16" s="128">
        <f>May_Period_2_Tbl[[#This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IF(OR(ISBLANK(May_Period_2_Tbl[[#This Row],['# HRS WORKED]]),ISBLANK(May_Period_2_Tbl[[#This Row],[$ Hourly RATE]])),"",May_Period_2_Tbl[[#This Row],['# HRS WORKED]]*May_Period_2_Tbl[[#This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IF(May_Period_2_Tbl[[#This Row],[$ Hourly WAGES]]="",SUM(May_Period_2_Tbl[[#This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PAY]]),SUM(May_Period_2_Tbl[[#This Row],[$ Hourly WAGES]]+May_Period_2_Tbl[[#This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May_Period_2_Tbl[[#This Row],[STAFF:]]</f>
        <v>Justin Stead</v>
      </c>
      <c r="X17" s="128">
        <f>IF(May_Period_2_Tbl[[#This Row],[$ Hourly WAGES]]="",May_Period_2_Tbl[[#This Row],[$ SALARY]],May_Period_2_Tbl[[#This Row],[$ Hourly WAGES]]+May_Period_2_Tbl[[#This Row],[$ SALARY]])</f>
        <v>0</v>
      </c>
      <c r="Y17" s="128">
        <f>May_Period_2_Tbl[[#This Row],[$ FREE PT]]+May_Period_2_Tbl[[#This Row],[$ PAID PT]]</f>
        <v>0</v>
      </c>
      <c r="Z17" s="128">
        <f>May_Period_2_Tbl[[#This Row],[$ CLASS PAY]]</f>
        <v>0</v>
      </c>
      <c r="AA17" s="128">
        <f>May_Period_2_Tbl[[#This Row],[$ EFT COMM]]</f>
        <v>0</v>
      </c>
      <c r="AB17" s="128">
        <f>May_Period_2_Tbl[[#This Row],[$ PT COMM]]</f>
        <v>0</v>
      </c>
      <c r="AC17" s="128">
        <f>May_Period_2_Tbl[[#This Row],[$ BONUS PAY]]</f>
        <v>0</v>
      </c>
      <c r="AD17" s="128">
        <f>May_Period_2_Tbl[[#This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IF(OR(ISBLANK(May_Period_2_Tbl[[#This Row],['# HRS WORKED]]),ISBLANK(May_Period_2_Tbl[[#This Row],[$ Hourly RATE]])),"",May_Period_2_Tbl[[#This Row],['# HRS WORKED]]*May_Period_2_Tbl[[#This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IF(May_Period_2_Tbl[[#This Row],[$ Hourly WAGES]]="",SUM(May_Period_2_Tbl[[#This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PAY]]),SUM(May_Period_2_Tbl[[#This Row],[$ Hourly WAGES]]+May_Period_2_Tbl[[#This Row],[$ SALARY]]+May_Period_2_Tbl[[#This Row],[$ FREE PT]]+May_Period_2_Tbl[[#This Row],[$ PAID PT]]+May_Period_2_Tbl[[#This Row],[$ PT COMM]]+May_Period_2_Tbl[[#This Row],[$ EFT COMM]]+May_Period_2_Tbl[[#This Row],[$ CLASS PAY]]+May_Period_2_Tbl[[#This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May_Period_2_Tbl[[#This Row],[STAFF:]]</f>
        <v>Georgine Diolamou</v>
      </c>
      <c r="X18" s="128">
        <f>IF(May_Period_2_Tbl[[#This Row],[$ Hourly WAGES]]="",May_Period_2_Tbl[[#This Row],[$ SALARY]],May_Period_2_Tbl[[#This Row],[$ Hourly WAGES]]+May_Period_2_Tbl[[#This Row],[$ SALARY]])</f>
        <v>0</v>
      </c>
      <c r="Y18" s="128">
        <f>May_Period_2_Tbl[[#This Row],[$ FREE PT]]+May_Period_2_Tbl[[#This Row],[$ PAID PT]]</f>
        <v>0</v>
      </c>
      <c r="Z18" s="128">
        <f>May_Period_2_Tbl[[#This Row],[$ CLASS PAY]]</f>
        <v>0</v>
      </c>
      <c r="AA18" s="128">
        <f>May_Period_2_Tbl[[#This Row],[$ EFT COMM]]</f>
        <v>0</v>
      </c>
      <c r="AB18" s="128">
        <f>May_Period_2_Tbl[[#This Row],[$ PT COMM]]</f>
        <v>0</v>
      </c>
      <c r="AC18" s="128">
        <f>May_Period_2_Tbl[[#This Row],[$ BONUS PAY]]</f>
        <v>0</v>
      </c>
      <c r="AD18" s="128">
        <f>May_Period_2_Tbl[[#This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SUBTOTAL(109,May_Period_2_Tbl['# PTO USED])</f>
        <v>0</v>
      </c>
      <c r="D19" s="79">
        <f>SUBTOTAL(109,May_Period_2_Tbl['# PTO Holiday])</f>
        <v>0</v>
      </c>
      <c r="E19" s="80">
        <f>SUBTOTAL(109,May_Period_2_Tbl['# HRS WORKED])</f>
        <v>0</v>
      </c>
      <c r="F19" s="97">
        <f>SUBTOTAL(109,May_Period_2_Tbl[$ Hourly RATE])</f>
        <v>0</v>
      </c>
      <c r="G19" s="97">
        <f>SUBTOTAL(109,May_Period_2_Tbl[$ Hourly WAGES])</f>
        <v>0</v>
      </c>
      <c r="H19" s="97">
        <f>SUBTOTAL(109,May_Period_2_Tbl[$ SALARY])</f>
        <v>0</v>
      </c>
      <c r="I19" s="97">
        <f>SUBTOTAL(109,May_Period_2_Tbl[$ SALARY PT])</f>
        <v>0</v>
      </c>
      <c r="J19" s="97">
        <f>SUBTOTAL(109,May_Period_2_Tbl[$ FREE PT])</f>
        <v>0</v>
      </c>
      <c r="K19" s="97">
        <f>SUBTOTAL(109,May_Period_2_Tbl[$ PAID PT])</f>
        <v>0</v>
      </c>
      <c r="L19" s="97">
        <f>SUBTOTAL(109,May_Period_2_Tbl[$ PT COMM])</f>
        <v>0</v>
      </c>
      <c r="M19" s="98">
        <f>SUBTOTAL(109,May_Period_2_Tbl[$ EFT COMM])</f>
        <v>0</v>
      </c>
      <c r="N19" s="98">
        <f>SUBTOTAL(109,May_Period_2_Tbl[$ CLASS PAY])</f>
        <v>0</v>
      </c>
      <c r="O19" s="99">
        <f>SUBTOTAL(109,May_Period_2_Tbl[$ BONUS PAY])</f>
        <v>0</v>
      </c>
      <c r="P19" s="100">
        <f>SUBTOTAL(109,May_Period_2_Tbl[TOTAL PAY])</f>
        <v>0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SUBTOTAL(109,May_Period_2_Tbl[$ REGULAR WAGES])</f>
        <v>0</v>
      </c>
      <c r="Y19" s="128">
        <f>SUBTOTAL(109,May_Period_2_Tbl[$ PERSONAL TRAINING])</f>
        <v>0</v>
      </c>
      <c r="Z19" s="128">
        <f>SUBTOTAL(109,May_Period_2_Tbl[$ CLASSES])</f>
        <v>0</v>
      </c>
      <c r="AA19" s="128">
        <f>SUBTOTAL(109,May_Period_2_Tbl[$ EFT COMMISSION])</f>
        <v>0</v>
      </c>
      <c r="AB19" s="128">
        <f>SUBTOTAL(109,May_Period_2_Tbl[$ PT COMMISSION])</f>
        <v>0</v>
      </c>
      <c r="AC19" s="128">
        <f>SUBTOTAL(109,May_Period_2_Tbl[BONUS])</f>
        <v>0</v>
      </c>
      <c r="AD19" s="128">
        <f>SUBTOTAL(109,May_Period_2_Tbl[TOTAL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</f>
        <v>18370.86</v>
      </c>
    </row>
  </sheetData>
  <sheetProtection algorithmName="SHA-512" hashValue="AmAjgq8LRb7lZk8NTksgJeuiNzJbCPjAdfFwK+z9c7mkE05NbqooXYbN5ttUaeE09QcB7o9f/79oo8/RDi1FSA==" saltValue="qC00JtwK5yqNl5iOhBiOVg==" spinCount="100000" sheet="1" objects="1" scenarios="1"/>
  <mergeCells count="1">
    <mergeCell ref="A1:P1"/>
  </mergeCell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06_Jun2017"/>
  <dimension ref="A1:AD20"/>
  <sheetViews>
    <sheetView showGridLines="0" zoomScaleNormal="100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10.7109375" style="29" customWidth="1"/>
    <col min="25" max="25" width="10" style="29" customWidth="1"/>
    <col min="26" max="26" width="8" style="29" customWidth="1"/>
    <col min="27" max="28" width="12.5703125" style="29" customWidth="1"/>
    <col min="29" max="30" width="9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Summary!D78</f>
        <v>42887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IF(OR(ISBLANK(Jun_Period_1_Tbl[[#This Row],['# HRS WORKED]]),ISBLANK(Jun_Period_1_Tbl[[#This Row],[$ Hourly RATE]])),"",Jun_Period_1_Tbl[[#This Row],['# HRS WORKED]]*Jun_Period_1_Tbl[[#This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IF(Jun_Period_1_Tbl[[#This Row],[$ Hourly WAGES]]="",SUM(Jun_Period_1_Tbl[[#This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PAY]]),SUM(Jun_Period_1_Tbl[[#This Row],[$ Hourly WAGES]]+Jun_Period_1_Tbl[[#This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PAY]]))</f>
        <v>0</v>
      </c>
      <c r="Q6" s="115"/>
      <c r="R6" s="135"/>
      <c r="S6" s="135"/>
      <c r="T6" s="135"/>
      <c r="U6" s="135"/>
      <c r="V6" s="120"/>
      <c r="W6" s="127" t="str">
        <f>Jun_Period_1_Tbl[[#This Row],[STAFF:]]</f>
        <v>Roxy Ayala</v>
      </c>
      <c r="X6" s="128">
        <f>IF(Jun_Period_1_Tbl[[#This Row],[$ Hourly WAGES]]="",Jun_Period_1_Tbl[[#This Row],[$ SALARY]],Jun_Period_1_Tbl[[#This Row],[$ Hourly WAGES]]+Jun_Period_1_Tbl[[#This Row],[$ SALARY]])</f>
        <v>0</v>
      </c>
      <c r="Y6" s="128">
        <f>Jun_Period_1_Tbl[[#This Row],[$ FREE PT]]+Jun_Period_1_Tbl[[#This Row],[$ PAID PT]]</f>
        <v>0</v>
      </c>
      <c r="Z6" s="128">
        <f>Jun_Period_1_Tbl[[#This Row],[$ CLASS PAY]]</f>
        <v>0</v>
      </c>
      <c r="AA6" s="128">
        <f>Jun_Period_1_Tbl[[#This Row],[$ EFT COMM]]</f>
        <v>0</v>
      </c>
      <c r="AB6" s="128">
        <f>Jun_Period_1_Tbl[[#This Row],[$ PT COMM]]</f>
        <v>0</v>
      </c>
      <c r="AC6" s="128">
        <f>Jun_Period_1_Tbl[[#This Row],[$ BONUS PAY]]</f>
        <v>0</v>
      </c>
      <c r="AD6" s="128">
        <f>Jun_Period_1_Tbl[[#This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IF(OR(ISBLANK(Jun_Period_1_Tbl[[#This Row],['# HRS WORKED]]),ISBLANK(Jun_Period_1_Tbl[[#This Row],[$ Hourly RATE]])),"",Jun_Period_1_Tbl[[#This Row],['# HRS WORKED]]*Jun_Period_1_Tbl[[#This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IF(Jun_Period_1_Tbl[[#This Row],[$ Hourly WAGES]]="",SUM(Jun_Period_1_Tbl[[#This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PAY]]),SUM(Jun_Period_1_Tbl[[#This Row],[$ Hourly WAGES]]+Jun_Period_1_Tbl[[#This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PAY]]))</f>
        <v>0</v>
      </c>
      <c r="Q7" s="115"/>
      <c r="R7" s="135"/>
      <c r="S7" s="135"/>
      <c r="T7" s="135"/>
      <c r="U7" s="135"/>
      <c r="V7" s="120"/>
      <c r="W7" s="127" t="str">
        <f>Jun_Period_1_Tbl[[#This Row],[STAFF:]]</f>
        <v>David Pecinovsky</v>
      </c>
      <c r="X7" s="128">
        <f>IF(Jun_Period_1_Tbl[[#This Row],[$ Hourly WAGES]]="",Jun_Period_1_Tbl[[#This Row],[$ SALARY]],Jun_Period_1_Tbl[[#This Row],[$ Hourly WAGES]]+Jun_Period_1_Tbl[[#This Row],[$ SALARY]])</f>
        <v>0</v>
      </c>
      <c r="Y7" s="128">
        <f>Jun_Period_1_Tbl[[#This Row],[$ FREE PT]]+Jun_Period_1_Tbl[[#This Row],[$ PAID PT]]</f>
        <v>0</v>
      </c>
      <c r="Z7" s="128">
        <f>Jun_Period_1_Tbl[[#This Row],[$ CLASS PAY]]</f>
        <v>0</v>
      </c>
      <c r="AA7" s="128">
        <f>Jun_Period_1_Tbl[[#This Row],[$ EFT COMM]]</f>
        <v>0</v>
      </c>
      <c r="AB7" s="128">
        <f>Jun_Period_1_Tbl[[#This Row],[$ PT COMM]]</f>
        <v>0</v>
      </c>
      <c r="AC7" s="128">
        <f>Jun_Period_1_Tbl[[#This Row],[$ BONUS PAY]]</f>
        <v>0</v>
      </c>
      <c r="AD7" s="128">
        <f>Jun_Period_1_Tbl[[#This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IF(OR(ISBLANK(Jun_Period_1_Tbl[[#This Row],['# HRS WORKED]]),ISBLANK(Jun_Period_1_Tbl[[#This Row],[$ Hourly RATE]])),"",Jun_Period_1_Tbl[[#This Row],['# HRS WORKED]]*Jun_Period_1_Tbl[[#This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IF(Jun_Period_1_Tbl[[#This Row],[$ Hourly WAGES]]="",SUM(Jun_Period_1_Tbl[[#This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PAY]]),SUM(Jun_Period_1_Tbl[[#This Row],[$ Hourly WAGES]]+Jun_Period_1_Tbl[[#This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PAY]]))</f>
        <v>0</v>
      </c>
      <c r="Q8" s="115"/>
      <c r="R8" s="135"/>
      <c r="S8" s="135"/>
      <c r="T8" s="135"/>
      <c r="U8" s="135"/>
      <c r="V8" s="120"/>
      <c r="W8" s="127" t="str">
        <f>Jun_Period_1_Tbl[[#This Row],[STAFF:]]</f>
        <v>Justin Stead</v>
      </c>
      <c r="X8" s="128">
        <f>IF(Jun_Period_1_Tbl[[#This Row],[$ Hourly WAGES]]="",Jun_Period_1_Tbl[[#This Row],[$ SALARY]],Jun_Period_1_Tbl[[#This Row],[$ Hourly WAGES]]+Jun_Period_1_Tbl[[#This Row],[$ SALARY]])</f>
        <v>0</v>
      </c>
      <c r="Y8" s="128">
        <f>Jun_Period_1_Tbl[[#This Row],[$ FREE PT]]+Jun_Period_1_Tbl[[#This Row],[$ PAID PT]]</f>
        <v>0</v>
      </c>
      <c r="Z8" s="128">
        <f>Jun_Period_1_Tbl[[#This Row],[$ CLASS PAY]]</f>
        <v>0</v>
      </c>
      <c r="AA8" s="128">
        <f>Jun_Period_1_Tbl[[#This Row],[$ EFT COMM]]</f>
        <v>0</v>
      </c>
      <c r="AB8" s="128">
        <f>Jun_Period_1_Tbl[[#This Row],[$ PT COMM]]</f>
        <v>0</v>
      </c>
      <c r="AC8" s="128">
        <f>Jun_Period_1_Tbl[[#This Row],[$ BONUS PAY]]</f>
        <v>0</v>
      </c>
      <c r="AD8" s="128">
        <f>Jun_Period_1_Tbl[[#This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IF(OR(ISBLANK(Jun_Period_1_Tbl[[#This Row],['# HRS WORKED]]),ISBLANK(Jun_Period_1_Tbl[[#This Row],[$ Hourly RATE]])),"",Jun_Period_1_Tbl[[#This Row],['# HRS WORKED]]*Jun_Period_1_Tbl[[#This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IF(Jun_Period_1_Tbl[[#This Row],[$ Hourly WAGES]]="",SUM(Jun_Period_1_Tbl[[#This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PAY]]),SUM(Jun_Period_1_Tbl[[#This Row],[$ Hourly WAGES]]+Jun_Period_1_Tbl[[#This Row],[$ SALARY]]+Jun_Period_1_Tbl[[#This Row],[$ FREE PT]]+Jun_Period_1_Tbl[[#This Row],[$ PAID PT]]+Jun_Period_1_Tbl[[#This Row],[$ PT COMM]]+Jun_Period_1_Tbl[[#This Row],[$ EFT COMM]]+Jun_Period_1_Tbl[[#This Row],[$ CLASS PAY]]+Jun_Period_1_Tbl[[#This Row],[$ BONUS PAY]]))</f>
        <v>0</v>
      </c>
      <c r="Q9" s="115"/>
      <c r="R9" s="135"/>
      <c r="S9" s="135"/>
      <c r="T9" s="135"/>
      <c r="U9" s="135"/>
      <c r="V9" s="120"/>
      <c r="W9" s="127" t="str">
        <f>Jun_Period_1_Tbl[[#This Row],[STAFF:]]</f>
        <v>Georgine Diolamou</v>
      </c>
      <c r="X9" s="128">
        <f>IF(Jun_Period_1_Tbl[[#This Row],[$ Hourly WAGES]]="",Jun_Period_1_Tbl[[#This Row],[$ SALARY]],Jun_Period_1_Tbl[[#This Row],[$ Hourly WAGES]]+Jun_Period_1_Tbl[[#This Row],[$ SALARY]])</f>
        <v>0</v>
      </c>
      <c r="Y9" s="128">
        <f>Jun_Period_1_Tbl[[#This Row],[$ FREE PT]]+Jun_Period_1_Tbl[[#This Row],[$ PAID PT]]</f>
        <v>0</v>
      </c>
      <c r="Z9" s="128">
        <f>Jun_Period_1_Tbl[[#This Row],[$ CLASS PAY]]</f>
        <v>0</v>
      </c>
      <c r="AA9" s="128">
        <f>Jun_Period_1_Tbl[[#This Row],[$ EFT COMM]]</f>
        <v>0</v>
      </c>
      <c r="AB9" s="128">
        <f>Jun_Period_1_Tbl[[#This Row],[$ PT COMM]]</f>
        <v>0</v>
      </c>
      <c r="AC9" s="128">
        <f>Jun_Period_1_Tbl[[#This Row],[$ BONUS PAY]]</f>
        <v>0</v>
      </c>
      <c r="AD9" s="128">
        <f>Jun_Period_1_Tbl[[#This Row],[TOTAL PAY]]</f>
        <v>0</v>
      </c>
    </row>
    <row r="10" spans="1:30" ht="15.75" thickBot="1" x14ac:dyDescent="0.3">
      <c r="A10" s="21" t="s">
        <v>58</v>
      </c>
      <c r="B10" s="22"/>
      <c r="C10" s="79">
        <f>SUBTOTAL(109,Jun_Period_1_Tbl['# PTO USED])</f>
        <v>0</v>
      </c>
      <c r="D10" s="79">
        <f>SUBTOTAL(109,Jun_Period_1_Tbl['# PTO Holiday])</f>
        <v>0</v>
      </c>
      <c r="E10" s="80">
        <f>SUBTOTAL(109,Jun_Period_1_Tbl['# HRS WORKED])</f>
        <v>0</v>
      </c>
      <c r="F10" s="97">
        <f>SUBTOTAL(109,Jun_Period_1_Tbl[$ Hourly RATE])</f>
        <v>0</v>
      </c>
      <c r="G10" s="97">
        <f>SUBTOTAL(109,Jun_Period_1_Tbl[$ Hourly WAGES])</f>
        <v>0</v>
      </c>
      <c r="H10" s="97">
        <f>SUBTOTAL(109,Jun_Period_1_Tbl[$ SALARY])</f>
        <v>0</v>
      </c>
      <c r="I10" s="97">
        <f>SUBTOTAL(109,Jun_Period_1_Tbl[$ SALARY PT])</f>
        <v>0</v>
      </c>
      <c r="J10" s="97">
        <f>SUBTOTAL(109,Jun_Period_1_Tbl[$ FREE PT])</f>
        <v>0</v>
      </c>
      <c r="K10" s="97">
        <f>SUBTOTAL(109,Jun_Period_1_Tbl[$ PAID PT])</f>
        <v>0</v>
      </c>
      <c r="L10" s="97">
        <f>SUBTOTAL(109,Jun_Period_1_Tbl[$ PT COMM])</f>
        <v>0</v>
      </c>
      <c r="M10" s="98">
        <f>SUBTOTAL(109,Jun_Period_1_Tbl[$ EFT COMM])</f>
        <v>0</v>
      </c>
      <c r="N10" s="98">
        <f>SUBTOTAL(109,Jun_Period_1_Tbl[$ CLASS PAY])</f>
        <v>0</v>
      </c>
      <c r="O10" s="99">
        <f>SUBTOTAL(109,Jun_Period_1_Tbl[$ BONUS PAY])</f>
        <v>0</v>
      </c>
      <c r="P10" s="100">
        <f>SUBTOTAL(109,Jun_Period_1_Tbl[TOTAL PAY])</f>
        <v>0</v>
      </c>
      <c r="Q10"/>
      <c r="R10" s="121">
        <f>SUBTOTAL(109,Dec_Period_1_Tbl['# POINTS EARNED])</f>
        <v>0</v>
      </c>
      <c r="S10" s="121">
        <f>SUBTOTAL(109,Dec_Period_1_Tbl['# POINTS USED])</f>
        <v>0</v>
      </c>
      <c r="T10" s="121">
        <f>SUBTOTAL(109,Dec_Period_1_Tbl['# CLASSES LEAD])</f>
        <v>0</v>
      </c>
      <c r="U10" s="121">
        <f>SUBTOTAL(109,Dec_Period_1_Tbl['# CLASSES SHOW])</f>
        <v>0</v>
      </c>
      <c r="V10" s="123"/>
      <c r="W10" s="129" t="s">
        <v>105</v>
      </c>
      <c r="X10" s="128">
        <f>SUBTOTAL(109,Jun_Period_1_Tbl[$ REGULAR WAGES])</f>
        <v>0</v>
      </c>
      <c r="Y10" s="128">
        <f>SUBTOTAL(109,Jun_Period_1_Tbl[$ PERSONAL TRAINING])</f>
        <v>0</v>
      </c>
      <c r="Z10" s="128">
        <f>SUBTOTAL(109,Jun_Period_1_Tbl[$ CLASSES])</f>
        <v>0</v>
      </c>
      <c r="AA10" s="128">
        <f>SUBTOTAL(109,Jun_Period_1_Tbl[$ EFT COMMISSION])</f>
        <v>0</v>
      </c>
      <c r="AB10" s="128">
        <f>SUBTOTAL(109,Jun_Period_1_Tbl[$ PT COMMISSION])</f>
        <v>0</v>
      </c>
      <c r="AC10" s="128">
        <f>SUBTOTAL(109,Jun_Period_1_Tbl[BONUS])</f>
        <v>0</v>
      </c>
      <c r="AD10" s="128">
        <f>SUBTOTAL(109,Jun_Period_1_Tbl[TOTAL
PAY])</f>
        <v>0</v>
      </c>
    </row>
    <row r="11" spans="1:30" s="30" customFormat="1" ht="15.75" thickTop="1" x14ac:dyDescent="0.25">
      <c r="A11" s="61"/>
      <c r="B11" s="62"/>
      <c r="C11" s="63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</f>
        <v>18370.86</v>
      </c>
    </row>
    <row r="12" spans="1:30" s="30" customFormat="1" ht="12.75" x14ac:dyDescent="0.2">
      <c r="A12" s="88" t="s">
        <v>84</v>
      </c>
      <c r="B12" s="67">
        <f>Summary!D79</f>
        <v>42901</v>
      </c>
      <c r="C12" s="68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68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IF(OR(ISBLANK(Jun_Period_2_Tbl[[#This Row],['# HRS WORKED]]),ISBLANK(Jun_Period_2_Tbl[[#This Row],[$ Hourly RATE]])),"",Jun_Period_2_Tbl[[#This Row],['# HRS WORKED]]*Jun_Period_2_Tbl[[#This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IF(Jun_Period_2_Tbl[[#This Row],[$ Hourly WAGES]]="",SUM(Jun_Period_2_Tbl[[#This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PAY]]),SUM(Jun_Period_2_Tbl[[#This Row],[$ Hourly WAGES]]+Jun_Period_2_Tbl[[#This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Jun_Period_2_Tbl[[#This Row],[STAFF:]]</f>
        <v>Roxy Ayala</v>
      </c>
      <c r="X15" s="128">
        <f>IF(Jun_Period_2_Tbl[[#This Row],[$ Hourly WAGES]]="",Jun_Period_2_Tbl[[#This Row],[$ SALARY]],Jun_Period_2_Tbl[[#This Row],[$ Hourly WAGES]]+Jun_Period_2_Tbl[[#This Row],[$ SALARY]])</f>
        <v>0</v>
      </c>
      <c r="Y15" s="128">
        <f>Jun_Period_2_Tbl[[#This Row],[$ FREE PT]]+Jun_Period_2_Tbl[[#This Row],[$ PAID PT]]</f>
        <v>0</v>
      </c>
      <c r="Z15" s="128">
        <f>Jun_Period_2_Tbl[[#This Row],[$ CLASS PAY]]</f>
        <v>0</v>
      </c>
      <c r="AA15" s="128">
        <f>Jun_Period_2_Tbl[[#This Row],[$ EFT COMM]]</f>
        <v>0</v>
      </c>
      <c r="AB15" s="128">
        <f>Jun_Period_2_Tbl[[#This Row],[$ PT COMM]]</f>
        <v>0</v>
      </c>
      <c r="AC15" s="128">
        <f>Jun_Period_2_Tbl[[#This Row],[$ BONUS PAY]]</f>
        <v>0</v>
      </c>
      <c r="AD15" s="128">
        <f>Jun_Period_2_Tbl[[#This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IF(OR(ISBLANK(Jun_Period_2_Tbl[[#This Row],['# HRS WORKED]]),ISBLANK(Jun_Period_2_Tbl[[#This Row],[$ Hourly RATE]])),"",Jun_Period_2_Tbl[[#This Row],['# HRS WORKED]]*Jun_Period_2_Tbl[[#This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IF(Jun_Period_2_Tbl[[#This Row],[$ Hourly WAGES]]="",SUM(Jun_Period_2_Tbl[[#This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PAY]]),SUM(Jun_Period_2_Tbl[[#This Row],[$ Hourly WAGES]]+Jun_Period_2_Tbl[[#This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Jun_Period_2_Tbl[[#This Row],[STAFF:]]</f>
        <v>David Pecinovsky</v>
      </c>
      <c r="X16" s="128">
        <f>IF(Jun_Period_2_Tbl[[#This Row],[$ Hourly WAGES]]="",Jun_Period_2_Tbl[[#This Row],[$ SALARY]],Jun_Period_2_Tbl[[#This Row],[$ Hourly WAGES]]+Jun_Period_2_Tbl[[#This Row],[$ SALARY]])</f>
        <v>0</v>
      </c>
      <c r="Y16" s="128">
        <f>Jun_Period_2_Tbl[[#This Row],[$ FREE PT]]+Jun_Period_2_Tbl[[#This Row],[$ PAID PT]]</f>
        <v>0</v>
      </c>
      <c r="Z16" s="128">
        <f>Jun_Period_2_Tbl[[#This Row],[$ CLASS PAY]]</f>
        <v>0</v>
      </c>
      <c r="AA16" s="128">
        <f>Jun_Period_2_Tbl[[#This Row],[$ EFT COMM]]</f>
        <v>0</v>
      </c>
      <c r="AB16" s="128">
        <f>Jun_Period_2_Tbl[[#This Row],[$ PT COMM]]</f>
        <v>0</v>
      </c>
      <c r="AC16" s="128">
        <f>Jun_Period_2_Tbl[[#This Row],[$ BONUS PAY]]</f>
        <v>0</v>
      </c>
      <c r="AD16" s="128">
        <f>Jun_Period_2_Tbl[[#This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IF(OR(ISBLANK(Jun_Period_2_Tbl[[#This Row],['# HRS WORKED]]),ISBLANK(Jun_Period_2_Tbl[[#This Row],[$ Hourly RATE]])),"",Jun_Period_2_Tbl[[#This Row],['# HRS WORKED]]*Jun_Period_2_Tbl[[#This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IF(Jun_Period_2_Tbl[[#This Row],[$ Hourly WAGES]]="",SUM(Jun_Period_2_Tbl[[#This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PAY]]),SUM(Jun_Period_2_Tbl[[#This Row],[$ Hourly WAGES]]+Jun_Period_2_Tbl[[#This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Jun_Period_2_Tbl[[#This Row],[STAFF:]]</f>
        <v>Justin Stead</v>
      </c>
      <c r="X17" s="128">
        <f>IF(Jun_Period_2_Tbl[[#This Row],[$ Hourly WAGES]]="",Jun_Period_2_Tbl[[#This Row],[$ SALARY]],Jun_Period_2_Tbl[[#This Row],[$ Hourly WAGES]]+Jun_Period_2_Tbl[[#This Row],[$ SALARY]])</f>
        <v>0</v>
      </c>
      <c r="Y17" s="128">
        <f>Jun_Period_2_Tbl[[#This Row],[$ FREE PT]]+Jun_Period_2_Tbl[[#This Row],[$ PAID PT]]</f>
        <v>0</v>
      </c>
      <c r="Z17" s="128">
        <f>Jun_Period_2_Tbl[[#This Row],[$ CLASS PAY]]</f>
        <v>0</v>
      </c>
      <c r="AA17" s="128">
        <f>Jun_Period_2_Tbl[[#This Row],[$ EFT COMM]]</f>
        <v>0</v>
      </c>
      <c r="AB17" s="128">
        <f>Jun_Period_2_Tbl[[#This Row],[$ PT COMM]]</f>
        <v>0</v>
      </c>
      <c r="AC17" s="128">
        <f>Jun_Period_2_Tbl[[#This Row],[$ BONUS PAY]]</f>
        <v>0</v>
      </c>
      <c r="AD17" s="128">
        <f>Jun_Period_2_Tbl[[#This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IF(OR(ISBLANK(Jun_Period_2_Tbl[[#This Row],['# HRS WORKED]]),ISBLANK(Jun_Period_2_Tbl[[#This Row],[$ Hourly RATE]])),"",Jun_Period_2_Tbl[[#This Row],['# HRS WORKED]]*Jun_Period_2_Tbl[[#This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IF(Jun_Period_2_Tbl[[#This Row],[$ Hourly WAGES]]="",SUM(Jun_Period_2_Tbl[[#This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PAY]]),SUM(Jun_Period_2_Tbl[[#This Row],[$ Hourly WAGES]]+Jun_Period_2_Tbl[[#This Row],[$ SALARY]]+Jun_Period_2_Tbl[[#This Row],[$ FREE PT]]+Jun_Period_2_Tbl[[#This Row],[$ PAID PT]]+Jun_Period_2_Tbl[[#This Row],[$ PT COMM]]+Jun_Period_2_Tbl[[#This Row],[$ EFT COMM]]+Jun_Period_2_Tbl[[#This Row],[$ CLASS PAY]]+Jun_Period_2_Tbl[[#This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Jun_Period_2_Tbl[[#This Row],[STAFF:]]</f>
        <v>Georgine Diolamou</v>
      </c>
      <c r="X18" s="128">
        <f>IF(Jun_Period_2_Tbl[[#This Row],[$ Hourly WAGES]]="",Jun_Period_2_Tbl[[#This Row],[$ SALARY]],Jun_Period_2_Tbl[[#This Row],[$ Hourly WAGES]]+Jun_Period_2_Tbl[[#This Row],[$ SALARY]])</f>
        <v>0</v>
      </c>
      <c r="Y18" s="128">
        <f>Jun_Period_2_Tbl[[#This Row],[$ FREE PT]]+Jun_Period_2_Tbl[[#This Row],[$ PAID PT]]</f>
        <v>0</v>
      </c>
      <c r="Z18" s="128">
        <f>Jun_Period_2_Tbl[[#This Row],[$ CLASS PAY]]</f>
        <v>0</v>
      </c>
      <c r="AA18" s="128">
        <f>Jun_Period_2_Tbl[[#This Row],[$ EFT COMM]]</f>
        <v>0</v>
      </c>
      <c r="AB18" s="128">
        <f>Jun_Period_2_Tbl[[#This Row],[$ PT COMM]]</f>
        <v>0</v>
      </c>
      <c r="AC18" s="128">
        <f>Jun_Period_2_Tbl[[#This Row],[$ BONUS PAY]]</f>
        <v>0</v>
      </c>
      <c r="AD18" s="128">
        <f>Jun_Period_2_Tbl[[#This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SUBTOTAL(109,Jun_Period_2_Tbl['# PTO USED])</f>
        <v>0</v>
      </c>
      <c r="D19" s="79">
        <f>SUBTOTAL(109,Jun_Period_2_Tbl['# PTO Holiday])</f>
        <v>0</v>
      </c>
      <c r="E19" s="80">
        <f>SUBTOTAL(109,Jun_Period_2_Tbl['# HRS WORKED])</f>
        <v>0</v>
      </c>
      <c r="F19" s="97">
        <f>SUBTOTAL(109,Jun_Period_2_Tbl[$ Hourly RATE])</f>
        <v>0</v>
      </c>
      <c r="G19" s="97">
        <f>SUBTOTAL(109,Jun_Period_2_Tbl[$ Hourly WAGES])</f>
        <v>0</v>
      </c>
      <c r="H19" s="97">
        <f>SUBTOTAL(109,Jun_Period_2_Tbl[$ SALARY])</f>
        <v>0</v>
      </c>
      <c r="I19" s="97">
        <f>SUBTOTAL(109,Jun_Period_2_Tbl[$ SALARY PT])</f>
        <v>0</v>
      </c>
      <c r="J19" s="97">
        <f>SUBTOTAL(109,Jun_Period_2_Tbl[$ FREE PT])</f>
        <v>0</v>
      </c>
      <c r="K19" s="97">
        <f>SUBTOTAL(109,Jun_Period_2_Tbl[$ PAID PT])</f>
        <v>0</v>
      </c>
      <c r="L19" s="97">
        <f>SUBTOTAL(109,Jun_Period_2_Tbl[$ PT COMM])</f>
        <v>0</v>
      </c>
      <c r="M19" s="98">
        <f>SUBTOTAL(109,Jun_Period_2_Tbl[$ EFT COMM])</f>
        <v>0</v>
      </c>
      <c r="N19" s="98">
        <f>SUBTOTAL(109,Jun_Period_2_Tbl[$ CLASS PAY])</f>
        <v>0</v>
      </c>
      <c r="O19" s="99">
        <f>SUBTOTAL(109,Jun_Period_2_Tbl[$ BONUS PAY])</f>
        <v>0</v>
      </c>
      <c r="P19" s="100">
        <f>SUBTOTAL(109,Jun_Period_2_Tbl[TOTAL PAY])</f>
        <v>0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SUBTOTAL(109,Jun_Period_2_Tbl[$ REGULAR WAGES])</f>
        <v>0</v>
      </c>
      <c r="Y19" s="128">
        <f>SUBTOTAL(109,Jun_Period_2_Tbl[$ PERSONAL TRAINING])</f>
        <v>0</v>
      </c>
      <c r="Z19" s="128">
        <f>SUBTOTAL(109,Jun_Period_2_Tbl[$ CLASSES])</f>
        <v>0</v>
      </c>
      <c r="AA19" s="128">
        <f>SUBTOTAL(109,Jun_Period_2_Tbl[$ EFT COMMISSION])</f>
        <v>0</v>
      </c>
      <c r="AB19" s="128">
        <f>SUBTOTAL(109,Jun_Period_2_Tbl[$ PT COMMISSION])</f>
        <v>0</v>
      </c>
      <c r="AC19" s="128">
        <f>SUBTOTAL(109,Jun_Period_2_Tbl[BONUS])</f>
        <v>0</v>
      </c>
      <c r="AD19" s="128">
        <f>SUBTOTAL(109,Jun_Period_2_Tbl[TOTAL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</f>
        <v>18370.86</v>
      </c>
    </row>
  </sheetData>
  <sheetProtection algorithmName="SHA-512" hashValue="RsLnqTjnngKs2l/Gjx26/gpeY1TArOs390CuLidVywCj/vOMO8qsuQH1IvA3LNASo62vQxKlt1dncSHroC7r8A==" saltValue="qxkq2UgsqCdON9GaezFhMw==" spinCount="100000" sheet="1" objects="1" scenarios="1"/>
  <mergeCells count="1">
    <mergeCell ref="A1:P1"/>
  </mergeCell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07_Jul2017"/>
  <dimension ref="A1:AD20"/>
  <sheetViews>
    <sheetView showGridLines="0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7109375" style="29" customWidth="1"/>
    <col min="30" max="30" width="8.7109375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Summary!D80</f>
        <v>42917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IF(OR(ISBLANK(Jul_Period_1_Tbl[[#This Row],['# HRS WORKED]]),ISBLANK(Jul_Period_1_Tbl[[#This Row],[$ Hourly RATE]])),"",Jul_Period_1_Tbl[[#This Row],['# HRS WORKED]]*Jul_Period_1_Tbl[[#This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IF(Jul_Period_1_Tbl[[#This Row],[$ Hourly WAGES]]="",SUM(Jul_Period_1_Tbl[[#This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PAY]]),SUM(Jul_Period_1_Tbl[[#This Row],[$ Hourly WAGES]]+Jul_Period_1_Tbl[[#This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PAY]]))</f>
        <v>0</v>
      </c>
      <c r="Q6" s="115"/>
      <c r="R6" s="135"/>
      <c r="S6" s="135"/>
      <c r="T6" s="135"/>
      <c r="U6" s="135"/>
      <c r="V6" s="120"/>
      <c r="W6" s="127" t="str">
        <f>Jul_Period_1_Tbl[[#This Row],[STAFF:]]</f>
        <v>Roxy Ayala</v>
      </c>
      <c r="X6" s="128">
        <f>IF(Jul_Period_1_Tbl[[#This Row],[$ Hourly WAGES]]="",Jul_Period_1_Tbl[[#This Row],[$ SALARY]],Jul_Period_1_Tbl[[#This Row],[$ Hourly WAGES]]+Jul_Period_1_Tbl[[#This Row],[$ SALARY]])</f>
        <v>0</v>
      </c>
      <c r="Y6" s="128">
        <f>Jul_Period_1_Tbl[[#This Row],[$ FREE PT]]+Jul_Period_1_Tbl[[#This Row],[$ PAID PT]]</f>
        <v>0</v>
      </c>
      <c r="Z6" s="128">
        <f>Jul_Period_1_Tbl[[#This Row],[$ CLASS PAY]]</f>
        <v>0</v>
      </c>
      <c r="AA6" s="128">
        <f>Jul_Period_1_Tbl[[#This Row],[$ EFT COMM]]</f>
        <v>0</v>
      </c>
      <c r="AB6" s="128">
        <f>Jul_Period_1_Tbl[[#This Row],[$ PT COMM]]</f>
        <v>0</v>
      </c>
      <c r="AC6" s="128">
        <f>Jul_Period_1_Tbl[[#This Row],[$ BONUS PAY]]</f>
        <v>0</v>
      </c>
      <c r="AD6" s="128">
        <f>Jul_Period_1_Tbl[[#This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IF(OR(ISBLANK(Jul_Period_1_Tbl[[#This Row],['# HRS WORKED]]),ISBLANK(Jul_Period_1_Tbl[[#This Row],[$ Hourly RATE]])),"",Jul_Period_1_Tbl[[#This Row],['# HRS WORKED]]*Jul_Period_1_Tbl[[#This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IF(Jul_Period_1_Tbl[[#This Row],[$ Hourly WAGES]]="",SUM(Jul_Period_1_Tbl[[#This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PAY]]),SUM(Jul_Period_1_Tbl[[#This Row],[$ Hourly WAGES]]+Jul_Period_1_Tbl[[#This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PAY]]))</f>
        <v>0</v>
      </c>
      <c r="Q7" s="115"/>
      <c r="R7" s="135"/>
      <c r="S7" s="135"/>
      <c r="T7" s="135"/>
      <c r="U7" s="135"/>
      <c r="V7" s="120"/>
      <c r="W7" s="127" t="str">
        <f>Jul_Period_1_Tbl[[#This Row],[STAFF:]]</f>
        <v>David Pecinovsky</v>
      </c>
      <c r="X7" s="128">
        <f>IF(Jul_Period_1_Tbl[[#This Row],[$ Hourly WAGES]]="",Jul_Period_1_Tbl[[#This Row],[$ SALARY]],Jul_Period_1_Tbl[[#This Row],[$ Hourly WAGES]]+Jul_Period_1_Tbl[[#This Row],[$ SALARY]])</f>
        <v>0</v>
      </c>
      <c r="Y7" s="128">
        <f>Jul_Period_1_Tbl[[#This Row],[$ FREE PT]]+Jul_Period_1_Tbl[[#This Row],[$ PAID PT]]</f>
        <v>0</v>
      </c>
      <c r="Z7" s="128">
        <f>Jul_Period_1_Tbl[[#This Row],[$ CLASS PAY]]</f>
        <v>0</v>
      </c>
      <c r="AA7" s="128">
        <f>Jul_Period_1_Tbl[[#This Row],[$ EFT COMM]]</f>
        <v>0</v>
      </c>
      <c r="AB7" s="128">
        <f>Jul_Period_1_Tbl[[#This Row],[$ PT COMM]]</f>
        <v>0</v>
      </c>
      <c r="AC7" s="128">
        <f>Jul_Period_1_Tbl[[#This Row],[$ BONUS PAY]]</f>
        <v>0</v>
      </c>
      <c r="AD7" s="128">
        <f>Jul_Period_1_Tbl[[#This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IF(OR(ISBLANK(Jul_Period_1_Tbl[[#This Row],['# HRS WORKED]]),ISBLANK(Jul_Period_1_Tbl[[#This Row],[$ Hourly RATE]])),"",Jul_Period_1_Tbl[[#This Row],['# HRS WORKED]]*Jul_Period_1_Tbl[[#This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IF(Jul_Period_1_Tbl[[#This Row],[$ Hourly WAGES]]="",SUM(Jul_Period_1_Tbl[[#This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PAY]]),SUM(Jul_Period_1_Tbl[[#This Row],[$ Hourly WAGES]]+Jul_Period_1_Tbl[[#This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PAY]]))</f>
        <v>0</v>
      </c>
      <c r="Q8" s="115"/>
      <c r="R8" s="135"/>
      <c r="S8" s="135"/>
      <c r="T8" s="135"/>
      <c r="U8" s="135"/>
      <c r="V8" s="120"/>
      <c r="W8" s="127" t="str">
        <f>Jul_Period_1_Tbl[[#This Row],[STAFF:]]</f>
        <v>Justin Stead</v>
      </c>
      <c r="X8" s="128">
        <f>IF(Jul_Period_1_Tbl[[#This Row],[$ Hourly WAGES]]="",Jul_Period_1_Tbl[[#This Row],[$ SALARY]],Jul_Period_1_Tbl[[#This Row],[$ Hourly WAGES]]+Jul_Period_1_Tbl[[#This Row],[$ SALARY]])</f>
        <v>0</v>
      </c>
      <c r="Y8" s="128">
        <f>Jul_Period_1_Tbl[[#This Row],[$ FREE PT]]+Jul_Period_1_Tbl[[#This Row],[$ PAID PT]]</f>
        <v>0</v>
      </c>
      <c r="Z8" s="128">
        <f>Jul_Period_1_Tbl[[#This Row],[$ CLASS PAY]]</f>
        <v>0</v>
      </c>
      <c r="AA8" s="128">
        <f>Jul_Period_1_Tbl[[#This Row],[$ EFT COMM]]</f>
        <v>0</v>
      </c>
      <c r="AB8" s="128">
        <f>Jul_Period_1_Tbl[[#This Row],[$ PT COMM]]</f>
        <v>0</v>
      </c>
      <c r="AC8" s="128">
        <f>Jul_Period_1_Tbl[[#This Row],[$ BONUS PAY]]</f>
        <v>0</v>
      </c>
      <c r="AD8" s="128">
        <f>Jul_Period_1_Tbl[[#This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IF(OR(ISBLANK(Jul_Period_1_Tbl[[#This Row],['# HRS WORKED]]),ISBLANK(Jul_Period_1_Tbl[[#This Row],[$ Hourly RATE]])),"",Jul_Period_1_Tbl[[#This Row],['# HRS WORKED]]*Jul_Period_1_Tbl[[#This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IF(Jul_Period_1_Tbl[[#This Row],[$ Hourly WAGES]]="",SUM(Jul_Period_1_Tbl[[#This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PAY]]),SUM(Jul_Period_1_Tbl[[#This Row],[$ Hourly WAGES]]+Jul_Period_1_Tbl[[#This Row],[$ SALARY]]+Jul_Period_1_Tbl[[#This Row],[$ FREE PT]]+Jul_Period_1_Tbl[[#This Row],[$ PAID PT]]+Jul_Period_1_Tbl[[#This Row],[$ PT COMM]]+Jul_Period_1_Tbl[[#This Row],[$ EFT COMM]]+Jul_Period_1_Tbl[[#This Row],[$ CLASS PAY]]+Jul_Period_1_Tbl[[#This Row],[$ BONUS PAY]]))</f>
        <v>0</v>
      </c>
      <c r="Q9" s="115"/>
      <c r="R9" s="135"/>
      <c r="S9" s="135"/>
      <c r="T9" s="135"/>
      <c r="U9" s="135"/>
      <c r="V9" s="120"/>
      <c r="W9" s="127" t="str">
        <f>Jul_Period_1_Tbl[[#This Row],[STAFF:]]</f>
        <v>Georgine Diolamou</v>
      </c>
      <c r="X9" s="128">
        <f>IF(Jul_Period_1_Tbl[[#This Row],[$ Hourly WAGES]]="",Jul_Period_1_Tbl[[#This Row],[$ SALARY]],Jul_Period_1_Tbl[[#This Row],[$ Hourly WAGES]]+Jul_Period_1_Tbl[[#This Row],[$ SALARY]])</f>
        <v>0</v>
      </c>
      <c r="Y9" s="128">
        <f>Jul_Period_1_Tbl[[#This Row],[$ FREE PT]]+Jul_Period_1_Tbl[[#This Row],[$ PAID PT]]</f>
        <v>0</v>
      </c>
      <c r="Z9" s="128">
        <f>Jul_Period_1_Tbl[[#This Row],[$ CLASS PAY]]</f>
        <v>0</v>
      </c>
      <c r="AA9" s="128">
        <f>Jul_Period_1_Tbl[[#This Row],[$ EFT COMM]]</f>
        <v>0</v>
      </c>
      <c r="AB9" s="128">
        <f>Jul_Period_1_Tbl[[#This Row],[$ PT COMM]]</f>
        <v>0</v>
      </c>
      <c r="AC9" s="128">
        <f>Jul_Period_1_Tbl[[#This Row],[$ BONUS PAY]]</f>
        <v>0</v>
      </c>
      <c r="AD9" s="128">
        <f>Jul_Period_1_Tbl[[#This Row],[TOTAL PAY]]</f>
        <v>0</v>
      </c>
    </row>
    <row r="10" spans="1:30" ht="15.75" thickBot="1" x14ac:dyDescent="0.3">
      <c r="A10" s="21" t="s">
        <v>58</v>
      </c>
      <c r="B10" s="22"/>
      <c r="C10" s="79">
        <f>SUBTOTAL(109,Jul_Period_1_Tbl['# PTO USED])</f>
        <v>0</v>
      </c>
      <c r="D10" s="79">
        <f>SUBTOTAL(109,Jul_Period_1_Tbl['# PTO Holiday])</f>
        <v>0</v>
      </c>
      <c r="E10" s="80">
        <f>SUBTOTAL(109,Jul_Period_1_Tbl['# HRS WORKED])</f>
        <v>0</v>
      </c>
      <c r="F10" s="97">
        <f>SUBTOTAL(109,Jul_Period_1_Tbl[$ Hourly RATE])</f>
        <v>0</v>
      </c>
      <c r="G10" s="97">
        <f>SUBTOTAL(109,Jul_Period_1_Tbl[$ Hourly WAGES])</f>
        <v>0</v>
      </c>
      <c r="H10" s="97">
        <f>SUBTOTAL(109,Jul_Period_1_Tbl[$ SALARY])</f>
        <v>0</v>
      </c>
      <c r="I10" s="97">
        <f>SUBTOTAL(109,Jul_Period_1_Tbl[$ SALARY PT])</f>
        <v>0</v>
      </c>
      <c r="J10" s="97">
        <f>SUBTOTAL(109,Jul_Period_1_Tbl[$ FREE PT])</f>
        <v>0</v>
      </c>
      <c r="K10" s="97">
        <f>SUBTOTAL(109,Jul_Period_1_Tbl[$ PAID PT])</f>
        <v>0</v>
      </c>
      <c r="L10" s="97">
        <f>SUBTOTAL(109,Jul_Period_1_Tbl[$ PT COMM])</f>
        <v>0</v>
      </c>
      <c r="M10" s="98">
        <f>SUBTOTAL(109,Jul_Period_1_Tbl[$ EFT COMM])</f>
        <v>0</v>
      </c>
      <c r="N10" s="98">
        <f>SUBTOTAL(109,Jul_Period_1_Tbl[$ CLASS PAY])</f>
        <v>0</v>
      </c>
      <c r="O10" s="99">
        <f>SUBTOTAL(109,Jul_Period_1_Tbl[$ BONUS PAY])</f>
        <v>0</v>
      </c>
      <c r="P10" s="100">
        <f>SUBTOTAL(109,Jul_Period_1_Tbl[TOTAL PAY])</f>
        <v>0</v>
      </c>
      <c r="Q10"/>
      <c r="R10" s="121">
        <f>SUBTOTAL(109,Dec_Period_1_Tbl['# POINTS EARNED])</f>
        <v>0</v>
      </c>
      <c r="S10" s="121">
        <f>SUBTOTAL(109,Dec_Period_1_Tbl['# POINTS USED])</f>
        <v>0</v>
      </c>
      <c r="T10" s="121">
        <f>SUBTOTAL(109,Dec_Period_1_Tbl['# CLASSES LEAD])</f>
        <v>0</v>
      </c>
      <c r="U10" s="121">
        <f>SUBTOTAL(109,Dec_Period_1_Tbl['# CLASSES SHOW])</f>
        <v>0</v>
      </c>
      <c r="V10" s="123"/>
      <c r="W10" s="129" t="s">
        <v>105</v>
      </c>
      <c r="X10" s="128">
        <f>SUBTOTAL(109,Jul_Period_1_Tbl[$ REGULAR WAGES])</f>
        <v>0</v>
      </c>
      <c r="Y10" s="128">
        <f>SUBTOTAL(109,Jul_Period_1_Tbl[$ PERSONAL TRAINING])</f>
        <v>0</v>
      </c>
      <c r="Z10" s="128">
        <f>SUBTOTAL(109,Jul_Period_1_Tbl[$ CLASSES])</f>
        <v>0</v>
      </c>
      <c r="AA10" s="128">
        <f>SUBTOTAL(109,Jul_Period_1_Tbl[$ EFT COMMISSION])</f>
        <v>0</v>
      </c>
      <c r="AB10" s="128">
        <f>SUBTOTAL(109,Jul_Period_1_Tbl[$ PT COMMISSION])</f>
        <v>0</v>
      </c>
      <c r="AC10" s="128">
        <f>SUBTOTAL(109,Jul_Period_1_Tbl[BONUS])</f>
        <v>0</v>
      </c>
      <c r="AD10" s="128">
        <f>SUBTOTAL(109,Jul_Period_1_Tbl[TOTAL
PAY])</f>
        <v>0</v>
      </c>
    </row>
    <row r="11" spans="1:30" s="30" customFormat="1" ht="15.75" thickTop="1" x14ac:dyDescent="0.25">
      <c r="A11" s="61"/>
      <c r="B11" s="62"/>
      <c r="C11" s="63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</f>
        <v>18370.86</v>
      </c>
    </row>
    <row r="12" spans="1:30" s="30" customFormat="1" ht="12.75" x14ac:dyDescent="0.2">
      <c r="A12" s="88" t="s">
        <v>84</v>
      </c>
      <c r="B12" s="67">
        <f>Summary!D81</f>
        <v>42931</v>
      </c>
      <c r="C12" s="68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68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IF(OR(ISBLANK(Jul_Period_2_Tbl[[#This Row],['# HRS WORKED]]),ISBLANK(Jul_Period_2_Tbl[[#This Row],[$ Hourly RATE]])),"",Jul_Period_2_Tbl[[#This Row],['# HRS WORKED]]*Jul_Period_2_Tbl[[#This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IF(Jul_Period_2_Tbl[[#This Row],[$ Hourly WAGES]]="",SUM(Jul_Period_2_Tbl[[#This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PAY]]),SUM(Jul_Period_2_Tbl[[#This Row],[$ Hourly WAGES]]+Jul_Period_2_Tbl[[#This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Jul_Period_2_Tbl[[#This Row],[STAFF:]]</f>
        <v>Roxy Ayala</v>
      </c>
      <c r="X15" s="128">
        <f>IF(Jul_Period_2_Tbl[[#This Row],[$ Hourly WAGES]]="",Jul_Period_2_Tbl[[#This Row],[$ SALARY]],Jul_Period_2_Tbl[[#This Row],[$ Hourly WAGES]]+Jul_Period_2_Tbl[[#This Row],[$ SALARY]])</f>
        <v>0</v>
      </c>
      <c r="Y15" s="128">
        <f>Jul_Period_2_Tbl[[#This Row],[$ FREE PT]]+Jul_Period_2_Tbl[[#This Row],[$ PAID PT]]</f>
        <v>0</v>
      </c>
      <c r="Z15" s="128">
        <f>Jul_Period_2_Tbl[[#This Row],[$ CLASS PAY]]</f>
        <v>0</v>
      </c>
      <c r="AA15" s="128">
        <f>Jul_Period_2_Tbl[[#This Row],[$ EFT COMM]]</f>
        <v>0</v>
      </c>
      <c r="AB15" s="128">
        <f>Jul_Period_2_Tbl[[#This Row],[$ PT COMM]]</f>
        <v>0</v>
      </c>
      <c r="AC15" s="128">
        <f>Jul_Period_2_Tbl[[#This Row],[$ BONUS PAY]]</f>
        <v>0</v>
      </c>
      <c r="AD15" s="128">
        <f>Jul_Period_2_Tbl[[#This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IF(OR(ISBLANK(Jul_Period_2_Tbl[[#This Row],['# HRS WORKED]]),ISBLANK(Jul_Period_2_Tbl[[#This Row],[$ Hourly RATE]])),"",Jul_Period_2_Tbl[[#This Row],['# HRS WORKED]]*Jul_Period_2_Tbl[[#This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IF(Jul_Period_2_Tbl[[#This Row],[$ Hourly WAGES]]="",SUM(Jul_Period_2_Tbl[[#This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PAY]]),SUM(Jul_Period_2_Tbl[[#This Row],[$ Hourly WAGES]]+Jul_Period_2_Tbl[[#This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Jul_Period_2_Tbl[[#This Row],[STAFF:]]</f>
        <v>David Pecinovsky</v>
      </c>
      <c r="X16" s="128">
        <f>IF(Jul_Period_2_Tbl[[#This Row],[$ Hourly WAGES]]="",Jul_Period_2_Tbl[[#This Row],[$ SALARY]],Jul_Period_2_Tbl[[#This Row],[$ Hourly WAGES]]+Jul_Period_2_Tbl[[#This Row],[$ SALARY]])</f>
        <v>0</v>
      </c>
      <c r="Y16" s="128">
        <f>Jul_Period_2_Tbl[[#This Row],[$ FREE PT]]+Jul_Period_2_Tbl[[#This Row],[$ PAID PT]]</f>
        <v>0</v>
      </c>
      <c r="Z16" s="128">
        <f>Jul_Period_2_Tbl[[#This Row],[$ CLASS PAY]]</f>
        <v>0</v>
      </c>
      <c r="AA16" s="128">
        <f>Jul_Period_2_Tbl[[#This Row],[$ EFT COMM]]</f>
        <v>0</v>
      </c>
      <c r="AB16" s="128">
        <f>Jul_Period_2_Tbl[[#This Row],[$ PT COMM]]</f>
        <v>0</v>
      </c>
      <c r="AC16" s="128">
        <f>Jul_Period_2_Tbl[[#This Row],[$ BONUS PAY]]</f>
        <v>0</v>
      </c>
      <c r="AD16" s="128">
        <f>Jul_Period_2_Tbl[[#This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IF(OR(ISBLANK(Jul_Period_2_Tbl[[#This Row],['# HRS WORKED]]),ISBLANK(Jul_Period_2_Tbl[[#This Row],[$ Hourly RATE]])),"",Jul_Period_2_Tbl[[#This Row],['# HRS WORKED]]*Jul_Period_2_Tbl[[#This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IF(Jul_Period_2_Tbl[[#This Row],[$ Hourly WAGES]]="",SUM(Jul_Period_2_Tbl[[#This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PAY]]),SUM(Jul_Period_2_Tbl[[#This Row],[$ Hourly WAGES]]+Jul_Period_2_Tbl[[#This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Jul_Period_2_Tbl[[#This Row],[STAFF:]]</f>
        <v>Justin Stead</v>
      </c>
      <c r="X17" s="128">
        <f>IF(Jul_Period_2_Tbl[[#This Row],[$ Hourly WAGES]]="",Jul_Period_2_Tbl[[#This Row],[$ SALARY]],Jul_Period_2_Tbl[[#This Row],[$ Hourly WAGES]]+Jul_Period_2_Tbl[[#This Row],[$ SALARY]])</f>
        <v>0</v>
      </c>
      <c r="Y17" s="128">
        <f>Jul_Period_2_Tbl[[#This Row],[$ FREE PT]]+Jul_Period_2_Tbl[[#This Row],[$ PAID PT]]</f>
        <v>0</v>
      </c>
      <c r="Z17" s="128">
        <f>Jul_Period_2_Tbl[[#This Row],[$ CLASS PAY]]</f>
        <v>0</v>
      </c>
      <c r="AA17" s="128">
        <f>Jul_Period_2_Tbl[[#This Row],[$ EFT COMM]]</f>
        <v>0</v>
      </c>
      <c r="AB17" s="128">
        <f>Jul_Period_2_Tbl[[#This Row],[$ PT COMM]]</f>
        <v>0</v>
      </c>
      <c r="AC17" s="128">
        <f>Jul_Period_2_Tbl[[#This Row],[$ BONUS PAY]]</f>
        <v>0</v>
      </c>
      <c r="AD17" s="128">
        <f>Jul_Period_2_Tbl[[#This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IF(OR(ISBLANK(Jul_Period_2_Tbl[[#This Row],['# HRS WORKED]]),ISBLANK(Jul_Period_2_Tbl[[#This Row],[$ Hourly RATE]])),"",Jul_Period_2_Tbl[[#This Row],['# HRS WORKED]]*Jul_Period_2_Tbl[[#This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IF(Jul_Period_2_Tbl[[#This Row],[$ Hourly WAGES]]="",SUM(Jul_Period_2_Tbl[[#This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PAY]]),SUM(Jul_Period_2_Tbl[[#This Row],[$ Hourly WAGES]]+Jul_Period_2_Tbl[[#This Row],[$ SALARY]]+Jul_Period_2_Tbl[[#This Row],[$ FREE PT]]+Jul_Period_2_Tbl[[#This Row],[$ PAID PT]]+Jul_Period_2_Tbl[[#This Row],[$ PT COMM]]+Jul_Period_2_Tbl[[#This Row],[$ EFT COMM]]+Jul_Period_2_Tbl[[#This Row],[$ CLASS PAY]]+Jul_Period_2_Tbl[[#This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Jul_Period_2_Tbl[[#This Row],[STAFF:]]</f>
        <v>Georgine Diolamou</v>
      </c>
      <c r="X18" s="128">
        <f>IF(Jul_Period_2_Tbl[[#This Row],[$ Hourly WAGES]]="",Jul_Period_2_Tbl[[#This Row],[$ SALARY]],Jul_Period_2_Tbl[[#This Row],[$ Hourly WAGES]]+Jul_Period_2_Tbl[[#This Row],[$ SALARY]])</f>
        <v>0</v>
      </c>
      <c r="Y18" s="128">
        <f>Jul_Period_2_Tbl[[#This Row],[$ FREE PT]]+Jul_Period_2_Tbl[[#This Row],[$ PAID PT]]</f>
        <v>0</v>
      </c>
      <c r="Z18" s="128">
        <f>Jul_Period_2_Tbl[[#This Row],[$ CLASS PAY]]</f>
        <v>0</v>
      </c>
      <c r="AA18" s="128">
        <f>Jul_Period_2_Tbl[[#This Row],[$ EFT COMM]]</f>
        <v>0</v>
      </c>
      <c r="AB18" s="128">
        <f>Jul_Period_2_Tbl[[#This Row],[$ PT COMM]]</f>
        <v>0</v>
      </c>
      <c r="AC18" s="128">
        <f>Jul_Period_2_Tbl[[#This Row],[$ BONUS PAY]]</f>
        <v>0</v>
      </c>
      <c r="AD18" s="128">
        <f>Jul_Period_2_Tbl[[#This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SUBTOTAL(109,Jul_Period_2_Tbl['# PTO USED])</f>
        <v>0</v>
      </c>
      <c r="D19" s="79">
        <f>SUBTOTAL(109,Jul_Period_2_Tbl['# PTO Holiday])</f>
        <v>0</v>
      </c>
      <c r="E19" s="80">
        <f>SUBTOTAL(109,Jul_Period_2_Tbl['# HRS WORKED])</f>
        <v>0</v>
      </c>
      <c r="F19" s="97">
        <f>SUBTOTAL(109,Jul_Period_2_Tbl[$ Hourly RATE])</f>
        <v>0</v>
      </c>
      <c r="G19" s="97">
        <f>SUBTOTAL(109,Jul_Period_2_Tbl[$ Hourly WAGES])</f>
        <v>0</v>
      </c>
      <c r="H19" s="97">
        <f>SUBTOTAL(109,Jul_Period_2_Tbl[$ SALARY])</f>
        <v>0</v>
      </c>
      <c r="I19" s="97">
        <f>SUBTOTAL(109,Jul_Period_2_Tbl[$ SALARY PT])</f>
        <v>0</v>
      </c>
      <c r="J19" s="97">
        <f>SUBTOTAL(109,Jul_Period_2_Tbl[$ FREE PT])</f>
        <v>0</v>
      </c>
      <c r="K19" s="97">
        <f>SUBTOTAL(109,Jul_Period_2_Tbl[$ PAID PT])</f>
        <v>0</v>
      </c>
      <c r="L19" s="97">
        <f>SUBTOTAL(109,Jul_Period_2_Tbl[$ PT COMM])</f>
        <v>0</v>
      </c>
      <c r="M19" s="98">
        <f>SUBTOTAL(109,Jul_Period_2_Tbl[$ EFT COMM])</f>
        <v>0</v>
      </c>
      <c r="N19" s="98">
        <f>SUBTOTAL(109,Jul_Period_2_Tbl[$ CLASS PAY])</f>
        <v>0</v>
      </c>
      <c r="O19" s="99">
        <f>SUBTOTAL(109,Jul_Period_2_Tbl[$ BONUS PAY])</f>
        <v>0</v>
      </c>
      <c r="P19" s="100">
        <f>SUBTOTAL(109,Jul_Period_2_Tbl[TOTAL PAY])</f>
        <v>0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SUBTOTAL(109,Jul_Period_2_Tbl[$ REGULAR WAGES])</f>
        <v>0</v>
      </c>
      <c r="Y19" s="128">
        <f>SUBTOTAL(109,Jul_Period_2_Tbl[$ PERSONAL TRAINING])</f>
        <v>0</v>
      </c>
      <c r="Z19" s="128">
        <f>SUBTOTAL(109,Jul_Period_2_Tbl[$ CLASSES])</f>
        <v>0</v>
      </c>
      <c r="AA19" s="128">
        <f>SUBTOTAL(109,Jul_Period_2_Tbl[$ EFT COMMISSION])</f>
        <v>0</v>
      </c>
      <c r="AB19" s="128">
        <f>SUBTOTAL(109,Jul_Period_2_Tbl[$ PT COMMISSION])</f>
        <v>0</v>
      </c>
      <c r="AC19" s="128">
        <f>SUBTOTAL(109,Jul_Period_2_Tbl[BONUS])</f>
        <v>0</v>
      </c>
      <c r="AD19" s="128">
        <f>SUBTOTAL(109,Jul_Period_2_Tbl[TOTAL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</f>
        <v>18370.86</v>
      </c>
    </row>
  </sheetData>
  <sheetProtection algorithmName="SHA-512" hashValue="WUzPsj3jaiISudFwdIQ+rXJCB80o2Jp4gHUTv5A2jNqiFHfX3UOMBUCgJA076a/hJL2aiui9GSbZrEwHtfFoNA==" saltValue="zizcLxhNqwtBqc8x4swb+A==" spinCount="100000" sheet="1" objects="1" scenarios="1"/>
  <mergeCells count="1">
    <mergeCell ref="A1:P1"/>
  </mergeCell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08_Aug2017"/>
  <dimension ref="A1:AD20"/>
  <sheetViews>
    <sheetView showGridLines="0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7109375" style="29" customWidth="1"/>
    <col min="30" max="30" width="8.7109375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Summary!D82</f>
        <v>42948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IF(OR(ISBLANK(Aug_Period_1_Tbl[[#This Row],['# HRS WORKED]]),ISBLANK(Aug_Period_1_Tbl[[#This Row],[$ Hourly RATE]])),"",Aug_Period_1_Tbl[[#This Row],['# HRS WORKED]]*Aug_Period_1_Tbl[[#This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IF(Aug_Period_1_Tbl[[#This Row],[$ Hourly WAGES]]="",SUM(Aug_Period_1_Tbl[[#This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PAY]]),SUM(Aug_Period_1_Tbl[[#This Row],[$ Hourly WAGES]]+Aug_Period_1_Tbl[[#This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PAY]]))</f>
        <v>0</v>
      </c>
      <c r="Q6" s="115"/>
      <c r="R6" s="135"/>
      <c r="S6" s="135"/>
      <c r="T6" s="135"/>
      <c r="U6" s="135"/>
      <c r="V6" s="120"/>
      <c r="W6" s="127" t="str">
        <f>Aug_Period_1_Tbl[[#This Row],[STAFF:]]</f>
        <v>Roxy Ayala</v>
      </c>
      <c r="X6" s="128">
        <f>IF(Aug_Period_1_Tbl[[#This Row],[$ Hourly WAGES]]="",Aug_Period_1_Tbl[[#This Row],[$ SALARY]],Aug_Period_1_Tbl[[#This Row],[$ Hourly WAGES]]+Aug_Period_1_Tbl[[#This Row],[$ SALARY]])</f>
        <v>0</v>
      </c>
      <c r="Y6" s="128">
        <f>Aug_Period_1_Tbl[[#This Row],[$ FREE PT]]+Aug_Period_1_Tbl[[#This Row],[$ PAID PT]]</f>
        <v>0</v>
      </c>
      <c r="Z6" s="128">
        <f>Aug_Period_1_Tbl[[#This Row],[$ CLASS PAY]]</f>
        <v>0</v>
      </c>
      <c r="AA6" s="128">
        <f>Aug_Period_1_Tbl[[#This Row],[$ EFT COMM]]</f>
        <v>0</v>
      </c>
      <c r="AB6" s="128">
        <f>Aug_Period_1_Tbl[[#This Row],[$ PT COMM]]</f>
        <v>0</v>
      </c>
      <c r="AC6" s="128">
        <f>Aug_Period_1_Tbl[[#This Row],[$ BONUS PAY]]</f>
        <v>0</v>
      </c>
      <c r="AD6" s="128">
        <f>Aug_Period_1_Tbl[[#This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IF(OR(ISBLANK(Aug_Period_1_Tbl[[#This Row],['# HRS WORKED]]),ISBLANK(Aug_Period_1_Tbl[[#This Row],[$ Hourly RATE]])),"",Aug_Period_1_Tbl[[#This Row],['# HRS WORKED]]*Aug_Period_1_Tbl[[#This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IF(Aug_Period_1_Tbl[[#This Row],[$ Hourly WAGES]]="",SUM(Aug_Period_1_Tbl[[#This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PAY]]),SUM(Aug_Period_1_Tbl[[#This Row],[$ Hourly WAGES]]+Aug_Period_1_Tbl[[#This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PAY]]))</f>
        <v>0</v>
      </c>
      <c r="Q7" s="115"/>
      <c r="R7" s="135"/>
      <c r="S7" s="135"/>
      <c r="T7" s="135"/>
      <c r="U7" s="135"/>
      <c r="V7" s="120"/>
      <c r="W7" s="127" t="str">
        <f>Aug_Period_1_Tbl[[#This Row],[STAFF:]]</f>
        <v>David Pecinovsky</v>
      </c>
      <c r="X7" s="128">
        <f>IF(Aug_Period_1_Tbl[[#This Row],[$ Hourly WAGES]]="",Aug_Period_1_Tbl[[#This Row],[$ SALARY]],Aug_Period_1_Tbl[[#This Row],[$ Hourly WAGES]]+Aug_Period_1_Tbl[[#This Row],[$ SALARY]])</f>
        <v>0</v>
      </c>
      <c r="Y7" s="128">
        <f>Aug_Period_1_Tbl[[#This Row],[$ FREE PT]]+Aug_Period_1_Tbl[[#This Row],[$ PAID PT]]</f>
        <v>0</v>
      </c>
      <c r="Z7" s="128">
        <f>Aug_Period_1_Tbl[[#This Row],[$ CLASS PAY]]</f>
        <v>0</v>
      </c>
      <c r="AA7" s="128">
        <f>Aug_Period_1_Tbl[[#This Row],[$ EFT COMM]]</f>
        <v>0</v>
      </c>
      <c r="AB7" s="128">
        <f>Aug_Period_1_Tbl[[#This Row],[$ PT COMM]]</f>
        <v>0</v>
      </c>
      <c r="AC7" s="128">
        <f>Aug_Period_1_Tbl[[#This Row],[$ BONUS PAY]]</f>
        <v>0</v>
      </c>
      <c r="AD7" s="128">
        <f>Aug_Period_1_Tbl[[#This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IF(OR(ISBLANK(Aug_Period_1_Tbl[[#This Row],['# HRS WORKED]]),ISBLANK(Aug_Period_1_Tbl[[#This Row],[$ Hourly RATE]])),"",Aug_Period_1_Tbl[[#This Row],['# HRS WORKED]]*Aug_Period_1_Tbl[[#This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IF(Aug_Period_1_Tbl[[#This Row],[$ Hourly WAGES]]="",SUM(Aug_Period_1_Tbl[[#This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PAY]]),SUM(Aug_Period_1_Tbl[[#This Row],[$ Hourly WAGES]]+Aug_Period_1_Tbl[[#This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PAY]]))</f>
        <v>0</v>
      </c>
      <c r="Q8" s="115"/>
      <c r="R8" s="135"/>
      <c r="S8" s="135"/>
      <c r="T8" s="135"/>
      <c r="U8" s="135"/>
      <c r="V8" s="120"/>
      <c r="W8" s="127" t="str">
        <f>Aug_Period_1_Tbl[[#This Row],[STAFF:]]</f>
        <v>Justin Stead</v>
      </c>
      <c r="X8" s="128">
        <f>IF(Aug_Period_1_Tbl[[#This Row],[$ Hourly WAGES]]="",Aug_Period_1_Tbl[[#This Row],[$ SALARY]],Aug_Period_1_Tbl[[#This Row],[$ Hourly WAGES]]+Aug_Period_1_Tbl[[#This Row],[$ SALARY]])</f>
        <v>0</v>
      </c>
      <c r="Y8" s="128">
        <f>Aug_Period_1_Tbl[[#This Row],[$ FREE PT]]+Aug_Period_1_Tbl[[#This Row],[$ PAID PT]]</f>
        <v>0</v>
      </c>
      <c r="Z8" s="128">
        <f>Aug_Period_1_Tbl[[#This Row],[$ CLASS PAY]]</f>
        <v>0</v>
      </c>
      <c r="AA8" s="128">
        <f>Aug_Period_1_Tbl[[#This Row],[$ EFT COMM]]</f>
        <v>0</v>
      </c>
      <c r="AB8" s="128">
        <f>Aug_Period_1_Tbl[[#This Row],[$ PT COMM]]</f>
        <v>0</v>
      </c>
      <c r="AC8" s="128">
        <f>Aug_Period_1_Tbl[[#This Row],[$ BONUS PAY]]</f>
        <v>0</v>
      </c>
      <c r="AD8" s="128">
        <f>Aug_Period_1_Tbl[[#This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IF(OR(ISBLANK(Aug_Period_1_Tbl[[#This Row],['# HRS WORKED]]),ISBLANK(Aug_Period_1_Tbl[[#This Row],[$ Hourly RATE]])),"",Aug_Period_1_Tbl[[#This Row],['# HRS WORKED]]*Aug_Period_1_Tbl[[#This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IF(Aug_Period_1_Tbl[[#This Row],[$ Hourly WAGES]]="",SUM(Aug_Period_1_Tbl[[#This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PAY]]),SUM(Aug_Period_1_Tbl[[#This Row],[$ Hourly WAGES]]+Aug_Period_1_Tbl[[#This Row],[$ SALARY]]+Aug_Period_1_Tbl[[#This Row],[$ FREE PT]]+Aug_Period_1_Tbl[[#This Row],[$ PAID PT]]+Aug_Period_1_Tbl[[#This Row],[$ PT COMM]]+Aug_Period_1_Tbl[[#This Row],[$ EFT COMM]]+Aug_Period_1_Tbl[[#This Row],[$ CLASS PAY]]+Aug_Period_1_Tbl[[#This Row],[$ BONUS PAY]]))</f>
        <v>0</v>
      </c>
      <c r="Q9" s="115"/>
      <c r="R9" s="135"/>
      <c r="S9" s="135"/>
      <c r="T9" s="135"/>
      <c r="U9" s="135"/>
      <c r="V9" s="120"/>
      <c r="W9" s="127" t="str">
        <f>Aug_Period_1_Tbl[[#This Row],[STAFF:]]</f>
        <v>Georgine Diolamou</v>
      </c>
      <c r="X9" s="128">
        <f>IF(Aug_Period_1_Tbl[[#This Row],[$ Hourly WAGES]]="",Aug_Period_1_Tbl[[#This Row],[$ SALARY]],Aug_Period_1_Tbl[[#This Row],[$ Hourly WAGES]]+Aug_Period_1_Tbl[[#This Row],[$ SALARY]])</f>
        <v>0</v>
      </c>
      <c r="Y9" s="128">
        <f>Aug_Period_1_Tbl[[#This Row],[$ FREE PT]]+Aug_Period_1_Tbl[[#This Row],[$ PAID PT]]</f>
        <v>0</v>
      </c>
      <c r="Z9" s="128">
        <f>Aug_Period_1_Tbl[[#This Row],[$ CLASS PAY]]</f>
        <v>0</v>
      </c>
      <c r="AA9" s="128">
        <f>Aug_Period_1_Tbl[[#This Row],[$ EFT COMM]]</f>
        <v>0</v>
      </c>
      <c r="AB9" s="128">
        <f>Aug_Period_1_Tbl[[#This Row],[$ PT COMM]]</f>
        <v>0</v>
      </c>
      <c r="AC9" s="128">
        <f>Aug_Period_1_Tbl[[#This Row],[$ BONUS PAY]]</f>
        <v>0</v>
      </c>
      <c r="AD9" s="128">
        <f>Aug_Period_1_Tbl[[#This Row],[TOTAL PAY]]</f>
        <v>0</v>
      </c>
    </row>
    <row r="10" spans="1:30" ht="15.75" thickBot="1" x14ac:dyDescent="0.3">
      <c r="A10" s="21" t="s">
        <v>58</v>
      </c>
      <c r="B10" s="22"/>
      <c r="C10" s="79">
        <f>SUBTOTAL(109,Aug_Period_1_Tbl['# PTO USED])</f>
        <v>0</v>
      </c>
      <c r="D10" s="79">
        <f>SUBTOTAL(109,Aug_Period_1_Tbl['# PTO Holiday])</f>
        <v>0</v>
      </c>
      <c r="E10" s="80">
        <f>SUBTOTAL(109,Aug_Period_1_Tbl['# HRS WORKED])</f>
        <v>0</v>
      </c>
      <c r="F10" s="97">
        <f>SUBTOTAL(109,Aug_Period_1_Tbl[$ Hourly RATE])</f>
        <v>0</v>
      </c>
      <c r="G10" s="97">
        <f>SUBTOTAL(109,Aug_Period_1_Tbl[$ Hourly WAGES])</f>
        <v>0</v>
      </c>
      <c r="H10" s="97">
        <f>SUBTOTAL(109,Aug_Period_1_Tbl[$ SALARY])</f>
        <v>0</v>
      </c>
      <c r="I10" s="97">
        <f>SUBTOTAL(109,Aug_Period_1_Tbl[$ SALARY PT])</f>
        <v>0</v>
      </c>
      <c r="J10" s="97">
        <f>SUBTOTAL(109,Aug_Period_1_Tbl[$ FREE PT])</f>
        <v>0</v>
      </c>
      <c r="K10" s="97">
        <f>SUBTOTAL(109,Aug_Period_1_Tbl[$ PAID PT])</f>
        <v>0</v>
      </c>
      <c r="L10" s="97">
        <f>SUBTOTAL(109,Aug_Period_1_Tbl[$ PT COMM])</f>
        <v>0</v>
      </c>
      <c r="M10" s="98">
        <f>SUBTOTAL(109,Aug_Period_1_Tbl[$ EFT COMM])</f>
        <v>0</v>
      </c>
      <c r="N10" s="98">
        <f>SUBTOTAL(109,Aug_Period_1_Tbl[$ CLASS PAY])</f>
        <v>0</v>
      </c>
      <c r="O10" s="99">
        <f>SUBTOTAL(109,Aug_Period_1_Tbl[$ BONUS PAY])</f>
        <v>0</v>
      </c>
      <c r="P10" s="100">
        <f>SUBTOTAL(109,Aug_Period_1_Tbl[TOTAL PAY])</f>
        <v>0</v>
      </c>
      <c r="Q10"/>
      <c r="R10" s="121">
        <f>SUBTOTAL(109,Dec_Period_1_Tbl['# POINTS EARNED])</f>
        <v>0</v>
      </c>
      <c r="S10" s="121">
        <f>SUBTOTAL(109,Dec_Period_1_Tbl['# POINTS USED])</f>
        <v>0</v>
      </c>
      <c r="T10" s="121">
        <f>SUBTOTAL(109,Dec_Period_1_Tbl['# CLASSES LEAD])</f>
        <v>0</v>
      </c>
      <c r="U10" s="121">
        <f>SUBTOTAL(109,Dec_Period_1_Tbl['# CLASSES SHOW])</f>
        <v>0</v>
      </c>
      <c r="V10" s="123"/>
      <c r="W10" s="129" t="s">
        <v>105</v>
      </c>
      <c r="X10" s="128">
        <f>SUBTOTAL(109,Aug_Period_1_Tbl[$ REGULAR WAGES])</f>
        <v>0</v>
      </c>
      <c r="Y10" s="128">
        <f>SUBTOTAL(109,Aug_Period_1_Tbl[$ PERSONAL TRAINING])</f>
        <v>0</v>
      </c>
      <c r="Z10" s="128">
        <f>SUBTOTAL(109,Aug_Period_1_Tbl[$ CLASSES])</f>
        <v>0</v>
      </c>
      <c r="AA10" s="128">
        <f>SUBTOTAL(109,Aug_Period_1_Tbl[$ EFT COMMISSION])</f>
        <v>0</v>
      </c>
      <c r="AB10" s="128">
        <f>SUBTOTAL(109,Aug_Period_1_Tbl[$ PT COMMISSION])</f>
        <v>0</v>
      </c>
      <c r="AC10" s="128">
        <f>SUBTOTAL(109,Aug_Period_1_Tbl[BONUS])</f>
        <v>0</v>
      </c>
      <c r="AD10" s="128">
        <f>SUBTOTAL(109,Aug_Period_1_Tbl[TOTAL
PAY])</f>
        <v>0</v>
      </c>
    </row>
    <row r="11" spans="1:30" s="30" customFormat="1" ht="15.75" thickTop="1" x14ac:dyDescent="0.25">
      <c r="A11" s="61"/>
      <c r="B11" s="62"/>
      <c r="C11" s="63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</f>
        <v>18370.86</v>
      </c>
    </row>
    <row r="12" spans="1:30" s="30" customFormat="1" ht="12.75" x14ac:dyDescent="0.2">
      <c r="A12" s="88" t="s">
        <v>84</v>
      </c>
      <c r="B12" s="67">
        <f>Summary!D83</f>
        <v>42962</v>
      </c>
      <c r="C12" s="68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68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IF(OR(ISBLANK(Aug_Period_2_Tbl[[#This Row],['# HRS WORKED]]),ISBLANK(Aug_Period_2_Tbl[[#This Row],[$ Hourly RATE]])),"",Aug_Period_2_Tbl[[#This Row],['# HRS WORKED]]*Aug_Period_2_Tbl[[#This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IF(Aug_Period_2_Tbl[[#This Row],[$ Hourly WAGES]]="",SUM(Aug_Period_2_Tbl[[#This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PAY]]),SUM(Aug_Period_2_Tbl[[#This Row],[$ Hourly WAGES]]+Aug_Period_2_Tbl[[#This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Aug_Period_2_Tbl[[#This Row],[STAFF:]]</f>
        <v>Roxy Ayala</v>
      </c>
      <c r="X15" s="128">
        <f>IF(Aug_Period_2_Tbl[[#This Row],[$ Hourly WAGES]]="",Aug_Period_2_Tbl[[#This Row],[$ SALARY]],Aug_Period_2_Tbl[[#This Row],[$ Hourly WAGES]]+Aug_Period_2_Tbl[[#This Row],[$ SALARY]])</f>
        <v>0</v>
      </c>
      <c r="Y15" s="128">
        <f>Aug_Period_2_Tbl[[#This Row],[$ FREE PT]]+Aug_Period_2_Tbl[[#This Row],[$ PAID PT]]</f>
        <v>0</v>
      </c>
      <c r="Z15" s="128">
        <f>Aug_Period_2_Tbl[[#This Row],[$ CLASS PAY]]</f>
        <v>0</v>
      </c>
      <c r="AA15" s="128">
        <f>Aug_Period_2_Tbl[[#This Row],[$ EFT COMM]]</f>
        <v>0</v>
      </c>
      <c r="AB15" s="128">
        <f>Aug_Period_2_Tbl[[#This Row],[$ PT COMM]]</f>
        <v>0</v>
      </c>
      <c r="AC15" s="128">
        <f>Aug_Period_2_Tbl[[#This Row],[$ BONUS PAY]]</f>
        <v>0</v>
      </c>
      <c r="AD15" s="128">
        <f>Aug_Period_2_Tbl[[#This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IF(OR(ISBLANK(Aug_Period_2_Tbl[[#This Row],['# HRS WORKED]]),ISBLANK(Aug_Period_2_Tbl[[#This Row],[$ Hourly RATE]])),"",Aug_Period_2_Tbl[[#This Row],['# HRS WORKED]]*Aug_Period_2_Tbl[[#This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IF(Aug_Period_2_Tbl[[#This Row],[$ Hourly WAGES]]="",SUM(Aug_Period_2_Tbl[[#This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PAY]]),SUM(Aug_Period_2_Tbl[[#This Row],[$ Hourly WAGES]]+Aug_Period_2_Tbl[[#This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Aug_Period_2_Tbl[[#This Row],[STAFF:]]</f>
        <v>David Pecinovsky</v>
      </c>
      <c r="X16" s="128">
        <f>IF(Aug_Period_2_Tbl[[#This Row],[$ Hourly WAGES]]="",Aug_Period_2_Tbl[[#This Row],[$ SALARY]],Aug_Period_2_Tbl[[#This Row],[$ Hourly WAGES]]+Aug_Period_2_Tbl[[#This Row],[$ SALARY]])</f>
        <v>0</v>
      </c>
      <c r="Y16" s="128">
        <f>Aug_Period_2_Tbl[[#This Row],[$ FREE PT]]+Aug_Period_2_Tbl[[#This Row],[$ PAID PT]]</f>
        <v>0</v>
      </c>
      <c r="Z16" s="128">
        <f>Aug_Period_2_Tbl[[#This Row],[$ CLASS PAY]]</f>
        <v>0</v>
      </c>
      <c r="AA16" s="128">
        <f>Aug_Period_2_Tbl[[#This Row],[$ EFT COMM]]</f>
        <v>0</v>
      </c>
      <c r="AB16" s="128">
        <f>Aug_Period_2_Tbl[[#This Row],[$ PT COMM]]</f>
        <v>0</v>
      </c>
      <c r="AC16" s="128">
        <f>Aug_Period_2_Tbl[[#This Row],[$ BONUS PAY]]</f>
        <v>0</v>
      </c>
      <c r="AD16" s="128">
        <f>Aug_Period_2_Tbl[[#This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IF(OR(ISBLANK(Aug_Period_2_Tbl[[#This Row],['# HRS WORKED]]),ISBLANK(Aug_Period_2_Tbl[[#This Row],[$ Hourly RATE]])),"",Aug_Period_2_Tbl[[#This Row],['# HRS WORKED]]*Aug_Period_2_Tbl[[#This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IF(Aug_Period_2_Tbl[[#This Row],[$ Hourly WAGES]]="",SUM(Aug_Period_2_Tbl[[#This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PAY]]),SUM(Aug_Period_2_Tbl[[#This Row],[$ Hourly WAGES]]+Aug_Period_2_Tbl[[#This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Aug_Period_2_Tbl[[#This Row],[STAFF:]]</f>
        <v>Justin Stead</v>
      </c>
      <c r="X17" s="128">
        <f>IF(Aug_Period_2_Tbl[[#This Row],[$ Hourly WAGES]]="",Aug_Period_2_Tbl[[#This Row],[$ SALARY]],Aug_Period_2_Tbl[[#This Row],[$ Hourly WAGES]]+Aug_Period_2_Tbl[[#This Row],[$ SALARY]])</f>
        <v>0</v>
      </c>
      <c r="Y17" s="128">
        <f>Aug_Period_2_Tbl[[#This Row],[$ FREE PT]]+Aug_Period_2_Tbl[[#This Row],[$ PAID PT]]</f>
        <v>0</v>
      </c>
      <c r="Z17" s="128">
        <f>Aug_Period_2_Tbl[[#This Row],[$ CLASS PAY]]</f>
        <v>0</v>
      </c>
      <c r="AA17" s="128">
        <f>Aug_Period_2_Tbl[[#This Row],[$ EFT COMM]]</f>
        <v>0</v>
      </c>
      <c r="AB17" s="128">
        <f>Aug_Period_2_Tbl[[#This Row],[$ PT COMM]]</f>
        <v>0</v>
      </c>
      <c r="AC17" s="128">
        <f>Aug_Period_2_Tbl[[#This Row],[$ BONUS PAY]]</f>
        <v>0</v>
      </c>
      <c r="AD17" s="128">
        <f>Aug_Period_2_Tbl[[#This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IF(OR(ISBLANK(Aug_Period_2_Tbl[[#This Row],['# HRS WORKED]]),ISBLANK(Aug_Period_2_Tbl[[#This Row],[$ Hourly RATE]])),"",Aug_Period_2_Tbl[[#This Row],['# HRS WORKED]]*Aug_Period_2_Tbl[[#This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IF(Aug_Period_2_Tbl[[#This Row],[$ Hourly WAGES]]="",SUM(Aug_Period_2_Tbl[[#This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PAY]]),SUM(Aug_Period_2_Tbl[[#This Row],[$ Hourly WAGES]]+Aug_Period_2_Tbl[[#This Row],[$ SALARY]]+Aug_Period_2_Tbl[[#This Row],[$ FREE PT]]+Aug_Period_2_Tbl[[#This Row],[$ PAID PT]]+Aug_Period_2_Tbl[[#This Row],[$ PT COMM]]+Aug_Period_2_Tbl[[#This Row],[$ EFT COMM]]+Aug_Period_2_Tbl[[#This Row],[$ CLASS PAY]]+Aug_Period_2_Tbl[[#This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Aug_Period_2_Tbl[[#This Row],[STAFF:]]</f>
        <v>Georgine Diolamou</v>
      </c>
      <c r="X18" s="128">
        <f>IF(Aug_Period_2_Tbl[[#This Row],[$ Hourly WAGES]]="",Aug_Period_2_Tbl[[#This Row],[$ SALARY]],Aug_Period_2_Tbl[[#This Row],[$ Hourly WAGES]]+Aug_Period_2_Tbl[[#This Row],[$ SALARY]])</f>
        <v>0</v>
      </c>
      <c r="Y18" s="128">
        <f>Aug_Period_2_Tbl[[#This Row],[$ FREE PT]]+Aug_Period_2_Tbl[[#This Row],[$ PAID PT]]</f>
        <v>0</v>
      </c>
      <c r="Z18" s="128">
        <f>Aug_Period_2_Tbl[[#This Row],[$ CLASS PAY]]</f>
        <v>0</v>
      </c>
      <c r="AA18" s="128">
        <f>Aug_Period_2_Tbl[[#This Row],[$ EFT COMM]]</f>
        <v>0</v>
      </c>
      <c r="AB18" s="128">
        <f>Aug_Period_2_Tbl[[#This Row],[$ PT COMM]]</f>
        <v>0</v>
      </c>
      <c r="AC18" s="128">
        <f>Aug_Period_2_Tbl[[#This Row],[$ BONUS PAY]]</f>
        <v>0</v>
      </c>
      <c r="AD18" s="128">
        <f>Aug_Period_2_Tbl[[#This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SUBTOTAL(109,Aug_Period_2_Tbl['# PTO USED])</f>
        <v>0</v>
      </c>
      <c r="D19" s="79">
        <f>SUBTOTAL(109,Aug_Period_2_Tbl['# PTO Holiday])</f>
        <v>0</v>
      </c>
      <c r="E19" s="80">
        <f>SUBTOTAL(109,Aug_Period_2_Tbl['# HRS WORKED])</f>
        <v>0</v>
      </c>
      <c r="F19" s="97">
        <f>SUBTOTAL(109,Aug_Period_2_Tbl[$ Hourly RATE])</f>
        <v>0</v>
      </c>
      <c r="G19" s="97">
        <f>SUBTOTAL(109,Aug_Period_2_Tbl[$ Hourly WAGES])</f>
        <v>0</v>
      </c>
      <c r="H19" s="97">
        <f>SUBTOTAL(109,Aug_Period_2_Tbl[$ SALARY])</f>
        <v>0</v>
      </c>
      <c r="I19" s="97">
        <f>SUBTOTAL(109,Aug_Period_2_Tbl[$ SALARY PT])</f>
        <v>0</v>
      </c>
      <c r="J19" s="97">
        <f>SUBTOTAL(109,Aug_Period_2_Tbl[$ FREE PT])</f>
        <v>0</v>
      </c>
      <c r="K19" s="97">
        <f>SUBTOTAL(109,Aug_Period_2_Tbl[$ PAID PT])</f>
        <v>0</v>
      </c>
      <c r="L19" s="97">
        <f>SUBTOTAL(109,Aug_Period_2_Tbl[$ PT COMM])</f>
        <v>0</v>
      </c>
      <c r="M19" s="98">
        <f>SUBTOTAL(109,Aug_Period_2_Tbl[$ EFT COMM])</f>
        <v>0</v>
      </c>
      <c r="N19" s="98">
        <f>SUBTOTAL(109,Aug_Period_2_Tbl[$ CLASS PAY])</f>
        <v>0</v>
      </c>
      <c r="O19" s="99">
        <f>SUBTOTAL(109,Aug_Period_2_Tbl[$ BONUS PAY])</f>
        <v>0</v>
      </c>
      <c r="P19" s="100">
        <f>SUBTOTAL(109,Aug_Period_2_Tbl[TOTAL PAY])</f>
        <v>0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SUBTOTAL(109,Aug_Period_2_Tbl[$ REGULAR WAGES])</f>
        <v>0</v>
      </c>
      <c r="Y19" s="128">
        <f>SUBTOTAL(109,Aug_Period_2_Tbl[$ PERSONAL TRAINING])</f>
        <v>0</v>
      </c>
      <c r="Z19" s="128">
        <f>SUBTOTAL(109,Aug_Period_2_Tbl[$ CLASSES])</f>
        <v>0</v>
      </c>
      <c r="AA19" s="128">
        <f>SUBTOTAL(109,Aug_Period_2_Tbl[$ EFT COMMISSION])</f>
        <v>0</v>
      </c>
      <c r="AB19" s="128">
        <f>SUBTOTAL(109,Aug_Period_2_Tbl[$ PT COMMISSION])</f>
        <v>0</v>
      </c>
      <c r="AC19" s="128">
        <f>SUBTOTAL(109,Aug_Period_2_Tbl[BONUS])</f>
        <v>0</v>
      </c>
      <c r="AD19" s="128">
        <f>SUBTOTAL(109,Aug_Period_2_Tbl[TOTAL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WAGES]]+Aug_Period_2_Tbl[[#Totals],[$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TRAINING]]+Aug_Period_2_Tbl[[#Totals],[$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CLASSES]]+Aug_Period_2_Tbl[[#Totals],[$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COMMISSION]]+Aug_Period_2_Tbl[[#Totals],[$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COMMISSION]]+Aug_Period_2_Tbl[[#Totals],[$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+Aug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PAY]]+Aug_Period_2_Tbl[[#Totals],[TOTAL
PAY]]</f>
        <v>18370.86</v>
      </c>
    </row>
  </sheetData>
  <sheetProtection algorithmName="SHA-512" hashValue="ViKiy+wBOfXRCSgskESXUQkg93CEigwKa9VHkExYF8I57TK+/NOczldYoVTgJKTKcOn0mMElEGQFver6qK2Tig==" saltValue="1X/WDhSeOHtoQXLBF2MKrw==" spinCount="100000" sheet="1" objects="1" scenarios="1"/>
  <mergeCells count="1">
    <mergeCell ref="A1:P1"/>
  </mergeCell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09_Sep2017"/>
  <dimension ref="A1:AD20"/>
  <sheetViews>
    <sheetView showGridLines="0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7109375" style="29" customWidth="1"/>
    <col min="30" max="30" width="8.7109375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Summary!D84</f>
        <v>42979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IF(OR(ISBLANK(Sep_Period_1_Tbl[[#This Row],['# HRS WORKED]]),ISBLANK(Sep_Period_1_Tbl[[#This Row],[$ Hourly RATE]])),"",Sep_Period_1_Tbl[[#This Row],['# HRS WORKED]]*Sep_Period_1_Tbl[[#This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IF(Sep_Period_1_Tbl[[#This Row],[$ Hourly WAGES]]="",SUM(Sep_Period_1_Tbl[[#This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PAY]]),SUM(Sep_Period_1_Tbl[[#This Row],[$ Hourly WAGES]]+Sep_Period_1_Tbl[[#This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PAY]]))</f>
        <v>0</v>
      </c>
      <c r="Q6" s="115"/>
      <c r="R6" s="135"/>
      <c r="S6" s="135"/>
      <c r="T6" s="135"/>
      <c r="U6" s="135"/>
      <c r="V6" s="120"/>
      <c r="W6" s="127" t="str">
        <f>Sep_Period_1_Tbl[[#This Row],[STAFF:]]</f>
        <v>Roxy Ayala</v>
      </c>
      <c r="X6" s="128">
        <f>IF(Sep_Period_1_Tbl[[#This Row],[$ Hourly WAGES]]="",Sep_Period_1_Tbl[[#This Row],[$ SALARY]],Sep_Period_1_Tbl[[#This Row],[$ Hourly WAGES]]+Sep_Period_1_Tbl[[#This Row],[$ SALARY]])</f>
        <v>0</v>
      </c>
      <c r="Y6" s="128">
        <f>Sep_Period_1_Tbl[[#This Row],[$ FREE PT]]+Sep_Period_1_Tbl[[#This Row],[$ PAID PT]]</f>
        <v>0</v>
      </c>
      <c r="Z6" s="128">
        <f>Sep_Period_1_Tbl[[#This Row],[$ CLASS PAY]]</f>
        <v>0</v>
      </c>
      <c r="AA6" s="128">
        <f>Sep_Period_1_Tbl[[#This Row],[$ EFT COMM]]</f>
        <v>0</v>
      </c>
      <c r="AB6" s="128">
        <f>Sep_Period_1_Tbl[[#This Row],[$ PT COMM]]</f>
        <v>0</v>
      </c>
      <c r="AC6" s="128">
        <f>Sep_Period_1_Tbl[[#This Row],[$ BONUS PAY]]</f>
        <v>0</v>
      </c>
      <c r="AD6" s="128">
        <f>Sep_Period_1_Tbl[[#This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IF(OR(ISBLANK(Sep_Period_1_Tbl[[#This Row],['# HRS WORKED]]),ISBLANK(Sep_Period_1_Tbl[[#This Row],[$ Hourly RATE]])),"",Sep_Period_1_Tbl[[#This Row],['# HRS WORKED]]*Sep_Period_1_Tbl[[#This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IF(Sep_Period_1_Tbl[[#This Row],[$ Hourly WAGES]]="",SUM(Sep_Period_1_Tbl[[#This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PAY]]),SUM(Sep_Period_1_Tbl[[#This Row],[$ Hourly WAGES]]+Sep_Period_1_Tbl[[#This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PAY]]))</f>
        <v>0</v>
      </c>
      <c r="Q7" s="115"/>
      <c r="R7" s="135"/>
      <c r="S7" s="135"/>
      <c r="T7" s="135"/>
      <c r="U7" s="135"/>
      <c r="V7" s="120"/>
      <c r="W7" s="127" t="str">
        <f>Sep_Period_1_Tbl[[#This Row],[STAFF:]]</f>
        <v>David Pecinovsky</v>
      </c>
      <c r="X7" s="128">
        <f>IF(Sep_Period_1_Tbl[[#This Row],[$ Hourly WAGES]]="",Sep_Period_1_Tbl[[#This Row],[$ SALARY]],Sep_Period_1_Tbl[[#This Row],[$ Hourly WAGES]]+Sep_Period_1_Tbl[[#This Row],[$ SALARY]])</f>
        <v>0</v>
      </c>
      <c r="Y7" s="128">
        <f>Sep_Period_1_Tbl[[#This Row],[$ FREE PT]]+Sep_Period_1_Tbl[[#This Row],[$ PAID PT]]</f>
        <v>0</v>
      </c>
      <c r="Z7" s="128">
        <f>Sep_Period_1_Tbl[[#This Row],[$ CLASS PAY]]</f>
        <v>0</v>
      </c>
      <c r="AA7" s="128">
        <f>Sep_Period_1_Tbl[[#This Row],[$ EFT COMM]]</f>
        <v>0</v>
      </c>
      <c r="AB7" s="128">
        <f>Sep_Period_1_Tbl[[#This Row],[$ PT COMM]]</f>
        <v>0</v>
      </c>
      <c r="AC7" s="128">
        <f>Sep_Period_1_Tbl[[#This Row],[$ BONUS PAY]]</f>
        <v>0</v>
      </c>
      <c r="AD7" s="128">
        <f>Sep_Period_1_Tbl[[#This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IF(OR(ISBLANK(Sep_Period_1_Tbl[[#This Row],['# HRS WORKED]]),ISBLANK(Sep_Period_1_Tbl[[#This Row],[$ Hourly RATE]])),"",Sep_Period_1_Tbl[[#This Row],['# HRS WORKED]]*Sep_Period_1_Tbl[[#This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IF(Sep_Period_1_Tbl[[#This Row],[$ Hourly WAGES]]="",SUM(Sep_Period_1_Tbl[[#This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PAY]]),SUM(Sep_Period_1_Tbl[[#This Row],[$ Hourly WAGES]]+Sep_Period_1_Tbl[[#This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PAY]]))</f>
        <v>0</v>
      </c>
      <c r="Q8" s="115"/>
      <c r="R8" s="135"/>
      <c r="S8" s="135"/>
      <c r="T8" s="135"/>
      <c r="U8" s="135"/>
      <c r="V8" s="120"/>
      <c r="W8" s="127" t="str">
        <f>Sep_Period_1_Tbl[[#This Row],[STAFF:]]</f>
        <v>Justin Stead</v>
      </c>
      <c r="X8" s="128">
        <f>IF(Sep_Period_1_Tbl[[#This Row],[$ Hourly WAGES]]="",Sep_Period_1_Tbl[[#This Row],[$ SALARY]],Sep_Period_1_Tbl[[#This Row],[$ Hourly WAGES]]+Sep_Period_1_Tbl[[#This Row],[$ SALARY]])</f>
        <v>0</v>
      </c>
      <c r="Y8" s="128">
        <f>Sep_Period_1_Tbl[[#This Row],[$ FREE PT]]+Sep_Period_1_Tbl[[#This Row],[$ PAID PT]]</f>
        <v>0</v>
      </c>
      <c r="Z8" s="128">
        <f>Sep_Period_1_Tbl[[#This Row],[$ CLASS PAY]]</f>
        <v>0</v>
      </c>
      <c r="AA8" s="128">
        <f>Sep_Period_1_Tbl[[#This Row],[$ EFT COMM]]</f>
        <v>0</v>
      </c>
      <c r="AB8" s="128">
        <f>Sep_Period_1_Tbl[[#This Row],[$ PT COMM]]</f>
        <v>0</v>
      </c>
      <c r="AC8" s="128">
        <f>Sep_Period_1_Tbl[[#This Row],[$ BONUS PAY]]</f>
        <v>0</v>
      </c>
      <c r="AD8" s="128">
        <f>Sep_Period_1_Tbl[[#This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IF(OR(ISBLANK(Sep_Period_1_Tbl[[#This Row],['# HRS WORKED]]),ISBLANK(Sep_Period_1_Tbl[[#This Row],[$ Hourly RATE]])),"",Sep_Period_1_Tbl[[#This Row],['# HRS WORKED]]*Sep_Period_1_Tbl[[#This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IF(Sep_Period_1_Tbl[[#This Row],[$ Hourly WAGES]]="",SUM(Sep_Period_1_Tbl[[#This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PAY]]),SUM(Sep_Period_1_Tbl[[#This Row],[$ Hourly WAGES]]+Sep_Period_1_Tbl[[#This Row],[$ SALARY]]+Sep_Period_1_Tbl[[#This Row],[$ FREE PT]]+Sep_Period_1_Tbl[[#This Row],[$ PAID PT]]+Sep_Period_1_Tbl[[#This Row],[$ PT COMM]]+Sep_Period_1_Tbl[[#This Row],[$ EFT COMM]]+Sep_Period_1_Tbl[[#This Row],[$ CLASS PAY]]+Sep_Period_1_Tbl[[#This Row],[$ BONUS PAY]]))</f>
        <v>0</v>
      </c>
      <c r="Q9" s="115"/>
      <c r="R9" s="135"/>
      <c r="S9" s="135"/>
      <c r="T9" s="135"/>
      <c r="U9" s="135"/>
      <c r="V9" s="120"/>
      <c r="W9" s="127" t="str">
        <f>Sep_Period_1_Tbl[[#This Row],[STAFF:]]</f>
        <v>Georgine Diolamou</v>
      </c>
      <c r="X9" s="128">
        <f>IF(Sep_Period_1_Tbl[[#This Row],[$ Hourly WAGES]]="",Sep_Period_1_Tbl[[#This Row],[$ SALARY]],Sep_Period_1_Tbl[[#This Row],[$ Hourly WAGES]]+Sep_Period_1_Tbl[[#This Row],[$ SALARY]])</f>
        <v>0</v>
      </c>
      <c r="Y9" s="128">
        <f>Sep_Period_1_Tbl[[#This Row],[$ FREE PT]]+Sep_Period_1_Tbl[[#This Row],[$ PAID PT]]</f>
        <v>0</v>
      </c>
      <c r="Z9" s="128">
        <f>Sep_Period_1_Tbl[[#This Row],[$ CLASS PAY]]</f>
        <v>0</v>
      </c>
      <c r="AA9" s="128">
        <f>Sep_Period_1_Tbl[[#This Row],[$ EFT COMM]]</f>
        <v>0</v>
      </c>
      <c r="AB9" s="128">
        <f>Sep_Period_1_Tbl[[#This Row],[$ PT COMM]]</f>
        <v>0</v>
      </c>
      <c r="AC9" s="128">
        <f>Sep_Period_1_Tbl[[#This Row],[$ BONUS PAY]]</f>
        <v>0</v>
      </c>
      <c r="AD9" s="128">
        <f>Sep_Period_1_Tbl[[#This Row],[TOTAL PAY]]</f>
        <v>0</v>
      </c>
    </row>
    <row r="10" spans="1:30" ht="15.75" thickBot="1" x14ac:dyDescent="0.3">
      <c r="A10" s="21" t="s">
        <v>58</v>
      </c>
      <c r="B10" s="22"/>
      <c r="C10" s="79">
        <f>SUBTOTAL(109,Sep_Period_1_Tbl['# PTO USED])</f>
        <v>0</v>
      </c>
      <c r="D10" s="79">
        <f>SUBTOTAL(109,Sep_Period_1_Tbl['# PTO Holiday])</f>
        <v>0</v>
      </c>
      <c r="E10" s="80">
        <f>SUBTOTAL(109,Sep_Period_1_Tbl['# HRS WORKED])</f>
        <v>0</v>
      </c>
      <c r="F10" s="97">
        <f>SUBTOTAL(109,Sep_Period_1_Tbl[$ Hourly RATE])</f>
        <v>0</v>
      </c>
      <c r="G10" s="97">
        <f>SUBTOTAL(109,Sep_Period_1_Tbl[$ Hourly WAGES])</f>
        <v>0</v>
      </c>
      <c r="H10" s="97">
        <f>SUBTOTAL(109,Sep_Period_1_Tbl[$ SALARY])</f>
        <v>0</v>
      </c>
      <c r="I10" s="97">
        <f>SUBTOTAL(109,Sep_Period_1_Tbl[$ SALARY PT])</f>
        <v>0</v>
      </c>
      <c r="J10" s="97">
        <f>SUBTOTAL(109,Sep_Period_1_Tbl[$ FREE PT])</f>
        <v>0</v>
      </c>
      <c r="K10" s="97">
        <f>SUBTOTAL(109,Sep_Period_1_Tbl[$ PAID PT])</f>
        <v>0</v>
      </c>
      <c r="L10" s="97">
        <f>SUBTOTAL(109,Sep_Period_1_Tbl[$ PT COMM])</f>
        <v>0</v>
      </c>
      <c r="M10" s="98">
        <f>SUBTOTAL(109,Sep_Period_1_Tbl[$ EFT COMM])</f>
        <v>0</v>
      </c>
      <c r="N10" s="98">
        <f>SUBTOTAL(109,Sep_Period_1_Tbl[$ CLASS PAY])</f>
        <v>0</v>
      </c>
      <c r="O10" s="99">
        <f>SUBTOTAL(109,Sep_Period_1_Tbl[$ BONUS PAY])</f>
        <v>0</v>
      </c>
      <c r="P10" s="100">
        <f>SUBTOTAL(109,Sep_Period_1_Tbl[TOTAL PAY])</f>
        <v>0</v>
      </c>
      <c r="Q10"/>
      <c r="R10" s="121">
        <f>SUBTOTAL(109,Dec_Period_1_Tbl['# POINTS EARNED])</f>
        <v>0</v>
      </c>
      <c r="S10" s="121">
        <f>SUBTOTAL(109,Dec_Period_1_Tbl['# POINTS USED])</f>
        <v>0</v>
      </c>
      <c r="T10" s="121">
        <f>SUBTOTAL(109,Dec_Period_1_Tbl['# CLASSES LEAD])</f>
        <v>0</v>
      </c>
      <c r="U10" s="121">
        <f>SUBTOTAL(109,Dec_Period_1_Tbl['# CLASSES SHOW])</f>
        <v>0</v>
      </c>
      <c r="V10" s="123"/>
      <c r="W10" s="129" t="s">
        <v>105</v>
      </c>
      <c r="X10" s="128">
        <f>SUBTOTAL(109,Sep_Period_1_Tbl[$ REGULAR WAGES])</f>
        <v>0</v>
      </c>
      <c r="Y10" s="128">
        <f>SUBTOTAL(109,Sep_Period_1_Tbl[$ PERSONAL TRAINING])</f>
        <v>0</v>
      </c>
      <c r="Z10" s="128">
        <f>SUBTOTAL(109,Sep_Period_1_Tbl[$ CLASSES])</f>
        <v>0</v>
      </c>
      <c r="AA10" s="128">
        <f>SUBTOTAL(109,Sep_Period_1_Tbl[$ EFT COMMISSION])</f>
        <v>0</v>
      </c>
      <c r="AB10" s="128">
        <f>SUBTOTAL(109,Sep_Period_1_Tbl[$ PT COMMISSION])</f>
        <v>0</v>
      </c>
      <c r="AC10" s="128">
        <f>SUBTOTAL(109,Sep_Period_1_Tbl[BONUS])</f>
        <v>0</v>
      </c>
      <c r="AD10" s="128">
        <f>SUBTOTAL(109,Sep_Period_1_Tbl[TOTAL
PAY])</f>
        <v>0</v>
      </c>
    </row>
    <row r="11" spans="1:30" s="30" customFormat="1" ht="15.75" thickTop="1" x14ac:dyDescent="0.25">
      <c r="A11" s="61"/>
      <c r="B11" s="62"/>
      <c r="C11" s="63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WAGES]]+Aug_Period_2_Tbl[[#Totals],[$ REGULAR WAGES]]+Sep_Period_1_Tbl[[#Totals],[$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TRAINING]]+Aug_Period_2_Tbl[[#Totals],[$ PERSONAL TRAINING]]+Sep_Period_1_Tbl[[#Totals],[$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CLASSES]]+Aug_Period_2_Tbl[[#Totals],[$ CLASSES]]+Sep_Period_1_Tbl[[#Totals],[$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COMMISSION]]+Aug_Period_2_Tbl[[#Totals],[$ EFT COMMISSION]]+Sep_Period_1_Tbl[[#Totals],[$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COMMISSION]]+Aug_Period_2_Tbl[[#Totals],[$ PT COMMISSION]]+Sep_Period_1_Tbl[[#Totals],[$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+Aug_Period_2_Tbl[[#Totals],[BONUS]]+Sep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PAY]]+Aug_Period_2_Tbl[[#Totals],[TOTAL
PAY]]+Sep_Period_1_Tbl[[#Totals],[TOTAL
PAY]]</f>
        <v>18370.86</v>
      </c>
    </row>
    <row r="12" spans="1:30" s="30" customFormat="1" ht="12.75" x14ac:dyDescent="0.2">
      <c r="A12" s="88" t="s">
        <v>84</v>
      </c>
      <c r="B12" s="67">
        <f>Summary!D85</f>
        <v>42993</v>
      </c>
      <c r="C12" s="68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68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IF(OR(ISBLANK(Sep_Period_2_Tbl[[#This Row],['# HRS WORKED]]),ISBLANK(Sep_Period_2_Tbl[[#This Row],[$ Hourly RATE]])),"",Sep_Period_2_Tbl[[#This Row],['# HRS WORKED]]*Sep_Period_2_Tbl[[#This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IF(Sep_Period_2_Tbl[[#This Row],[$ Hourly WAGES]]="",SUM(Sep_Period_2_Tbl[[#This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PAY]]),SUM(Sep_Period_2_Tbl[[#This Row],[$ Hourly WAGES]]+Sep_Period_2_Tbl[[#This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Sep_Period_2_Tbl[[#This Row],[STAFF:]]</f>
        <v>Roxy Ayala</v>
      </c>
      <c r="X15" s="128">
        <f>IF(Sep_Period_2_Tbl[[#This Row],[$ Hourly WAGES]]="",Sep_Period_2_Tbl[[#This Row],[$ SALARY]],Sep_Period_2_Tbl[[#This Row],[$ Hourly WAGES]]+Sep_Period_2_Tbl[[#This Row],[$ SALARY]])</f>
        <v>0</v>
      </c>
      <c r="Y15" s="128">
        <f>Sep_Period_2_Tbl[[#This Row],[$ FREE PT]]+Sep_Period_2_Tbl[[#This Row],[$ PAID PT]]</f>
        <v>0</v>
      </c>
      <c r="Z15" s="128">
        <f>Sep_Period_2_Tbl[[#This Row],[$ CLASS PAY]]</f>
        <v>0</v>
      </c>
      <c r="AA15" s="128">
        <f>Sep_Period_2_Tbl[[#This Row],[$ EFT COMM]]</f>
        <v>0</v>
      </c>
      <c r="AB15" s="128">
        <f>Sep_Period_2_Tbl[[#This Row],[$ PT COMM]]</f>
        <v>0</v>
      </c>
      <c r="AC15" s="128">
        <f>Sep_Period_2_Tbl[[#This Row],[$ BONUS PAY]]</f>
        <v>0</v>
      </c>
      <c r="AD15" s="128">
        <f>Sep_Period_2_Tbl[[#This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IF(OR(ISBLANK(Sep_Period_2_Tbl[[#This Row],['# HRS WORKED]]),ISBLANK(Sep_Period_2_Tbl[[#This Row],[$ Hourly RATE]])),"",Sep_Period_2_Tbl[[#This Row],['# HRS WORKED]]*Sep_Period_2_Tbl[[#This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IF(Sep_Period_2_Tbl[[#This Row],[$ Hourly WAGES]]="",SUM(Sep_Period_2_Tbl[[#This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PAY]]),SUM(Sep_Period_2_Tbl[[#This Row],[$ Hourly WAGES]]+Sep_Period_2_Tbl[[#This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Sep_Period_2_Tbl[[#This Row],[STAFF:]]</f>
        <v>David Pecinovsky</v>
      </c>
      <c r="X16" s="128">
        <f>IF(Sep_Period_2_Tbl[[#This Row],[$ Hourly WAGES]]="",Sep_Period_2_Tbl[[#This Row],[$ SALARY]],Sep_Period_2_Tbl[[#This Row],[$ Hourly WAGES]]+Sep_Period_2_Tbl[[#This Row],[$ SALARY]])</f>
        <v>0</v>
      </c>
      <c r="Y16" s="128">
        <f>Sep_Period_2_Tbl[[#This Row],[$ FREE PT]]+Sep_Period_2_Tbl[[#This Row],[$ PAID PT]]</f>
        <v>0</v>
      </c>
      <c r="Z16" s="128">
        <f>Sep_Period_2_Tbl[[#This Row],[$ CLASS PAY]]</f>
        <v>0</v>
      </c>
      <c r="AA16" s="128">
        <f>Sep_Period_2_Tbl[[#This Row],[$ EFT COMM]]</f>
        <v>0</v>
      </c>
      <c r="AB16" s="128">
        <f>Sep_Period_2_Tbl[[#This Row],[$ PT COMM]]</f>
        <v>0</v>
      </c>
      <c r="AC16" s="128">
        <f>Sep_Period_2_Tbl[[#This Row],[$ BONUS PAY]]</f>
        <v>0</v>
      </c>
      <c r="AD16" s="128">
        <f>Sep_Period_2_Tbl[[#This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IF(OR(ISBLANK(Sep_Period_2_Tbl[[#This Row],['# HRS WORKED]]),ISBLANK(Sep_Period_2_Tbl[[#This Row],[$ Hourly RATE]])),"",Sep_Period_2_Tbl[[#This Row],['# HRS WORKED]]*Sep_Period_2_Tbl[[#This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IF(Sep_Period_2_Tbl[[#This Row],[$ Hourly WAGES]]="",SUM(Sep_Period_2_Tbl[[#This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PAY]]),SUM(Sep_Period_2_Tbl[[#This Row],[$ Hourly WAGES]]+Sep_Period_2_Tbl[[#This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Sep_Period_2_Tbl[[#This Row],[STAFF:]]</f>
        <v>Justin Stead</v>
      </c>
      <c r="X17" s="128">
        <f>IF(Sep_Period_2_Tbl[[#This Row],[$ Hourly WAGES]]="",Sep_Period_2_Tbl[[#This Row],[$ SALARY]],Sep_Period_2_Tbl[[#This Row],[$ Hourly WAGES]]+Sep_Period_2_Tbl[[#This Row],[$ SALARY]])</f>
        <v>0</v>
      </c>
      <c r="Y17" s="128">
        <f>Sep_Period_2_Tbl[[#This Row],[$ FREE PT]]+Sep_Period_2_Tbl[[#This Row],[$ PAID PT]]</f>
        <v>0</v>
      </c>
      <c r="Z17" s="128">
        <f>Sep_Period_2_Tbl[[#This Row],[$ CLASS PAY]]</f>
        <v>0</v>
      </c>
      <c r="AA17" s="128">
        <f>Sep_Period_2_Tbl[[#This Row],[$ EFT COMM]]</f>
        <v>0</v>
      </c>
      <c r="AB17" s="128">
        <f>Sep_Period_2_Tbl[[#This Row],[$ PT COMM]]</f>
        <v>0</v>
      </c>
      <c r="AC17" s="128">
        <f>Sep_Period_2_Tbl[[#This Row],[$ BONUS PAY]]</f>
        <v>0</v>
      </c>
      <c r="AD17" s="128">
        <f>Sep_Period_2_Tbl[[#This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IF(OR(ISBLANK(Sep_Period_2_Tbl[[#This Row],['# HRS WORKED]]),ISBLANK(Sep_Period_2_Tbl[[#This Row],[$ Hourly RATE]])),"",Sep_Period_2_Tbl[[#This Row],['# HRS WORKED]]*Sep_Period_2_Tbl[[#This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IF(Sep_Period_2_Tbl[[#This Row],[$ Hourly WAGES]]="",SUM(Sep_Period_2_Tbl[[#This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PAY]]),SUM(Sep_Period_2_Tbl[[#This Row],[$ Hourly WAGES]]+Sep_Period_2_Tbl[[#This Row],[$ SALARY]]+Sep_Period_2_Tbl[[#This Row],[$ FREE PT]]+Sep_Period_2_Tbl[[#This Row],[$ PAID PT]]+Sep_Period_2_Tbl[[#This Row],[$ PT COMM]]+Sep_Period_2_Tbl[[#This Row],[$ EFT COMM]]+Sep_Period_2_Tbl[[#This Row],[$ CLASS PAY]]+Sep_Period_2_Tbl[[#This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Sep_Period_2_Tbl[[#This Row],[STAFF:]]</f>
        <v>Georgine Diolamou</v>
      </c>
      <c r="X18" s="128">
        <f>IF(Sep_Period_2_Tbl[[#This Row],[$ Hourly WAGES]]="",Sep_Period_2_Tbl[[#This Row],[$ SALARY]],Sep_Period_2_Tbl[[#This Row],[$ Hourly WAGES]]+Sep_Period_2_Tbl[[#This Row],[$ SALARY]])</f>
        <v>0</v>
      </c>
      <c r="Y18" s="128">
        <f>Sep_Period_2_Tbl[[#This Row],[$ FREE PT]]+Sep_Period_2_Tbl[[#This Row],[$ PAID PT]]</f>
        <v>0</v>
      </c>
      <c r="Z18" s="128">
        <f>Sep_Period_2_Tbl[[#This Row],[$ CLASS PAY]]</f>
        <v>0</v>
      </c>
      <c r="AA18" s="128">
        <f>Sep_Period_2_Tbl[[#This Row],[$ EFT COMM]]</f>
        <v>0</v>
      </c>
      <c r="AB18" s="128">
        <f>Sep_Period_2_Tbl[[#This Row],[$ PT COMM]]</f>
        <v>0</v>
      </c>
      <c r="AC18" s="128">
        <f>Sep_Period_2_Tbl[[#This Row],[$ BONUS PAY]]</f>
        <v>0</v>
      </c>
      <c r="AD18" s="128">
        <f>Sep_Period_2_Tbl[[#This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SUBTOTAL(109,Sep_Period_2_Tbl['# PTO USED])</f>
        <v>0</v>
      </c>
      <c r="D19" s="79">
        <f>SUBTOTAL(109,Sep_Period_2_Tbl['# PTO Holiday])</f>
        <v>0</v>
      </c>
      <c r="E19" s="80">
        <f>SUBTOTAL(109,Sep_Period_2_Tbl['# HRS WORKED])</f>
        <v>0</v>
      </c>
      <c r="F19" s="97">
        <f>SUBTOTAL(109,Sep_Period_2_Tbl[$ Hourly RATE])</f>
        <v>0</v>
      </c>
      <c r="G19" s="97">
        <f>SUBTOTAL(109,Sep_Period_2_Tbl[$ Hourly WAGES])</f>
        <v>0</v>
      </c>
      <c r="H19" s="97">
        <f>SUBTOTAL(109,Sep_Period_2_Tbl[$ SALARY])</f>
        <v>0</v>
      </c>
      <c r="I19" s="97">
        <f>SUBTOTAL(109,Sep_Period_2_Tbl[$ SALARY PT])</f>
        <v>0</v>
      </c>
      <c r="J19" s="97">
        <f>SUBTOTAL(109,Sep_Period_2_Tbl[$ FREE PT])</f>
        <v>0</v>
      </c>
      <c r="K19" s="97">
        <f>SUBTOTAL(109,Sep_Period_2_Tbl[$ PAID PT])</f>
        <v>0</v>
      </c>
      <c r="L19" s="97">
        <f>SUBTOTAL(109,Sep_Period_2_Tbl[$ PT COMM])</f>
        <v>0</v>
      </c>
      <c r="M19" s="98">
        <f>SUBTOTAL(109,Sep_Period_2_Tbl[$ EFT COMM])</f>
        <v>0</v>
      </c>
      <c r="N19" s="98">
        <f>SUBTOTAL(109,Sep_Period_2_Tbl[$ CLASS PAY])</f>
        <v>0</v>
      </c>
      <c r="O19" s="99">
        <f>SUBTOTAL(109,Sep_Period_2_Tbl[$ BONUS PAY])</f>
        <v>0</v>
      </c>
      <c r="P19" s="100">
        <f>SUBTOTAL(109,Sep_Period_2_Tbl[TOTAL PAY])</f>
        <v>0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SUBTOTAL(109,Sep_Period_2_Tbl[$ REGULAR WAGES])</f>
        <v>0</v>
      </c>
      <c r="Y19" s="128">
        <f>SUBTOTAL(109,Sep_Period_2_Tbl[$ PERSONAL TRAINING])</f>
        <v>0</v>
      </c>
      <c r="Z19" s="128">
        <f>SUBTOTAL(109,Sep_Period_2_Tbl[$ CLASSES])</f>
        <v>0</v>
      </c>
      <c r="AA19" s="128">
        <f>SUBTOTAL(109,Sep_Period_2_Tbl[$ EFT COMMISSION])</f>
        <v>0</v>
      </c>
      <c r="AB19" s="128">
        <f>SUBTOTAL(109,Sep_Period_2_Tbl[$ PT COMMISSION])</f>
        <v>0</v>
      </c>
      <c r="AC19" s="128">
        <f>SUBTOTAL(109,Sep_Period_2_Tbl[BONUS])</f>
        <v>0</v>
      </c>
      <c r="AD19" s="128">
        <f>SUBTOTAL(109,Sep_Period_2_Tbl[TOTAL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WAGES]]+Aug_Period_2_Tbl[[#Totals],[$ REGULAR WAGES]]+Sep_Period_1_Tbl[[#Totals],[$ REGULAR WAGES]]+Sep_Period_2_Tbl[[#Totals],[$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TRAINING]]+Aug_Period_2_Tbl[[#Totals],[$ PERSONAL TRAINING]]+Sep_Period_1_Tbl[[#Totals],[$ PERSONAL TRAINING]]+Sep_Period_2_Tbl[[#Totals],[$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CLASSES]]+Aug_Period_2_Tbl[[#Totals],[$ CLASSES]]+Sep_Period_1_Tbl[[#Totals],[$ CLASSES]]+Sep_Period_2_Tbl[[#Totals],[$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COMMISSION]]+Aug_Period_2_Tbl[[#Totals],[$ EFT COMMISSION]]+Sep_Period_1_Tbl[[#Totals],[$ EFT COMMISSION]]+Sep_Period_2_Tbl[[#Totals],[$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COMMISSION]]+Aug_Period_2_Tbl[[#Totals],[$ PT COMMISSION]]+Sep_Period_1_Tbl[[#Totals],[$ PT COMMISSION]]+Sep_Period_2_Tbl[[#Totals],[$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+Aug_Period_2_Tbl[[#Totals],[BONUS]]+Sep_Period_1_Tbl[[#Totals],[BONUS]]+Sep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PAY]]+Aug_Period_2_Tbl[[#Totals],[TOTAL
PAY]]+Sep_Period_1_Tbl[[#Totals],[TOTAL
PAY]]+Sep_Period_2_Tbl[[#Totals],[TOTAL
PAY]]</f>
        <v>18370.86</v>
      </c>
    </row>
  </sheetData>
  <sheetProtection algorithmName="SHA-512" hashValue="832jRirUWshZpb9XvHfoaWM12i08lqA1L5LPNTv1mrtOIp6iHlpXG6ZACg9hfNzRB2j4xp2In/saA2Ob84rkuw==" saltValue="uJVh0hkD/pxcV/hEjwltZg==" spinCount="100000" sheet="1" objects="1" scenarios="1"/>
  <mergeCells count="1">
    <mergeCell ref="A1:P1"/>
  </mergeCell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10_Oct2017"/>
  <dimension ref="A1:AD20"/>
  <sheetViews>
    <sheetView showGridLines="0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7109375" style="29" customWidth="1"/>
    <col min="30" max="30" width="8.7109375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Summary!D86</f>
        <v>43009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IF(OR(ISBLANK(Oct_Period_1_Tbl[[#This Row],['# HRS WORKED]]),ISBLANK(Oct_Period_1_Tbl[[#This Row],[$ Hourly RATE]])),"",Oct_Period_1_Tbl[[#This Row],['# HRS WORKED]]*Oct_Period_1_Tbl[[#This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IF(Oct_Period_1_Tbl[[#This Row],[$ Hourly WAGES]]="",SUM(Oct_Period_1_Tbl[[#This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PAY]]),SUM(Oct_Period_1_Tbl[[#This Row],[$ Hourly WAGES]]+Oct_Period_1_Tbl[[#This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PAY]]))</f>
        <v>0</v>
      </c>
      <c r="Q6" s="115"/>
      <c r="R6" s="135"/>
      <c r="S6" s="135"/>
      <c r="T6" s="135"/>
      <c r="U6" s="135"/>
      <c r="V6" s="120"/>
      <c r="W6" s="127" t="str">
        <f>Oct_Period_1_Tbl[[#This Row],[STAFF:]]</f>
        <v>Roxy Ayala</v>
      </c>
      <c r="X6" s="128">
        <f>IF(Oct_Period_1_Tbl[[#This Row],[$ Hourly WAGES]]="",Oct_Period_1_Tbl[[#This Row],[$ SALARY]],Oct_Period_1_Tbl[[#This Row],[$ Hourly WAGES]]+Oct_Period_1_Tbl[[#This Row],[$ SALARY]])</f>
        <v>0</v>
      </c>
      <c r="Y6" s="128">
        <f>Oct_Period_1_Tbl[[#This Row],[$ FREE PT]]+Oct_Period_1_Tbl[[#This Row],[$ PAID PT]]</f>
        <v>0</v>
      </c>
      <c r="Z6" s="128">
        <f>Oct_Period_1_Tbl[[#This Row],[$ CLASS PAY]]</f>
        <v>0</v>
      </c>
      <c r="AA6" s="128">
        <f>Oct_Period_1_Tbl[[#This Row],[$ EFT COMM]]</f>
        <v>0</v>
      </c>
      <c r="AB6" s="128">
        <f>Oct_Period_1_Tbl[[#This Row],[$ PT COMM]]</f>
        <v>0</v>
      </c>
      <c r="AC6" s="128">
        <f>Oct_Period_1_Tbl[[#This Row],[$ BONUS PAY]]</f>
        <v>0</v>
      </c>
      <c r="AD6" s="128">
        <f>Oct_Period_1_Tbl[[#This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IF(OR(ISBLANK(Oct_Period_1_Tbl[[#This Row],['# HRS WORKED]]),ISBLANK(Oct_Period_1_Tbl[[#This Row],[$ Hourly RATE]])),"",Oct_Period_1_Tbl[[#This Row],['# HRS WORKED]]*Oct_Period_1_Tbl[[#This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IF(Oct_Period_1_Tbl[[#This Row],[$ Hourly WAGES]]="",SUM(Oct_Period_1_Tbl[[#This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PAY]]),SUM(Oct_Period_1_Tbl[[#This Row],[$ Hourly WAGES]]+Oct_Period_1_Tbl[[#This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PAY]]))</f>
        <v>0</v>
      </c>
      <c r="Q7" s="115"/>
      <c r="R7" s="135"/>
      <c r="S7" s="135"/>
      <c r="T7" s="135"/>
      <c r="U7" s="135"/>
      <c r="V7" s="120"/>
      <c r="W7" s="127" t="str">
        <f>Oct_Period_1_Tbl[[#This Row],[STAFF:]]</f>
        <v>David Pecinovsky</v>
      </c>
      <c r="X7" s="128">
        <f>IF(Oct_Period_1_Tbl[[#This Row],[$ Hourly WAGES]]="",Oct_Period_1_Tbl[[#This Row],[$ SALARY]],Oct_Period_1_Tbl[[#This Row],[$ Hourly WAGES]]+Oct_Period_1_Tbl[[#This Row],[$ SALARY]])</f>
        <v>0</v>
      </c>
      <c r="Y7" s="128">
        <f>Oct_Period_1_Tbl[[#This Row],[$ FREE PT]]+Oct_Period_1_Tbl[[#This Row],[$ PAID PT]]</f>
        <v>0</v>
      </c>
      <c r="Z7" s="128">
        <f>Oct_Period_1_Tbl[[#This Row],[$ CLASS PAY]]</f>
        <v>0</v>
      </c>
      <c r="AA7" s="128">
        <f>Oct_Period_1_Tbl[[#This Row],[$ EFT COMM]]</f>
        <v>0</v>
      </c>
      <c r="AB7" s="128">
        <f>Oct_Period_1_Tbl[[#This Row],[$ PT COMM]]</f>
        <v>0</v>
      </c>
      <c r="AC7" s="128">
        <f>Oct_Period_1_Tbl[[#This Row],[$ BONUS PAY]]</f>
        <v>0</v>
      </c>
      <c r="AD7" s="128">
        <f>Oct_Period_1_Tbl[[#This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IF(OR(ISBLANK(Oct_Period_1_Tbl[[#This Row],['# HRS WORKED]]),ISBLANK(Oct_Period_1_Tbl[[#This Row],[$ Hourly RATE]])),"",Oct_Period_1_Tbl[[#This Row],['# HRS WORKED]]*Oct_Period_1_Tbl[[#This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IF(Oct_Period_1_Tbl[[#This Row],[$ Hourly WAGES]]="",SUM(Oct_Period_1_Tbl[[#This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PAY]]),SUM(Oct_Period_1_Tbl[[#This Row],[$ Hourly WAGES]]+Oct_Period_1_Tbl[[#This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PAY]]))</f>
        <v>0</v>
      </c>
      <c r="Q8" s="115"/>
      <c r="R8" s="135"/>
      <c r="S8" s="135"/>
      <c r="T8" s="135"/>
      <c r="U8" s="135"/>
      <c r="V8" s="120"/>
      <c r="W8" s="127" t="str">
        <f>Oct_Period_1_Tbl[[#This Row],[STAFF:]]</f>
        <v>Justin Stead</v>
      </c>
      <c r="X8" s="128">
        <f>IF(Oct_Period_1_Tbl[[#This Row],[$ Hourly WAGES]]="",Oct_Period_1_Tbl[[#This Row],[$ SALARY]],Oct_Period_1_Tbl[[#This Row],[$ Hourly WAGES]]+Oct_Period_1_Tbl[[#This Row],[$ SALARY]])</f>
        <v>0</v>
      </c>
      <c r="Y8" s="128">
        <f>Oct_Period_1_Tbl[[#This Row],[$ FREE PT]]+Oct_Period_1_Tbl[[#This Row],[$ PAID PT]]</f>
        <v>0</v>
      </c>
      <c r="Z8" s="128">
        <f>Oct_Period_1_Tbl[[#This Row],[$ CLASS PAY]]</f>
        <v>0</v>
      </c>
      <c r="AA8" s="128">
        <f>Oct_Period_1_Tbl[[#This Row],[$ EFT COMM]]</f>
        <v>0</v>
      </c>
      <c r="AB8" s="128">
        <f>Oct_Period_1_Tbl[[#This Row],[$ PT COMM]]</f>
        <v>0</v>
      </c>
      <c r="AC8" s="128">
        <f>Oct_Period_1_Tbl[[#This Row],[$ BONUS PAY]]</f>
        <v>0</v>
      </c>
      <c r="AD8" s="128">
        <f>Oct_Period_1_Tbl[[#This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IF(OR(ISBLANK(Oct_Period_1_Tbl[[#This Row],['# HRS WORKED]]),ISBLANK(Oct_Period_1_Tbl[[#This Row],[$ Hourly RATE]])),"",Oct_Period_1_Tbl[[#This Row],['# HRS WORKED]]*Oct_Period_1_Tbl[[#This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IF(Oct_Period_1_Tbl[[#This Row],[$ Hourly WAGES]]="",SUM(Oct_Period_1_Tbl[[#This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PAY]]),SUM(Oct_Period_1_Tbl[[#This Row],[$ Hourly WAGES]]+Oct_Period_1_Tbl[[#This Row],[$ SALARY]]+Oct_Period_1_Tbl[[#This Row],[$ FREE PT]]+Oct_Period_1_Tbl[[#This Row],[$ PAID PT]]+Oct_Period_1_Tbl[[#This Row],[$ PT COMM]]+Oct_Period_1_Tbl[[#This Row],[$ EFT COMM]]+Oct_Period_1_Tbl[[#This Row],[$ CLASS PAY]]+Oct_Period_1_Tbl[[#This Row],[$ BONUS PAY]]))</f>
        <v>0</v>
      </c>
      <c r="Q9" s="115"/>
      <c r="R9" s="135"/>
      <c r="S9" s="135"/>
      <c r="T9" s="135"/>
      <c r="U9" s="135"/>
      <c r="V9" s="120"/>
      <c r="W9" s="127" t="str">
        <f>Oct_Period_1_Tbl[[#This Row],[STAFF:]]</f>
        <v>Georgine Diolamou</v>
      </c>
      <c r="X9" s="128">
        <f>IF(Oct_Period_1_Tbl[[#This Row],[$ Hourly WAGES]]="",Oct_Period_1_Tbl[[#This Row],[$ SALARY]],Oct_Period_1_Tbl[[#This Row],[$ Hourly WAGES]]+Oct_Period_1_Tbl[[#This Row],[$ SALARY]])</f>
        <v>0</v>
      </c>
      <c r="Y9" s="128">
        <f>Oct_Period_1_Tbl[[#This Row],[$ FREE PT]]+Oct_Period_1_Tbl[[#This Row],[$ PAID PT]]</f>
        <v>0</v>
      </c>
      <c r="Z9" s="128">
        <f>Oct_Period_1_Tbl[[#This Row],[$ CLASS PAY]]</f>
        <v>0</v>
      </c>
      <c r="AA9" s="128">
        <f>Oct_Period_1_Tbl[[#This Row],[$ EFT COMM]]</f>
        <v>0</v>
      </c>
      <c r="AB9" s="128">
        <f>Oct_Period_1_Tbl[[#This Row],[$ PT COMM]]</f>
        <v>0</v>
      </c>
      <c r="AC9" s="128">
        <f>Oct_Period_1_Tbl[[#This Row],[$ BONUS PAY]]</f>
        <v>0</v>
      </c>
      <c r="AD9" s="128">
        <f>Oct_Period_1_Tbl[[#This Row],[TOTAL PAY]]</f>
        <v>0</v>
      </c>
    </row>
    <row r="10" spans="1:30" ht="15.75" thickBot="1" x14ac:dyDescent="0.3">
      <c r="A10" s="21" t="s">
        <v>58</v>
      </c>
      <c r="B10" s="22"/>
      <c r="C10" s="79">
        <f>SUBTOTAL(109,Oct_Period_1_Tbl['# PTO USED])</f>
        <v>0</v>
      </c>
      <c r="D10" s="79">
        <f>SUBTOTAL(109,Oct_Period_1_Tbl['# PTO Holiday])</f>
        <v>0</v>
      </c>
      <c r="E10" s="80">
        <f>SUBTOTAL(109,Oct_Period_1_Tbl['# HRS WORKED])</f>
        <v>0</v>
      </c>
      <c r="F10" s="97">
        <f>SUBTOTAL(109,Oct_Period_1_Tbl[$ Hourly RATE])</f>
        <v>0</v>
      </c>
      <c r="G10" s="97">
        <f>SUBTOTAL(109,Oct_Period_1_Tbl[$ Hourly WAGES])</f>
        <v>0</v>
      </c>
      <c r="H10" s="97">
        <f>SUBTOTAL(109,Oct_Period_1_Tbl[$ SALARY])</f>
        <v>0</v>
      </c>
      <c r="I10" s="97">
        <f>SUBTOTAL(109,Oct_Period_1_Tbl[$ SALARY PT])</f>
        <v>0</v>
      </c>
      <c r="J10" s="97">
        <f>SUBTOTAL(109,Oct_Period_1_Tbl[$ FREE PT])</f>
        <v>0</v>
      </c>
      <c r="K10" s="97">
        <f>SUBTOTAL(109,Oct_Period_1_Tbl[$ PAID PT])</f>
        <v>0</v>
      </c>
      <c r="L10" s="97">
        <f>SUBTOTAL(109,Oct_Period_1_Tbl[$ PT COMM])</f>
        <v>0</v>
      </c>
      <c r="M10" s="98">
        <f>SUBTOTAL(109,Oct_Period_1_Tbl[$ EFT COMM])</f>
        <v>0</v>
      </c>
      <c r="N10" s="98">
        <f>SUBTOTAL(109,Oct_Period_1_Tbl[$ CLASS PAY])</f>
        <v>0</v>
      </c>
      <c r="O10" s="99">
        <f>SUBTOTAL(109,Oct_Period_1_Tbl[$ BONUS PAY])</f>
        <v>0</v>
      </c>
      <c r="P10" s="100">
        <f>SUBTOTAL(109,Oct_Period_1_Tbl[TOTAL PAY])</f>
        <v>0</v>
      </c>
      <c r="Q10"/>
      <c r="R10" s="121">
        <f>SUBTOTAL(109,Dec_Period_1_Tbl['# POINTS EARNED])</f>
        <v>0</v>
      </c>
      <c r="S10" s="121">
        <f>SUBTOTAL(109,Dec_Period_1_Tbl['# POINTS USED])</f>
        <v>0</v>
      </c>
      <c r="T10" s="121">
        <f>SUBTOTAL(109,Dec_Period_1_Tbl['# CLASSES LEAD])</f>
        <v>0</v>
      </c>
      <c r="U10" s="121">
        <f>SUBTOTAL(109,Dec_Period_1_Tbl['# CLASSES SHOW])</f>
        <v>0</v>
      </c>
      <c r="V10" s="123"/>
      <c r="W10" s="129" t="s">
        <v>105</v>
      </c>
      <c r="X10" s="128">
        <f>SUBTOTAL(109,Oct_Period_1_Tbl[$ REGULAR WAGES])</f>
        <v>0</v>
      </c>
      <c r="Y10" s="128">
        <f>SUBTOTAL(109,Oct_Period_1_Tbl[$ PERSONAL TRAINING])</f>
        <v>0</v>
      </c>
      <c r="Z10" s="128">
        <f>SUBTOTAL(109,Oct_Period_1_Tbl[$ CLASSES])</f>
        <v>0</v>
      </c>
      <c r="AA10" s="128">
        <f>SUBTOTAL(109,Oct_Period_1_Tbl[$ EFT COMMISSION])</f>
        <v>0</v>
      </c>
      <c r="AB10" s="128">
        <f>SUBTOTAL(109,Oct_Period_1_Tbl[$ PT COMMISSION])</f>
        <v>0</v>
      </c>
      <c r="AC10" s="128">
        <f>SUBTOTAL(109,Oct_Period_1_Tbl[BONUS])</f>
        <v>0</v>
      </c>
      <c r="AD10" s="128">
        <f>SUBTOTAL(109,Oct_Period_1_Tbl[TOTAL
PAY])</f>
        <v>0</v>
      </c>
    </row>
    <row r="11" spans="1:30" s="30" customFormat="1" ht="15.75" thickTop="1" x14ac:dyDescent="0.25">
      <c r="A11" s="61"/>
      <c r="B11" s="62"/>
      <c r="C11" s="63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WAGES]]+Aug_Period_2_Tbl[[#Totals],[$ REGULAR WAGES]]+Sep_Period_1_Tbl[[#Totals],[$ REGULAR WAGES]]+Sep_Period_2_Tbl[[#Totals],[$ REGULAR WAGES]]+Oct_Period_1_Tbl[[#Totals],[$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TRAINING]]+Aug_Period_2_Tbl[[#Totals],[$ PERSONAL TRAINING]]+Sep_Period_1_Tbl[[#Totals],[$ PERSONAL TRAINING]]+Sep_Period_2_Tbl[[#Totals],[$ PERSONAL TRAINING]]+Oct_Period_1_Tbl[[#Totals],[$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CLASSES]]+Aug_Period_2_Tbl[[#Totals],[$ CLASSES]]+Sep_Period_1_Tbl[[#Totals],[$ CLASSES]]+Sep_Period_2_Tbl[[#Totals],[$ CLASSES]]+Oct_Period_1_Tbl[[#Totals],[$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COMMISSION]]+Aug_Period_2_Tbl[[#Totals],[$ EFT COMMISSION]]+Sep_Period_1_Tbl[[#Totals],[$ EFT COMMISSION]]+Sep_Period_2_Tbl[[#Totals],[$ EFT COMMISSION]]+Oct_Period_1_Tbl[[#Totals],[$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COMMISSION]]+Aug_Period_2_Tbl[[#Totals],[$ PT COMMISSION]]+Sep_Period_1_Tbl[[#Totals],[$ PT COMMISSION]]+Sep_Period_2_Tbl[[#Totals],[$ PT COMMISSION]]+Oct_Period_1_Tbl[[#Totals],[$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+Aug_Period_2_Tbl[[#Totals],[BONUS]]+Sep_Period_1_Tbl[[#Totals],[BONUS]]+Sep_Period_2_Tbl[[#Totals],[BONUS]]+Oct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PAY]]+Aug_Period_2_Tbl[[#Totals],[TOTAL
PAY]]+Sep_Period_1_Tbl[[#Totals],[TOTAL
PAY]]+Sep_Period_2_Tbl[[#Totals],[TOTAL
PAY]]+Oct_Period_1_Tbl[[#Totals],[TOTAL
PAY]]</f>
        <v>18370.86</v>
      </c>
    </row>
    <row r="12" spans="1:30" s="30" customFormat="1" ht="12.75" x14ac:dyDescent="0.2">
      <c r="A12" s="88" t="s">
        <v>84</v>
      </c>
      <c r="B12" s="67">
        <f>Summary!D87</f>
        <v>43023</v>
      </c>
      <c r="C12" s="68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68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IF(OR(ISBLANK(Oct_Period_2_Tbl[[#This Row],['# HRS WORKED]]),ISBLANK(Oct_Period_2_Tbl[[#This Row],[$ Hourly RATE]])),"",Oct_Period_2_Tbl[[#This Row],['# HRS WORKED]]*Oct_Period_2_Tbl[[#This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IF(Oct_Period_2_Tbl[[#This Row],[$ Hourly WAGES]]="",SUM(Oct_Period_2_Tbl[[#This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PAY]]),SUM(Oct_Period_2_Tbl[[#This Row],[$ Hourly WAGES]]+Oct_Period_2_Tbl[[#This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Oct_Period_2_Tbl[[#This Row],[STAFF:]]</f>
        <v>Roxy Ayala</v>
      </c>
      <c r="X15" s="128">
        <f>IF(Oct_Period_2_Tbl[[#This Row],[$ Hourly WAGES]]="",Oct_Period_2_Tbl[[#This Row],[$ SALARY]],Oct_Period_2_Tbl[[#This Row],[$ Hourly WAGES]]+Oct_Period_2_Tbl[[#This Row],[$ SALARY]])</f>
        <v>0</v>
      </c>
      <c r="Y15" s="128">
        <f>Oct_Period_2_Tbl[[#This Row],[$ FREE PT]]+Oct_Period_2_Tbl[[#This Row],[$ PAID PT]]</f>
        <v>0</v>
      </c>
      <c r="Z15" s="128">
        <f>Oct_Period_2_Tbl[[#This Row],[$ CLASS PAY]]</f>
        <v>0</v>
      </c>
      <c r="AA15" s="128">
        <f>Oct_Period_2_Tbl[[#This Row],[$ EFT COMM]]</f>
        <v>0</v>
      </c>
      <c r="AB15" s="128">
        <f>Oct_Period_2_Tbl[[#This Row],[$ PT COMM]]</f>
        <v>0</v>
      </c>
      <c r="AC15" s="128">
        <f>Oct_Period_2_Tbl[[#This Row],[$ BONUS PAY]]</f>
        <v>0</v>
      </c>
      <c r="AD15" s="128">
        <f>Oct_Period_2_Tbl[[#This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IF(OR(ISBLANK(Oct_Period_2_Tbl[[#This Row],['# HRS WORKED]]),ISBLANK(Oct_Period_2_Tbl[[#This Row],[$ Hourly RATE]])),"",Oct_Period_2_Tbl[[#This Row],['# HRS WORKED]]*Oct_Period_2_Tbl[[#This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IF(Oct_Period_2_Tbl[[#This Row],[$ Hourly WAGES]]="",SUM(Oct_Period_2_Tbl[[#This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PAY]]),SUM(Oct_Period_2_Tbl[[#This Row],[$ Hourly WAGES]]+Oct_Period_2_Tbl[[#This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Oct_Period_2_Tbl[[#This Row],[STAFF:]]</f>
        <v>David Pecinovsky</v>
      </c>
      <c r="X16" s="128">
        <f>IF(Oct_Period_2_Tbl[[#This Row],[$ Hourly WAGES]]="",Oct_Period_2_Tbl[[#This Row],[$ SALARY]],Oct_Period_2_Tbl[[#This Row],[$ Hourly WAGES]]+Oct_Period_2_Tbl[[#This Row],[$ SALARY]])</f>
        <v>0</v>
      </c>
      <c r="Y16" s="128">
        <f>Oct_Period_2_Tbl[[#This Row],[$ FREE PT]]+Oct_Period_2_Tbl[[#This Row],[$ PAID PT]]</f>
        <v>0</v>
      </c>
      <c r="Z16" s="128">
        <f>Oct_Period_2_Tbl[[#This Row],[$ CLASS PAY]]</f>
        <v>0</v>
      </c>
      <c r="AA16" s="128">
        <f>Oct_Period_2_Tbl[[#This Row],[$ EFT COMM]]</f>
        <v>0</v>
      </c>
      <c r="AB16" s="128">
        <f>Oct_Period_2_Tbl[[#This Row],[$ PT COMM]]</f>
        <v>0</v>
      </c>
      <c r="AC16" s="128">
        <f>Oct_Period_2_Tbl[[#This Row],[$ BONUS PAY]]</f>
        <v>0</v>
      </c>
      <c r="AD16" s="128">
        <f>Oct_Period_2_Tbl[[#This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IF(OR(ISBLANK(Oct_Period_2_Tbl[[#This Row],['# HRS WORKED]]),ISBLANK(Oct_Period_2_Tbl[[#This Row],[$ Hourly RATE]])),"",Oct_Period_2_Tbl[[#This Row],['# HRS WORKED]]*Oct_Period_2_Tbl[[#This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IF(Oct_Period_2_Tbl[[#This Row],[$ Hourly WAGES]]="",SUM(Oct_Period_2_Tbl[[#This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PAY]]),SUM(Oct_Period_2_Tbl[[#This Row],[$ Hourly WAGES]]+Oct_Period_2_Tbl[[#This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Oct_Period_2_Tbl[[#This Row],[STAFF:]]</f>
        <v>Justin Stead</v>
      </c>
      <c r="X17" s="128">
        <f>IF(Oct_Period_2_Tbl[[#This Row],[$ Hourly WAGES]]="",Oct_Period_2_Tbl[[#This Row],[$ SALARY]],Oct_Period_2_Tbl[[#This Row],[$ Hourly WAGES]]+Oct_Period_2_Tbl[[#This Row],[$ SALARY]])</f>
        <v>0</v>
      </c>
      <c r="Y17" s="128">
        <f>Oct_Period_2_Tbl[[#This Row],[$ FREE PT]]+Oct_Period_2_Tbl[[#This Row],[$ PAID PT]]</f>
        <v>0</v>
      </c>
      <c r="Z17" s="128">
        <f>Oct_Period_2_Tbl[[#This Row],[$ CLASS PAY]]</f>
        <v>0</v>
      </c>
      <c r="AA17" s="128">
        <f>Oct_Period_2_Tbl[[#This Row],[$ EFT COMM]]</f>
        <v>0</v>
      </c>
      <c r="AB17" s="128">
        <f>Oct_Period_2_Tbl[[#This Row],[$ PT COMM]]</f>
        <v>0</v>
      </c>
      <c r="AC17" s="128">
        <f>Oct_Period_2_Tbl[[#This Row],[$ BONUS PAY]]</f>
        <v>0</v>
      </c>
      <c r="AD17" s="128">
        <f>Oct_Period_2_Tbl[[#This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IF(OR(ISBLANK(Oct_Period_2_Tbl[[#This Row],['# HRS WORKED]]),ISBLANK(Oct_Period_2_Tbl[[#This Row],[$ Hourly RATE]])),"",Oct_Period_2_Tbl[[#This Row],['# HRS WORKED]]*Oct_Period_2_Tbl[[#This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IF(Oct_Period_2_Tbl[[#This Row],[$ Hourly WAGES]]="",SUM(Oct_Period_2_Tbl[[#This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PAY]]),SUM(Oct_Period_2_Tbl[[#This Row],[$ Hourly WAGES]]+Oct_Period_2_Tbl[[#This Row],[$ SALARY]]+Oct_Period_2_Tbl[[#This Row],[$ FREE PT]]+Oct_Period_2_Tbl[[#This Row],[$ PAID PT]]+Oct_Period_2_Tbl[[#This Row],[$ PT COMM]]+Oct_Period_2_Tbl[[#This Row],[$ EFT COMM]]+Oct_Period_2_Tbl[[#This Row],[$ CLASS PAY]]+Oct_Period_2_Tbl[[#This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Oct_Period_2_Tbl[[#This Row],[STAFF:]]</f>
        <v>Georgine Diolamou</v>
      </c>
      <c r="X18" s="128">
        <f>IF(Oct_Period_2_Tbl[[#This Row],[$ Hourly WAGES]]="",Oct_Period_2_Tbl[[#This Row],[$ SALARY]],Oct_Period_2_Tbl[[#This Row],[$ Hourly WAGES]]+Oct_Period_2_Tbl[[#This Row],[$ SALARY]])</f>
        <v>0</v>
      </c>
      <c r="Y18" s="128">
        <f>Oct_Period_2_Tbl[[#This Row],[$ FREE PT]]+Oct_Period_2_Tbl[[#This Row],[$ PAID PT]]</f>
        <v>0</v>
      </c>
      <c r="Z18" s="128">
        <f>Oct_Period_2_Tbl[[#This Row],[$ CLASS PAY]]</f>
        <v>0</v>
      </c>
      <c r="AA18" s="128">
        <f>Oct_Period_2_Tbl[[#This Row],[$ EFT COMM]]</f>
        <v>0</v>
      </c>
      <c r="AB18" s="128">
        <f>Oct_Period_2_Tbl[[#This Row],[$ PT COMM]]</f>
        <v>0</v>
      </c>
      <c r="AC18" s="128">
        <f>Oct_Period_2_Tbl[[#This Row],[$ BONUS PAY]]</f>
        <v>0</v>
      </c>
      <c r="AD18" s="128">
        <f>Oct_Period_2_Tbl[[#This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SUBTOTAL(109,Oct_Period_2_Tbl['# PTO USED])</f>
        <v>0</v>
      </c>
      <c r="D19" s="79">
        <f>SUBTOTAL(109,Oct_Period_2_Tbl['# PTO Holiday])</f>
        <v>0</v>
      </c>
      <c r="E19" s="80">
        <f>SUBTOTAL(109,Oct_Period_2_Tbl['# HRS WORKED])</f>
        <v>0</v>
      </c>
      <c r="F19" s="97">
        <f>SUBTOTAL(109,Oct_Period_2_Tbl[$ Hourly RATE])</f>
        <v>0</v>
      </c>
      <c r="G19" s="97">
        <f>SUBTOTAL(109,Oct_Period_2_Tbl[$ Hourly WAGES])</f>
        <v>0</v>
      </c>
      <c r="H19" s="97">
        <f>SUBTOTAL(109,Oct_Period_2_Tbl[$ SALARY])</f>
        <v>0</v>
      </c>
      <c r="I19" s="97">
        <f>SUBTOTAL(109,Oct_Period_2_Tbl[$ SALARY PT])</f>
        <v>0</v>
      </c>
      <c r="J19" s="97">
        <f>SUBTOTAL(109,Oct_Period_2_Tbl[$ FREE PT])</f>
        <v>0</v>
      </c>
      <c r="K19" s="97">
        <f>SUBTOTAL(109,Oct_Period_2_Tbl[$ PAID PT])</f>
        <v>0</v>
      </c>
      <c r="L19" s="97">
        <f>SUBTOTAL(109,Oct_Period_2_Tbl[$ PT COMM])</f>
        <v>0</v>
      </c>
      <c r="M19" s="98">
        <f>SUBTOTAL(109,Oct_Period_2_Tbl[$ EFT COMM])</f>
        <v>0</v>
      </c>
      <c r="N19" s="98">
        <f>SUBTOTAL(109,Oct_Period_2_Tbl[$ CLASS PAY])</f>
        <v>0</v>
      </c>
      <c r="O19" s="99">
        <f>SUBTOTAL(109,Oct_Period_2_Tbl[$ BONUS PAY])</f>
        <v>0</v>
      </c>
      <c r="P19" s="100">
        <f>SUBTOTAL(109,Oct_Period_2_Tbl[TOTAL PAY])</f>
        <v>0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SUBTOTAL(109,Oct_Period_2_Tbl[$ REGULAR WAGES])</f>
        <v>0</v>
      </c>
      <c r="Y19" s="128">
        <f>SUBTOTAL(109,Oct_Period_2_Tbl[$ PERSONAL TRAINING])</f>
        <v>0</v>
      </c>
      <c r="Z19" s="128">
        <f>SUBTOTAL(109,Oct_Period_2_Tbl[$ CLASSES])</f>
        <v>0</v>
      </c>
      <c r="AA19" s="128">
        <f>SUBTOTAL(109,Oct_Period_2_Tbl[$ EFT COMMISSION])</f>
        <v>0</v>
      </c>
      <c r="AB19" s="128">
        <f>SUBTOTAL(109,Oct_Period_2_Tbl[$ PT COMMISSION])</f>
        <v>0</v>
      </c>
      <c r="AC19" s="128">
        <f>SUBTOTAL(109,Oct_Period_2_Tbl[BONUS])</f>
        <v>0</v>
      </c>
      <c r="AD19" s="128">
        <f>SUBTOTAL(109,Oct_Period_2_Tbl[TOTAL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WAGES]]+Aug_Period_2_Tbl[[#Totals],[$ REGULAR WAGES]]+Sep_Period_1_Tbl[[#Totals],[$ REGULAR WAGES]]+Sep_Period_2_Tbl[[#Totals],[$ REGULAR WAGES]]+Oct_Period_1_Tbl[[#Totals],[$ REGULAR WAGES]]+Oct_Period_2_Tbl[[#Totals],[$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TRAINING]]+Aug_Period_2_Tbl[[#Totals],[$ PERSONAL TRAINING]]+Sep_Period_1_Tbl[[#Totals],[$ PERSONAL TRAINING]]+Sep_Period_2_Tbl[[#Totals],[$ PERSONAL TRAINING]]+Oct_Period_1_Tbl[[#Totals],[$ PERSONAL TRAINING]]+Oct_Period_2_Tbl[[#Totals],[$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CLASSES]]+Aug_Period_2_Tbl[[#Totals],[$ CLASSES]]+Sep_Period_1_Tbl[[#Totals],[$ CLASSES]]+Sep_Period_2_Tbl[[#Totals],[$ CLASSES]]+Oct_Period_1_Tbl[[#Totals],[$ CLASSES]]+Oct_Period_2_Tbl[[#Totals],[$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COMMISSION]]+Aug_Period_2_Tbl[[#Totals],[$ EFT COMMISSION]]+Sep_Period_1_Tbl[[#Totals],[$ EFT COMMISSION]]+Sep_Period_2_Tbl[[#Totals],[$ EFT COMMISSION]]+Oct_Period_1_Tbl[[#Totals],[$ EFT COMMISSION]]+Oct_Period_2_Tbl[[#Totals],[$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COMMISSION]]+Aug_Period_2_Tbl[[#Totals],[$ PT COMMISSION]]+Sep_Period_1_Tbl[[#Totals],[$ PT COMMISSION]]+Sep_Period_2_Tbl[[#Totals],[$ PT COMMISSION]]+Oct_Period_1_Tbl[[#Totals],[$ PT COMMISSION]]+Oct_Period_2_Tbl[[#Totals],[$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+Aug_Period_2_Tbl[[#Totals],[BONUS]]+Sep_Period_1_Tbl[[#Totals],[BONUS]]+Sep_Period_2_Tbl[[#Totals],[BONUS]]+Oct_Period_1_Tbl[[#Totals],[BONUS]]+Oct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PAY]]+Aug_Period_2_Tbl[[#Totals],[TOTAL
PAY]]+Sep_Period_1_Tbl[[#Totals],[TOTAL
PAY]]+Sep_Period_2_Tbl[[#Totals],[TOTAL
PAY]]+Oct_Period_1_Tbl[[#Totals],[TOTAL
PAY]]+Oct_Period_2_Tbl[[#Totals],[TOTAL
PAY]]</f>
        <v>18370.86</v>
      </c>
    </row>
  </sheetData>
  <sheetProtection algorithmName="SHA-512" hashValue="vI4TxMC8ipchLGiE2ih43Rg1TEWnHlJDvIPV89VigTdvnJZ3ElENy0T3pFPEuAZis6fShBiGgu7Mr07vXn51JQ==" saltValue="CKCg8+ZXu3bPxhRcqHV3LQ==" spinCount="100000" sheet="1" objects="1" scenarios="1"/>
  <mergeCells count="1">
    <mergeCell ref="A1:P1"/>
  </mergeCell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11_Nov2017"/>
  <dimension ref="A1:AD20"/>
  <sheetViews>
    <sheetView showGridLines="0" workbookViewId="0">
      <selection sqref="A1:P1"/>
    </sheetView>
  </sheetViews>
  <sheetFormatPr defaultColWidth="14.28515625"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29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7109375" style="29" customWidth="1"/>
    <col min="30" max="30" width="8.7109375" style="29" customWidth="1"/>
    <col min="31" max="16384" width="14.28515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Summary!D88</f>
        <v>43040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IF(OR(ISBLANK(Nov_Period_1_Tbl[[#This Row],['# HRS WORKED]]),ISBLANK(Nov_Period_1_Tbl[[#This Row],[$ Hourly RATE]])),"",Nov_Period_1_Tbl[[#This Row],['# HRS WORKED]]*Nov_Period_1_Tbl[[#This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IF(Nov_Period_1_Tbl[[#This Row],[$ Hourly WAGES]]="",SUM(Nov_Period_1_Tbl[[#This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PAY]]),SUM(Nov_Period_1_Tbl[[#This Row],[$ Hourly WAGES]]+Nov_Period_1_Tbl[[#This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PAY]]))</f>
        <v>0</v>
      </c>
      <c r="Q6" s="115"/>
      <c r="R6" s="135"/>
      <c r="S6" s="135"/>
      <c r="T6" s="135"/>
      <c r="U6" s="135"/>
      <c r="V6" s="120"/>
      <c r="W6" s="127" t="str">
        <f>Nov_Period_1_Tbl[[#This Row],[STAFF:]]</f>
        <v>Roxy Ayala</v>
      </c>
      <c r="X6" s="128">
        <f>IF(Nov_Period_1_Tbl[[#This Row],[$ Hourly WAGES]]="",Nov_Period_1_Tbl[[#This Row],[$ SALARY]],Nov_Period_1_Tbl[[#This Row],[$ Hourly WAGES]]+Nov_Period_1_Tbl[[#This Row],[$ SALARY]])</f>
        <v>0</v>
      </c>
      <c r="Y6" s="128">
        <f>Nov_Period_1_Tbl[[#This Row],[$ FREE PT]]+Nov_Period_1_Tbl[[#This Row],[$ PAID PT]]</f>
        <v>0</v>
      </c>
      <c r="Z6" s="128">
        <f>Nov_Period_1_Tbl[[#This Row],[$ CLASS PAY]]</f>
        <v>0</v>
      </c>
      <c r="AA6" s="128">
        <f>Nov_Period_1_Tbl[[#This Row],[$ EFT COMM]]</f>
        <v>0</v>
      </c>
      <c r="AB6" s="128">
        <f>Nov_Period_1_Tbl[[#This Row],[$ PT COMM]]</f>
        <v>0</v>
      </c>
      <c r="AC6" s="128">
        <f>Nov_Period_1_Tbl[[#This Row],[$ BONUS PAY]]</f>
        <v>0</v>
      </c>
      <c r="AD6" s="128">
        <f>Nov_Period_1_Tbl[[#This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IF(OR(ISBLANK(Nov_Period_1_Tbl[[#This Row],['# HRS WORKED]]),ISBLANK(Nov_Period_1_Tbl[[#This Row],[$ Hourly RATE]])),"",Nov_Period_1_Tbl[[#This Row],['# HRS WORKED]]*Nov_Period_1_Tbl[[#This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IF(Nov_Period_1_Tbl[[#This Row],[$ Hourly WAGES]]="",SUM(Nov_Period_1_Tbl[[#This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PAY]]),SUM(Nov_Period_1_Tbl[[#This Row],[$ Hourly WAGES]]+Nov_Period_1_Tbl[[#This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PAY]]))</f>
        <v>0</v>
      </c>
      <c r="Q7" s="115"/>
      <c r="R7" s="135"/>
      <c r="S7" s="135"/>
      <c r="T7" s="135"/>
      <c r="U7" s="135"/>
      <c r="V7" s="120"/>
      <c r="W7" s="127" t="str">
        <f>Nov_Period_1_Tbl[[#This Row],[STAFF:]]</f>
        <v>David Pecinovsky</v>
      </c>
      <c r="X7" s="128">
        <f>IF(Nov_Period_1_Tbl[[#This Row],[$ Hourly WAGES]]="",Nov_Period_1_Tbl[[#This Row],[$ SALARY]],Nov_Period_1_Tbl[[#This Row],[$ Hourly WAGES]]+Nov_Period_1_Tbl[[#This Row],[$ SALARY]])</f>
        <v>0</v>
      </c>
      <c r="Y7" s="128">
        <f>Nov_Period_1_Tbl[[#This Row],[$ FREE PT]]+Nov_Period_1_Tbl[[#This Row],[$ PAID PT]]</f>
        <v>0</v>
      </c>
      <c r="Z7" s="128">
        <f>Nov_Period_1_Tbl[[#This Row],[$ CLASS PAY]]</f>
        <v>0</v>
      </c>
      <c r="AA7" s="128">
        <f>Nov_Period_1_Tbl[[#This Row],[$ EFT COMM]]</f>
        <v>0</v>
      </c>
      <c r="AB7" s="128">
        <f>Nov_Period_1_Tbl[[#This Row],[$ PT COMM]]</f>
        <v>0</v>
      </c>
      <c r="AC7" s="128">
        <f>Nov_Period_1_Tbl[[#This Row],[$ BONUS PAY]]</f>
        <v>0</v>
      </c>
      <c r="AD7" s="128">
        <f>Nov_Period_1_Tbl[[#This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IF(OR(ISBLANK(Nov_Period_1_Tbl[[#This Row],['# HRS WORKED]]),ISBLANK(Nov_Period_1_Tbl[[#This Row],[$ Hourly RATE]])),"",Nov_Period_1_Tbl[[#This Row],['# HRS WORKED]]*Nov_Period_1_Tbl[[#This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IF(Nov_Period_1_Tbl[[#This Row],[$ Hourly WAGES]]="",SUM(Nov_Period_1_Tbl[[#This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PAY]]),SUM(Nov_Period_1_Tbl[[#This Row],[$ Hourly WAGES]]+Nov_Period_1_Tbl[[#This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PAY]]))</f>
        <v>0</v>
      </c>
      <c r="Q8" s="115"/>
      <c r="R8" s="135"/>
      <c r="S8" s="135"/>
      <c r="T8" s="135"/>
      <c r="U8" s="135"/>
      <c r="V8" s="120"/>
      <c r="W8" s="127" t="str">
        <f>Nov_Period_1_Tbl[[#This Row],[STAFF:]]</f>
        <v>Justin Stead</v>
      </c>
      <c r="X8" s="128">
        <f>IF(Nov_Period_1_Tbl[[#This Row],[$ Hourly WAGES]]="",Nov_Period_1_Tbl[[#This Row],[$ SALARY]],Nov_Period_1_Tbl[[#This Row],[$ Hourly WAGES]]+Nov_Period_1_Tbl[[#This Row],[$ SALARY]])</f>
        <v>0</v>
      </c>
      <c r="Y8" s="128">
        <f>Nov_Period_1_Tbl[[#This Row],[$ FREE PT]]+Nov_Period_1_Tbl[[#This Row],[$ PAID PT]]</f>
        <v>0</v>
      </c>
      <c r="Z8" s="128">
        <f>Nov_Period_1_Tbl[[#This Row],[$ CLASS PAY]]</f>
        <v>0</v>
      </c>
      <c r="AA8" s="128">
        <f>Nov_Period_1_Tbl[[#This Row],[$ EFT COMM]]</f>
        <v>0</v>
      </c>
      <c r="AB8" s="128">
        <f>Nov_Period_1_Tbl[[#This Row],[$ PT COMM]]</f>
        <v>0</v>
      </c>
      <c r="AC8" s="128">
        <f>Nov_Period_1_Tbl[[#This Row],[$ BONUS PAY]]</f>
        <v>0</v>
      </c>
      <c r="AD8" s="128">
        <f>Nov_Period_1_Tbl[[#This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IF(OR(ISBLANK(Nov_Period_1_Tbl[[#This Row],['# HRS WORKED]]),ISBLANK(Nov_Period_1_Tbl[[#This Row],[$ Hourly RATE]])),"",Nov_Period_1_Tbl[[#This Row],['# HRS WORKED]]*Nov_Period_1_Tbl[[#This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IF(Nov_Period_1_Tbl[[#This Row],[$ Hourly WAGES]]="",SUM(Nov_Period_1_Tbl[[#This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PAY]]),SUM(Nov_Period_1_Tbl[[#This Row],[$ Hourly WAGES]]+Nov_Period_1_Tbl[[#This Row],[$ SALARY]]+Nov_Period_1_Tbl[[#This Row],[$ FREE PT]]+Nov_Period_1_Tbl[[#This Row],[$ PAID PT]]+Nov_Period_1_Tbl[[#This Row],[$ PT COMM]]+Nov_Period_1_Tbl[[#This Row],[$ EFT COMM]]+Nov_Period_1_Tbl[[#This Row],[$ CLASS PAY]]+Nov_Period_1_Tbl[[#This Row],[$ BONUS PAY]]))</f>
        <v>0</v>
      </c>
      <c r="Q9" s="115"/>
      <c r="R9" s="135"/>
      <c r="S9" s="135"/>
      <c r="T9" s="135"/>
      <c r="U9" s="135"/>
      <c r="V9" s="120"/>
      <c r="W9" s="127" t="str">
        <f>Nov_Period_1_Tbl[[#This Row],[STAFF:]]</f>
        <v>Georgine Diolamou</v>
      </c>
      <c r="X9" s="128">
        <f>IF(Nov_Period_1_Tbl[[#This Row],[$ Hourly WAGES]]="",Nov_Period_1_Tbl[[#This Row],[$ SALARY]],Nov_Period_1_Tbl[[#This Row],[$ Hourly WAGES]]+Nov_Period_1_Tbl[[#This Row],[$ SALARY]])</f>
        <v>0</v>
      </c>
      <c r="Y9" s="128">
        <f>Nov_Period_1_Tbl[[#This Row],[$ FREE PT]]+Nov_Period_1_Tbl[[#This Row],[$ PAID PT]]</f>
        <v>0</v>
      </c>
      <c r="Z9" s="128">
        <f>Nov_Period_1_Tbl[[#This Row],[$ CLASS PAY]]</f>
        <v>0</v>
      </c>
      <c r="AA9" s="128">
        <f>Nov_Period_1_Tbl[[#This Row],[$ EFT COMM]]</f>
        <v>0</v>
      </c>
      <c r="AB9" s="128">
        <f>Nov_Period_1_Tbl[[#This Row],[$ PT COMM]]</f>
        <v>0</v>
      </c>
      <c r="AC9" s="128">
        <f>Nov_Period_1_Tbl[[#This Row],[$ BONUS PAY]]</f>
        <v>0</v>
      </c>
      <c r="AD9" s="128">
        <f>Nov_Period_1_Tbl[[#This Row],[TOTAL PAY]]</f>
        <v>0</v>
      </c>
    </row>
    <row r="10" spans="1:30" ht="15.75" thickBot="1" x14ac:dyDescent="0.3">
      <c r="A10" s="21" t="s">
        <v>58</v>
      </c>
      <c r="B10" s="22"/>
      <c r="C10" s="79">
        <f>SUBTOTAL(109,Nov_Period_1_Tbl['# PTO USED])</f>
        <v>0</v>
      </c>
      <c r="D10" s="79">
        <f>SUBTOTAL(109,Nov_Period_1_Tbl['# PTO Holiday])</f>
        <v>0</v>
      </c>
      <c r="E10" s="80">
        <f>SUBTOTAL(109,Nov_Period_1_Tbl['# HRS WORKED])</f>
        <v>0</v>
      </c>
      <c r="F10" s="97">
        <f>SUBTOTAL(109,Nov_Period_1_Tbl[$ Hourly RATE])</f>
        <v>0</v>
      </c>
      <c r="G10" s="97">
        <f>SUBTOTAL(109,Nov_Period_1_Tbl[$ Hourly WAGES])</f>
        <v>0</v>
      </c>
      <c r="H10" s="97">
        <f>SUBTOTAL(109,Nov_Period_1_Tbl[$ SALARY])</f>
        <v>0</v>
      </c>
      <c r="I10" s="97">
        <f>SUBTOTAL(109,Nov_Period_1_Tbl[$ SALARY PT])</f>
        <v>0</v>
      </c>
      <c r="J10" s="97">
        <f>SUBTOTAL(109,Nov_Period_1_Tbl[$ FREE PT])</f>
        <v>0</v>
      </c>
      <c r="K10" s="97">
        <f>SUBTOTAL(109,Nov_Period_1_Tbl[$ PAID PT])</f>
        <v>0</v>
      </c>
      <c r="L10" s="97">
        <f>SUBTOTAL(109,Nov_Period_1_Tbl[$ PT COMM])</f>
        <v>0</v>
      </c>
      <c r="M10" s="98">
        <f>SUBTOTAL(109,Nov_Period_1_Tbl[$ EFT COMM])</f>
        <v>0</v>
      </c>
      <c r="N10" s="98">
        <f>SUBTOTAL(109,Nov_Period_1_Tbl[$ CLASS PAY])</f>
        <v>0</v>
      </c>
      <c r="O10" s="99">
        <f>SUBTOTAL(109,Nov_Period_1_Tbl[$ BONUS PAY])</f>
        <v>0</v>
      </c>
      <c r="P10" s="100">
        <f>SUBTOTAL(109,Nov_Period_1_Tbl[TOTAL PAY])</f>
        <v>0</v>
      </c>
      <c r="Q10" s="115"/>
      <c r="R10" s="120">
        <f>SUBTOTAL(109,Dec_Period_1_Tbl['# POINTS EARNED])</f>
        <v>0</v>
      </c>
      <c r="S10" s="120">
        <f>SUBTOTAL(109,Dec_Period_1_Tbl['# POINTS USED])</f>
        <v>0</v>
      </c>
      <c r="T10" s="120">
        <f>SUBTOTAL(109,Dec_Period_1_Tbl['# CLASSES LEAD])</f>
        <v>0</v>
      </c>
      <c r="U10" s="120">
        <f>SUBTOTAL(109,Dec_Period_1_Tbl['# CLASSES SHOW])</f>
        <v>0</v>
      </c>
      <c r="V10" s="123"/>
      <c r="W10" s="129" t="s">
        <v>105</v>
      </c>
      <c r="X10" s="128">
        <f>SUBTOTAL(109,Nov_Period_1_Tbl[$ REGULAR WAGES])</f>
        <v>0</v>
      </c>
      <c r="Y10" s="128">
        <f>SUBTOTAL(109,Nov_Period_1_Tbl[$ PERSONAL TRAINING])</f>
        <v>0</v>
      </c>
      <c r="Z10" s="128">
        <f>SUBTOTAL(109,Nov_Period_1_Tbl[$ CLASSES])</f>
        <v>0</v>
      </c>
      <c r="AA10" s="128">
        <f>SUBTOTAL(109,Nov_Period_1_Tbl[$ EFT COMMISSION])</f>
        <v>0</v>
      </c>
      <c r="AB10" s="128">
        <f>SUBTOTAL(109,Nov_Period_1_Tbl[$ PT COMMISSION])</f>
        <v>0</v>
      </c>
      <c r="AC10" s="128">
        <f>SUBTOTAL(109,Nov_Period_1_Tbl[BONUS])</f>
        <v>0</v>
      </c>
      <c r="AD10" s="128">
        <f>SUBTOTAL(109,Nov_Period_1_Tbl[TOTAL
PAY])</f>
        <v>0</v>
      </c>
    </row>
    <row r="11" spans="1:30" s="30" customFormat="1" ht="15.75" thickTop="1" x14ac:dyDescent="0.25">
      <c r="A11" s="61"/>
      <c r="B11" s="62"/>
      <c r="C11" s="63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WAGES]]+Aug_Period_2_Tbl[[#Totals],[$ REGULAR WAGES]]+Sep_Period_1_Tbl[[#Totals],[$ REGULAR WAGES]]+Sep_Period_2_Tbl[[#Totals],[$ REGULAR WAGES]]+Oct_Period_1_Tbl[[#Totals],[$ REGULAR WAGES]]+Oct_Period_2_Tbl[[#Totals],[$ REGULAR WAGES]]+Nov_Period_1_Tbl[[#Totals],[$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TRAINING]]+Aug_Period_2_Tbl[[#Totals],[$ PERSONAL TRAINING]]+Sep_Period_1_Tbl[[#Totals],[$ PERSONAL TRAINING]]+Sep_Period_2_Tbl[[#Totals],[$ PERSONAL TRAINING]]+Oct_Period_1_Tbl[[#Totals],[$ PERSONAL TRAINING]]+Oct_Period_2_Tbl[[#Totals],[$ PERSONAL TRAINING]]+Nov_Period_1_Tbl[[#Totals],[$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CLASSES]]+Aug_Period_2_Tbl[[#Totals],[$ CLASSES]]+Sep_Period_1_Tbl[[#Totals],[$ CLASSES]]+Sep_Period_2_Tbl[[#Totals],[$ CLASSES]]+Oct_Period_1_Tbl[[#Totals],[$ CLASSES]]+Oct_Period_2_Tbl[[#Totals],[$ CLASSES]]+Nov_Period_1_Tbl[[#Totals],[$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COMMISSION]]+Aug_Period_2_Tbl[[#Totals],[$ EFT COMMISSION]]+Sep_Period_1_Tbl[[#Totals],[$ EFT COMMISSION]]+Sep_Period_2_Tbl[[#Totals],[$ EFT COMMISSION]]+Oct_Period_1_Tbl[[#Totals],[$ EFT COMMISSION]]+Oct_Period_2_Tbl[[#Totals],[$ EFT COMMISSION]]+Nov_Period_1_Tbl[[#Totals],[$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COMMISSION]]+Aug_Period_2_Tbl[[#Totals],[$ PT COMMISSION]]+Sep_Period_1_Tbl[[#Totals],[$ PT COMMISSION]]+Sep_Period_2_Tbl[[#Totals],[$ PT COMMISSION]]+Oct_Period_1_Tbl[[#Totals],[$ PT COMMISSION]]+Oct_Period_2_Tbl[[#Totals],[$ PT COMMISSION]]+Nov_Period_1_Tbl[[#Totals],[$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+Aug_Period_2_Tbl[[#Totals],[BONUS]]+Sep_Period_1_Tbl[[#Totals],[BONUS]]+Sep_Period_2_Tbl[[#Totals],[BONUS]]+Oct_Period_1_Tbl[[#Totals],[BONUS]]+Oct_Period_2_Tbl[[#Totals],[BONUS]]+Nov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PAY]]+Aug_Period_2_Tbl[[#Totals],[TOTAL
PAY]]+Sep_Period_1_Tbl[[#Totals],[TOTAL
PAY]]+Sep_Period_2_Tbl[[#Totals],[TOTAL
PAY]]+Oct_Period_1_Tbl[[#Totals],[TOTAL
PAY]]+Oct_Period_2_Tbl[[#Totals],[TOTAL
PAY]]+Nov_Period_1_Tbl[[#Totals],[TOTAL
PAY]]</f>
        <v>18370.86</v>
      </c>
    </row>
    <row r="12" spans="1:30" s="30" customFormat="1" ht="12.75" x14ac:dyDescent="0.2">
      <c r="A12" s="88" t="s">
        <v>84</v>
      </c>
      <c r="B12" s="67">
        <f>Summary!D89</f>
        <v>43054</v>
      </c>
      <c r="C12" s="68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</row>
    <row r="13" spans="1:30" x14ac:dyDescent="0.25">
      <c r="A13" s="88" t="s">
        <v>5</v>
      </c>
      <c r="B13" s="67" t="s">
        <v>36</v>
      </c>
      <c r="C13" s="68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IF(OR(ISBLANK(Nov_Period_2_Tbl[[#This Row],['# HRS WORKED]]),ISBLANK(Nov_Period_2_Tbl[[#This Row],[$ Hourly RATE]])),"",Nov_Period_2_Tbl[[#This Row],['# HRS WORKED]]*Nov_Period_2_Tbl[[#This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IF(Nov_Period_2_Tbl[[#This Row],[$ Hourly WAGES]]="",SUM(Nov_Period_2_Tbl[[#This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PAY]]),SUM(Nov_Period_2_Tbl[[#This Row],[$ Hourly WAGES]]+Nov_Period_2_Tbl[[#This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Nov_Period_2_Tbl[[#This Row],[STAFF:]]</f>
        <v>Roxy Ayala</v>
      </c>
      <c r="X15" s="128">
        <f>IF(Nov_Period_2_Tbl[[#This Row],[$ Hourly WAGES]]="",Nov_Period_2_Tbl[[#This Row],[$ SALARY]],Nov_Period_2_Tbl[[#This Row],[$ Hourly WAGES]]+Nov_Period_2_Tbl[[#This Row],[$ SALARY]])</f>
        <v>0</v>
      </c>
      <c r="Y15" s="128">
        <f>Nov_Period_2_Tbl[[#This Row],[$ FREE PT]]+Nov_Period_2_Tbl[[#This Row],[$ PAID PT]]</f>
        <v>0</v>
      </c>
      <c r="Z15" s="128">
        <f>Nov_Period_2_Tbl[[#This Row],[$ CLASS PAY]]</f>
        <v>0</v>
      </c>
      <c r="AA15" s="128">
        <f>Nov_Period_2_Tbl[[#This Row],[$ EFT COMM]]</f>
        <v>0</v>
      </c>
      <c r="AB15" s="128">
        <f>Nov_Period_2_Tbl[[#This Row],[$ PT COMM]]</f>
        <v>0</v>
      </c>
      <c r="AC15" s="128">
        <f>Nov_Period_2_Tbl[[#This Row],[$ BONUS PAY]]</f>
        <v>0</v>
      </c>
      <c r="AD15" s="128">
        <f>Nov_Period_2_Tbl[[#This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IF(OR(ISBLANK(Nov_Period_2_Tbl[[#This Row],['# HRS WORKED]]),ISBLANK(Nov_Period_2_Tbl[[#This Row],[$ Hourly RATE]])),"",Nov_Period_2_Tbl[[#This Row],['# HRS WORKED]]*Nov_Period_2_Tbl[[#This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IF(Nov_Period_2_Tbl[[#This Row],[$ Hourly WAGES]]="",SUM(Nov_Period_2_Tbl[[#This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PAY]]),SUM(Nov_Period_2_Tbl[[#This Row],[$ Hourly WAGES]]+Nov_Period_2_Tbl[[#This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Nov_Period_2_Tbl[[#This Row],[STAFF:]]</f>
        <v>David Pecinovsky</v>
      </c>
      <c r="X16" s="128">
        <f>IF(Nov_Period_2_Tbl[[#This Row],[$ Hourly WAGES]]="",Nov_Period_2_Tbl[[#This Row],[$ SALARY]],Nov_Period_2_Tbl[[#This Row],[$ Hourly WAGES]]+Nov_Period_2_Tbl[[#This Row],[$ SALARY]])</f>
        <v>0</v>
      </c>
      <c r="Y16" s="128">
        <f>Nov_Period_2_Tbl[[#This Row],[$ FREE PT]]+Nov_Period_2_Tbl[[#This Row],[$ PAID PT]]</f>
        <v>0</v>
      </c>
      <c r="Z16" s="128">
        <f>Nov_Period_2_Tbl[[#This Row],[$ CLASS PAY]]</f>
        <v>0</v>
      </c>
      <c r="AA16" s="128">
        <f>Nov_Period_2_Tbl[[#This Row],[$ EFT COMM]]</f>
        <v>0</v>
      </c>
      <c r="AB16" s="128">
        <f>Nov_Period_2_Tbl[[#This Row],[$ PT COMM]]</f>
        <v>0</v>
      </c>
      <c r="AC16" s="128">
        <f>Nov_Period_2_Tbl[[#This Row],[$ BONUS PAY]]</f>
        <v>0</v>
      </c>
      <c r="AD16" s="128">
        <f>Nov_Period_2_Tbl[[#This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IF(OR(ISBLANK(Nov_Period_2_Tbl[[#This Row],['# HRS WORKED]]),ISBLANK(Nov_Period_2_Tbl[[#This Row],[$ Hourly RATE]])),"",Nov_Period_2_Tbl[[#This Row],['# HRS WORKED]]*Nov_Period_2_Tbl[[#This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IF(Nov_Period_2_Tbl[[#This Row],[$ Hourly WAGES]]="",SUM(Nov_Period_2_Tbl[[#This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PAY]]),SUM(Nov_Period_2_Tbl[[#This Row],[$ Hourly WAGES]]+Nov_Period_2_Tbl[[#This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Nov_Period_2_Tbl[[#This Row],[STAFF:]]</f>
        <v>Justin Stead</v>
      </c>
      <c r="X17" s="128">
        <f>IF(Nov_Period_2_Tbl[[#This Row],[$ Hourly WAGES]]="",Nov_Period_2_Tbl[[#This Row],[$ SALARY]],Nov_Period_2_Tbl[[#This Row],[$ Hourly WAGES]]+Nov_Period_2_Tbl[[#This Row],[$ SALARY]])</f>
        <v>0</v>
      </c>
      <c r="Y17" s="128">
        <f>Nov_Period_2_Tbl[[#This Row],[$ FREE PT]]+Nov_Period_2_Tbl[[#This Row],[$ PAID PT]]</f>
        <v>0</v>
      </c>
      <c r="Z17" s="128">
        <f>Nov_Period_2_Tbl[[#This Row],[$ CLASS PAY]]</f>
        <v>0</v>
      </c>
      <c r="AA17" s="128">
        <f>Nov_Period_2_Tbl[[#This Row],[$ EFT COMM]]</f>
        <v>0</v>
      </c>
      <c r="AB17" s="128">
        <f>Nov_Period_2_Tbl[[#This Row],[$ PT COMM]]</f>
        <v>0</v>
      </c>
      <c r="AC17" s="128">
        <f>Nov_Period_2_Tbl[[#This Row],[$ BONUS PAY]]</f>
        <v>0</v>
      </c>
      <c r="AD17" s="128">
        <f>Nov_Period_2_Tbl[[#This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IF(OR(ISBLANK(Nov_Period_2_Tbl[[#This Row],['# HRS WORKED]]),ISBLANK(Nov_Period_2_Tbl[[#This Row],[$ Hourly RATE]])),"",Nov_Period_2_Tbl[[#This Row],['# HRS WORKED]]*Nov_Period_2_Tbl[[#This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IF(Nov_Period_2_Tbl[[#This Row],[$ Hourly WAGES]]="",SUM(Nov_Period_2_Tbl[[#This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PAY]]),SUM(Nov_Period_2_Tbl[[#This Row],[$ Hourly WAGES]]+Nov_Period_2_Tbl[[#This Row],[$ SALARY]]+Nov_Period_2_Tbl[[#This Row],[$ FREE PT]]+Nov_Period_2_Tbl[[#This Row],[$ PAID PT]]+Nov_Period_2_Tbl[[#This Row],[$ PT COMM]]+Nov_Period_2_Tbl[[#This Row],[$ EFT COMM]]+Nov_Period_2_Tbl[[#This Row],[$ CLASS PAY]]+Nov_Period_2_Tbl[[#This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Nov_Period_2_Tbl[[#This Row],[STAFF:]]</f>
        <v>Georgine Diolamou</v>
      </c>
      <c r="X18" s="128">
        <f>IF(Nov_Period_2_Tbl[[#This Row],[$ Hourly WAGES]]="",Nov_Period_2_Tbl[[#This Row],[$ SALARY]],Nov_Period_2_Tbl[[#This Row],[$ Hourly WAGES]]+Nov_Period_2_Tbl[[#This Row],[$ SALARY]])</f>
        <v>0</v>
      </c>
      <c r="Y18" s="128">
        <f>Nov_Period_2_Tbl[[#This Row],[$ FREE PT]]+Nov_Period_2_Tbl[[#This Row],[$ PAID PT]]</f>
        <v>0</v>
      </c>
      <c r="Z18" s="128">
        <f>Nov_Period_2_Tbl[[#This Row],[$ CLASS PAY]]</f>
        <v>0</v>
      </c>
      <c r="AA18" s="128">
        <f>Nov_Period_2_Tbl[[#This Row],[$ EFT COMM]]</f>
        <v>0</v>
      </c>
      <c r="AB18" s="128">
        <f>Nov_Period_2_Tbl[[#This Row],[$ PT COMM]]</f>
        <v>0</v>
      </c>
      <c r="AC18" s="128">
        <f>Nov_Period_2_Tbl[[#This Row],[$ BONUS PAY]]</f>
        <v>0</v>
      </c>
      <c r="AD18" s="128">
        <f>Nov_Period_2_Tbl[[#This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SUBTOTAL(109,Nov_Period_2_Tbl['# PTO USED])</f>
        <v>0</v>
      </c>
      <c r="D19" s="79">
        <f>SUBTOTAL(109,Nov_Period_2_Tbl['# PTO Holiday])</f>
        <v>0</v>
      </c>
      <c r="E19" s="80">
        <f>SUBTOTAL(109,Nov_Period_2_Tbl['# HRS WORKED])</f>
        <v>0</v>
      </c>
      <c r="F19" s="97">
        <f>SUBTOTAL(109,Nov_Period_2_Tbl[$ Hourly RATE])</f>
        <v>0</v>
      </c>
      <c r="G19" s="97">
        <f>SUBTOTAL(109,Nov_Period_2_Tbl[$ Hourly WAGES])</f>
        <v>0</v>
      </c>
      <c r="H19" s="97">
        <f>SUBTOTAL(109,Nov_Period_2_Tbl[$ SALARY])</f>
        <v>0</v>
      </c>
      <c r="I19" s="97">
        <f>SUBTOTAL(109,Nov_Period_2_Tbl[$ SALARY PT])</f>
        <v>0</v>
      </c>
      <c r="J19" s="97">
        <f>SUBTOTAL(109,Nov_Period_2_Tbl[$ FREE PT])</f>
        <v>0</v>
      </c>
      <c r="K19" s="97">
        <f>SUBTOTAL(109,Nov_Period_2_Tbl[$ PAID PT])</f>
        <v>0</v>
      </c>
      <c r="L19" s="97">
        <f>SUBTOTAL(109,Nov_Period_2_Tbl[$ PT COMM])</f>
        <v>0</v>
      </c>
      <c r="M19" s="98">
        <f>SUBTOTAL(109,Nov_Period_2_Tbl[$ EFT COMM])</f>
        <v>0</v>
      </c>
      <c r="N19" s="98">
        <f>SUBTOTAL(109,Nov_Period_2_Tbl[$ CLASS PAY])</f>
        <v>0</v>
      </c>
      <c r="O19" s="99">
        <f>SUBTOTAL(109,Nov_Period_2_Tbl[$ BONUS PAY])</f>
        <v>0</v>
      </c>
      <c r="P19" s="100">
        <f>SUBTOTAL(109,Nov_Period_2_Tbl[TOTAL PAY])</f>
        <v>0</v>
      </c>
      <c r="Q19" s="109"/>
      <c r="R19" s="124">
        <f>SUBTOTAL(109,Dec_Period_1_Tbl['# POINTS EARNED])</f>
        <v>0</v>
      </c>
      <c r="S19" s="124">
        <f>SUBTOTAL(109,Dec_Period_1_Tbl['# POINTS USED])</f>
        <v>0</v>
      </c>
      <c r="T19" s="124">
        <f>SUBTOTAL(109,Dec_Period_1_Tbl['# CLASSES LEAD])</f>
        <v>0</v>
      </c>
      <c r="U19" s="124">
        <f>SUBTOTAL(109,Dec_Period_1_Tbl['# CLASSES SHOW])</f>
        <v>0</v>
      </c>
      <c r="V19" s="123"/>
      <c r="W19" s="129" t="s">
        <v>105</v>
      </c>
      <c r="X19" s="128">
        <f>SUBTOTAL(109,Nov_Period_2_Tbl[$ REGULAR WAGES])</f>
        <v>0</v>
      </c>
      <c r="Y19" s="128">
        <f>SUBTOTAL(109,Nov_Period_2_Tbl[$ PERSONAL TRAINING])</f>
        <v>0</v>
      </c>
      <c r="Z19" s="128">
        <f>SUBTOTAL(109,Nov_Period_2_Tbl[$ CLASSES])</f>
        <v>0</v>
      </c>
      <c r="AA19" s="128">
        <f>SUBTOTAL(109,Nov_Period_2_Tbl[$ EFT COMMISSION])</f>
        <v>0</v>
      </c>
      <c r="AB19" s="128">
        <f>SUBTOTAL(109,Nov_Period_2_Tbl[$ PT COMMISSION])</f>
        <v>0</v>
      </c>
      <c r="AC19" s="128">
        <f>SUBTOTAL(109,Nov_Period_2_Tbl[BONUS])</f>
        <v>0</v>
      </c>
      <c r="AD19" s="128">
        <f>SUBTOTAL(109,Nov_Period_2_Tbl[TOTAL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WAGES]]+Aug_Period_2_Tbl[[#Totals],[$ REGULAR WAGES]]+Sep_Period_1_Tbl[[#Totals],[$ REGULAR WAGES]]+Sep_Period_2_Tbl[[#Totals],[$ REGULAR WAGES]]+Oct_Period_1_Tbl[[#Totals],[$ REGULAR WAGES]]+Oct_Period_2_Tbl[[#Totals],[$ REGULAR WAGES]]+Nov_Period_1_Tbl[[#Totals],[$ REGULAR WAGES]]+Nov_Period_2_Tbl[[#Totals],[$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TRAINING]]+Aug_Period_2_Tbl[[#Totals],[$ PERSONAL TRAINING]]+Sep_Period_1_Tbl[[#Totals],[$ PERSONAL TRAINING]]+Sep_Period_2_Tbl[[#Totals],[$ PERSONAL TRAINING]]+Oct_Period_1_Tbl[[#Totals],[$ PERSONAL TRAINING]]+Oct_Period_2_Tbl[[#Totals],[$ PERSONAL TRAINING]]+Nov_Period_1_Tbl[[#Totals],[$ PERSONAL TRAINING]]+Nov_Period_2_Tbl[[#Totals],[$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CLASSES]]+Aug_Period_2_Tbl[[#Totals],[$ CLASSES]]+Sep_Period_1_Tbl[[#Totals],[$ CLASSES]]+Sep_Period_2_Tbl[[#Totals],[$ CLASSES]]+Oct_Period_1_Tbl[[#Totals],[$ CLASSES]]+Oct_Period_2_Tbl[[#Totals],[$ CLASSES]]+Nov_Period_1_Tbl[[#Totals],[$ CLASSES]]+Nov_Period_2_Tbl[[#Totals],[$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COMMISSION]]+Aug_Period_2_Tbl[[#Totals],[$ EFT COMMISSION]]+Sep_Period_1_Tbl[[#Totals],[$ EFT COMMISSION]]+Sep_Period_2_Tbl[[#Totals],[$ EFT COMMISSION]]+Oct_Period_1_Tbl[[#Totals],[$ EFT COMMISSION]]+Oct_Period_2_Tbl[[#Totals],[$ EFT COMMISSION]]+Nov_Period_1_Tbl[[#Totals],[$ EFT COMMISSION]]+Nov_Period_2_Tbl[[#Totals],[$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COMMISSION]]+Aug_Period_2_Tbl[[#Totals],[$ PT COMMISSION]]+Sep_Period_1_Tbl[[#Totals],[$ PT COMMISSION]]+Sep_Period_2_Tbl[[#Totals],[$ PT COMMISSION]]+Oct_Period_1_Tbl[[#Totals],[$ PT COMMISSION]]+Oct_Period_2_Tbl[[#Totals],[$ PT COMMISSION]]+Nov_Period_1_Tbl[[#Totals],[$ PT COMMISSION]]+Nov_Period_2_Tbl[[#Totals],[$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+Aug_Period_2_Tbl[[#Totals],[BONUS]]+Sep_Period_1_Tbl[[#Totals],[BONUS]]+Sep_Period_2_Tbl[[#Totals],[BONUS]]+Oct_Period_1_Tbl[[#Totals],[BONUS]]+Oct_Period_2_Tbl[[#Totals],[BONUS]]+Nov_Period_1_Tbl[[#Totals],[BONUS]]+Nov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PAY]]+Aug_Period_2_Tbl[[#Totals],[TOTAL
PAY]]+Sep_Period_1_Tbl[[#Totals],[TOTAL
PAY]]+Sep_Period_2_Tbl[[#Totals],[TOTAL
PAY]]+Oct_Period_1_Tbl[[#Totals],[TOTAL
PAY]]+Oct_Period_2_Tbl[[#Totals],[TOTAL
PAY]]+Nov_Period_1_Tbl[[#Totals],[TOTAL
PAY]]+Nov_Period_2_Tbl[[#Totals],[TOTAL
PAY]]</f>
        <v>18370.86</v>
      </c>
    </row>
  </sheetData>
  <sheetProtection algorithmName="SHA-512" hashValue="l5qG31w5TRMUs2DB2o8NDFnl6HI/SOj978c5fhc5JBa6RLyaiJS3iAgRNgGKunLJbmJvKBj9+BxFqHY1WKwfSg==" saltValue="DvTZkXwZBN5xffHxAH6VeA==" spinCount="100000" sheet="1" objects="1" scenarios="1"/>
  <mergeCells count="1">
    <mergeCell ref="A1:P1"/>
  </mergeCells>
  <pageMargins left="0.7" right="0.7" top="0.75" bottom="0.75" header="0.3" footer="0.3"/>
  <drawing r:id="rId1"/>
  <legacyDrawing r:id="rId2"/>
  <tableParts count="2">
    <tablePart r:id="rId3"/>
    <tablePart r:id="rId4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12_Dec2017"/>
  <dimension ref="A1:AD20"/>
  <sheetViews>
    <sheetView showGridLines="0" workbookViewId="0">
      <selection sqref="A1:P1"/>
    </sheetView>
  </sheetViews>
  <sheetFormatPr defaultRowHeight="15" x14ac:dyDescent="0.25"/>
  <cols>
    <col min="1" max="1" width="16.42578125" style="29" bestFit="1" customWidth="1"/>
    <col min="2" max="2" width="26.7109375" style="33" customWidth="1"/>
    <col min="3" max="3" width="5" style="27" customWidth="1"/>
    <col min="4" max="4" width="6.42578125" style="82" bestFit="1" customWidth="1"/>
    <col min="5" max="5" width="7.7109375" style="35" customWidth="1"/>
    <col min="6" max="6" width="7" style="34" customWidth="1"/>
    <col min="7" max="7" width="7" style="34" bestFit="1" customWidth="1"/>
    <col min="8" max="8" width="7.85546875" style="34" customWidth="1"/>
    <col min="9" max="9" width="7.7109375" style="77" customWidth="1"/>
    <col min="10" max="10" width="6.85546875" style="34" customWidth="1"/>
    <col min="11" max="11" width="7.5703125" style="35" customWidth="1"/>
    <col min="12" max="12" width="6.42578125" style="35" customWidth="1"/>
    <col min="13" max="13" width="6.7109375" style="34" customWidth="1"/>
    <col min="14" max="14" width="6.42578125" style="34" customWidth="1"/>
    <col min="15" max="15" width="7.5703125" style="27" customWidth="1"/>
    <col min="16" max="16" width="9.7109375" style="29" customWidth="1"/>
    <col min="17" max="17" width="0.85546875" style="113" customWidth="1"/>
    <col min="18" max="18" width="7.7109375" style="29" customWidth="1"/>
    <col min="19" max="19" width="7.5703125" style="29" customWidth="1"/>
    <col min="20" max="20" width="8.28515625" style="29" customWidth="1"/>
    <col min="21" max="21" width="8" style="29" customWidth="1"/>
    <col min="22" max="22" width="0.85546875" style="29" customWidth="1"/>
    <col min="23" max="23" width="15.140625" style="29" customWidth="1"/>
    <col min="24" max="24" width="9.140625" style="29" customWidth="1"/>
    <col min="25" max="25" width="10" style="29" customWidth="1"/>
    <col min="26" max="26" width="8" style="29" customWidth="1"/>
    <col min="27" max="28" width="10.7109375" style="29" customWidth="1"/>
    <col min="29" max="29" width="6.7109375" style="29" customWidth="1"/>
    <col min="30" max="30" width="8.7109375" style="29" customWidth="1"/>
    <col min="31" max="16384" width="9.140625" style="29"/>
  </cols>
  <sheetData>
    <row r="1" spans="1:30" ht="16.5" customHeight="1" x14ac:dyDescent="0.25">
      <c r="A1" s="243" t="s">
        <v>83</v>
      </c>
      <c r="B1" s="243"/>
      <c r="C1" s="243"/>
      <c r="D1" s="243"/>
      <c r="E1" s="243"/>
      <c r="F1" s="243"/>
      <c r="G1" s="243"/>
      <c r="H1" s="243"/>
      <c r="I1" s="243"/>
      <c r="J1" s="243"/>
      <c r="K1" s="243"/>
      <c r="L1" s="243"/>
      <c r="M1" s="243"/>
      <c r="N1" s="243"/>
      <c r="O1" s="243"/>
      <c r="P1" s="243"/>
      <c r="Q1" s="29"/>
    </row>
    <row r="2" spans="1:30" s="202" customFormat="1" ht="17.25" customHeight="1" x14ac:dyDescent="0.25">
      <c r="A2" s="196" t="s">
        <v>54</v>
      </c>
      <c r="B2" s="196" t="s">
        <v>137</v>
      </c>
      <c r="C2" s="197"/>
      <c r="D2" s="198"/>
      <c r="E2" s="199"/>
      <c r="F2" s="200"/>
      <c r="G2" s="200"/>
      <c r="H2" s="200"/>
      <c r="I2" s="200"/>
      <c r="J2" s="200"/>
      <c r="K2" s="199"/>
      <c r="L2" s="199"/>
      <c r="M2" s="200"/>
      <c r="N2" s="200"/>
      <c r="O2" s="201"/>
    </row>
    <row r="3" spans="1:30" s="30" customFormat="1" ht="12.75" x14ac:dyDescent="0.2">
      <c r="A3" s="88" t="s">
        <v>84</v>
      </c>
      <c r="B3" s="36">
        <f>Summary!D90</f>
        <v>43070</v>
      </c>
      <c r="C3" s="37"/>
      <c r="D3" s="83"/>
      <c r="E3" s="39"/>
      <c r="F3" s="38"/>
      <c r="G3" s="38"/>
      <c r="H3" s="38"/>
      <c r="I3" s="38"/>
      <c r="J3" s="38"/>
      <c r="K3" s="39"/>
      <c r="L3" s="39"/>
      <c r="M3" s="38"/>
      <c r="N3" s="38"/>
      <c r="O3" s="37"/>
      <c r="Q3" s="114"/>
    </row>
    <row r="4" spans="1:30" s="30" customFormat="1" ht="12.75" x14ac:dyDescent="0.2">
      <c r="A4" s="88" t="s">
        <v>5</v>
      </c>
      <c r="B4" s="36" t="s">
        <v>35</v>
      </c>
      <c r="C4" s="37"/>
      <c r="D4" s="83"/>
      <c r="E4" s="39"/>
      <c r="F4" s="38"/>
      <c r="G4" s="38"/>
      <c r="H4" s="38"/>
      <c r="I4" s="38"/>
      <c r="J4" s="38"/>
      <c r="K4" s="39"/>
      <c r="L4" s="39"/>
      <c r="M4" s="38"/>
      <c r="N4" s="38"/>
      <c r="O4" s="37"/>
      <c r="Q4" s="114"/>
      <c r="R4" s="30" t="s">
        <v>95</v>
      </c>
      <c r="W4" s="30" t="s">
        <v>96</v>
      </c>
    </row>
    <row r="5" spans="1:30" s="31" customFormat="1" ht="32.25" customHeight="1" thickBot="1" x14ac:dyDescent="0.3">
      <c r="A5" s="55" t="s">
        <v>85</v>
      </c>
      <c r="B5" s="89" t="s">
        <v>0</v>
      </c>
      <c r="C5" s="58" t="s">
        <v>18</v>
      </c>
      <c r="D5" s="58" t="s">
        <v>87</v>
      </c>
      <c r="E5" s="90" t="s">
        <v>12</v>
      </c>
      <c r="F5" s="56" t="s">
        <v>88</v>
      </c>
      <c r="G5" s="56" t="s">
        <v>89</v>
      </c>
      <c r="H5" s="56" t="s">
        <v>90</v>
      </c>
      <c r="I5" s="91" t="s">
        <v>9</v>
      </c>
      <c r="J5" s="92" t="s">
        <v>7</v>
      </c>
      <c r="K5" s="91" t="s">
        <v>8</v>
      </c>
      <c r="L5" s="57" t="s">
        <v>14</v>
      </c>
      <c r="M5" s="58" t="s">
        <v>15</v>
      </c>
      <c r="N5" s="58" t="s">
        <v>13</v>
      </c>
      <c r="O5" s="93" t="s">
        <v>16</v>
      </c>
      <c r="P5" s="94" t="s">
        <v>17</v>
      </c>
      <c r="Q5" s="117" t="s">
        <v>86</v>
      </c>
      <c r="R5" s="175" t="s">
        <v>94</v>
      </c>
      <c r="S5" s="175" t="s">
        <v>93</v>
      </c>
      <c r="T5" s="175" t="s">
        <v>91</v>
      </c>
      <c r="U5" s="175" t="s">
        <v>92</v>
      </c>
      <c r="V5" s="117" t="s">
        <v>97</v>
      </c>
      <c r="W5" s="172" t="s">
        <v>98</v>
      </c>
      <c r="X5" s="131" t="s">
        <v>99</v>
      </c>
      <c r="Y5" s="131" t="s">
        <v>100</v>
      </c>
      <c r="Z5" s="131" t="s">
        <v>101</v>
      </c>
      <c r="AA5" s="131" t="s">
        <v>102</v>
      </c>
      <c r="AB5" s="131" t="s">
        <v>103</v>
      </c>
      <c r="AC5" s="131" t="s">
        <v>104</v>
      </c>
      <c r="AD5" s="131" t="s">
        <v>107</v>
      </c>
    </row>
    <row r="6" spans="1:30" x14ac:dyDescent="0.25">
      <c r="A6" s="95" t="s">
        <v>1</v>
      </c>
      <c r="B6" s="59"/>
      <c r="C6" s="60"/>
      <c r="D6" s="60"/>
      <c r="E6" s="84"/>
      <c r="F6" s="102"/>
      <c r="G6" s="97" t="str">
        <f>IF(OR(ISBLANK(Dec_Period_1_Tbl[[#This Row],['# HRS WORKED]]),ISBLANK(Dec_Period_1_Tbl[[#This Row],[$ Hourly RATE]])),"",Dec_Period_1_Tbl[[#This Row],['# HRS WORKED]]*Dec_Period_1_Tbl[[#This Row],[$ Hourly RATE]])</f>
        <v/>
      </c>
      <c r="H6" s="102"/>
      <c r="I6" s="102"/>
      <c r="J6" s="102"/>
      <c r="K6" s="102"/>
      <c r="L6" s="102"/>
      <c r="M6" s="103"/>
      <c r="N6" s="103"/>
      <c r="O6" s="104"/>
      <c r="P6" s="100">
        <f>IF(Dec_Period_1_Tbl[[#This Row],[$ Hourly WAGES]]="",SUM(Dec_Period_1_Tbl[[#This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PAY]]),SUM(Dec_Period_1_Tbl[[#This Row],[$ Hourly WAGES]]+Dec_Period_1_Tbl[[#This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PAY]]))</f>
        <v>0</v>
      </c>
      <c r="Q6" s="115"/>
      <c r="R6" s="135"/>
      <c r="S6" s="135"/>
      <c r="T6" s="135"/>
      <c r="U6" s="135"/>
      <c r="V6" s="120"/>
      <c r="W6" s="127" t="str">
        <f>Dec_Period_1_Tbl[[#This Row],[STAFF:]]</f>
        <v>Roxy Ayala</v>
      </c>
      <c r="X6" s="128">
        <f>IF(Dec_Period_1_Tbl[[#This Row],[$ Hourly WAGES]]="",Dec_Period_1_Tbl[[#This Row],[$ SALARY]],Dec_Period_1_Tbl[[#This Row],[$ Hourly WAGES]]+Dec_Period_1_Tbl[[#This Row],[$ SALARY]])</f>
        <v>0</v>
      </c>
      <c r="Y6" s="128">
        <f>Dec_Period_1_Tbl[[#This Row],[$ FREE PT]]+Dec_Period_1_Tbl[[#This Row],[$ PAID PT]]</f>
        <v>0</v>
      </c>
      <c r="Z6" s="128">
        <f>Dec_Period_1_Tbl[[#This Row],[$ CLASS PAY]]</f>
        <v>0</v>
      </c>
      <c r="AA6" s="128">
        <f>Dec_Period_1_Tbl[[#This Row],[$ EFT COMM]]</f>
        <v>0</v>
      </c>
      <c r="AB6" s="128">
        <f>Dec_Period_1_Tbl[[#This Row],[$ PT COMM]]</f>
        <v>0</v>
      </c>
      <c r="AC6" s="128">
        <f>Dec_Period_1_Tbl[[#This Row],[$ BONUS PAY]]</f>
        <v>0</v>
      </c>
      <c r="AD6" s="128">
        <f>Dec_Period_1_Tbl[[#This Row],[TOTAL PAY]]</f>
        <v>0</v>
      </c>
    </row>
    <row r="7" spans="1:30" x14ac:dyDescent="0.25">
      <c r="A7" s="95" t="s">
        <v>2</v>
      </c>
      <c r="B7" s="59"/>
      <c r="C7" s="60"/>
      <c r="D7" s="60"/>
      <c r="E7" s="84"/>
      <c r="F7" s="102"/>
      <c r="G7" s="97" t="str">
        <f>IF(OR(ISBLANK(Dec_Period_1_Tbl[[#This Row],['# HRS WORKED]]),ISBLANK(Dec_Period_1_Tbl[[#This Row],[$ Hourly RATE]])),"",Dec_Period_1_Tbl[[#This Row],['# HRS WORKED]]*Dec_Period_1_Tbl[[#This Row],[$ Hourly RATE]])</f>
        <v/>
      </c>
      <c r="H7" s="102"/>
      <c r="I7" s="102"/>
      <c r="J7" s="102"/>
      <c r="K7" s="102"/>
      <c r="L7" s="102"/>
      <c r="M7" s="103"/>
      <c r="N7" s="103"/>
      <c r="O7" s="104"/>
      <c r="P7" s="100">
        <f>IF(Dec_Period_1_Tbl[[#This Row],[$ Hourly WAGES]]="",SUM(Dec_Period_1_Tbl[[#This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PAY]]),SUM(Dec_Period_1_Tbl[[#This Row],[$ Hourly WAGES]]+Dec_Period_1_Tbl[[#This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PAY]]))</f>
        <v>0</v>
      </c>
      <c r="Q7" s="115"/>
      <c r="R7" s="135"/>
      <c r="S7" s="135"/>
      <c r="T7" s="135"/>
      <c r="U7" s="135"/>
      <c r="V7" s="120"/>
      <c r="W7" s="127" t="str">
        <f>Dec_Period_1_Tbl[[#This Row],[STAFF:]]</f>
        <v>David Pecinovsky</v>
      </c>
      <c r="X7" s="128">
        <f>IF(Dec_Period_1_Tbl[[#This Row],[$ Hourly WAGES]]="",Dec_Period_1_Tbl[[#This Row],[$ SALARY]],Dec_Period_1_Tbl[[#This Row],[$ Hourly WAGES]]+Dec_Period_1_Tbl[[#This Row],[$ SALARY]])</f>
        <v>0</v>
      </c>
      <c r="Y7" s="128">
        <f>Dec_Period_1_Tbl[[#This Row],[$ FREE PT]]+Dec_Period_1_Tbl[[#This Row],[$ PAID PT]]</f>
        <v>0</v>
      </c>
      <c r="Z7" s="128">
        <f>Dec_Period_1_Tbl[[#This Row],[$ CLASS PAY]]</f>
        <v>0</v>
      </c>
      <c r="AA7" s="128">
        <f>Dec_Period_1_Tbl[[#This Row],[$ EFT COMM]]</f>
        <v>0</v>
      </c>
      <c r="AB7" s="128">
        <f>Dec_Period_1_Tbl[[#This Row],[$ PT COMM]]</f>
        <v>0</v>
      </c>
      <c r="AC7" s="128">
        <f>Dec_Period_1_Tbl[[#This Row],[$ BONUS PAY]]</f>
        <v>0</v>
      </c>
      <c r="AD7" s="128">
        <f>Dec_Period_1_Tbl[[#This Row],[TOTAL PAY]]</f>
        <v>0</v>
      </c>
    </row>
    <row r="8" spans="1:30" x14ac:dyDescent="0.25">
      <c r="A8" s="95" t="s">
        <v>3</v>
      </c>
      <c r="B8" s="59"/>
      <c r="C8" s="60"/>
      <c r="D8" s="60"/>
      <c r="E8" s="84"/>
      <c r="F8" s="102"/>
      <c r="G8" s="97" t="str">
        <f>IF(OR(ISBLANK(Dec_Period_1_Tbl[[#This Row],['# HRS WORKED]]),ISBLANK(Dec_Period_1_Tbl[[#This Row],[$ Hourly RATE]])),"",Dec_Period_1_Tbl[[#This Row],['# HRS WORKED]]*Dec_Period_1_Tbl[[#This Row],[$ Hourly RATE]])</f>
        <v/>
      </c>
      <c r="H8" s="102"/>
      <c r="I8" s="102"/>
      <c r="J8" s="102"/>
      <c r="K8" s="102"/>
      <c r="L8" s="102"/>
      <c r="M8" s="103"/>
      <c r="N8" s="103"/>
      <c r="O8" s="104"/>
      <c r="P8" s="100">
        <f>IF(Dec_Period_1_Tbl[[#This Row],[$ Hourly WAGES]]="",SUM(Dec_Period_1_Tbl[[#This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PAY]]),SUM(Dec_Period_1_Tbl[[#This Row],[$ Hourly WAGES]]+Dec_Period_1_Tbl[[#This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PAY]]))</f>
        <v>0</v>
      </c>
      <c r="Q8" s="115"/>
      <c r="R8" s="135"/>
      <c r="S8" s="135"/>
      <c r="T8" s="135"/>
      <c r="U8" s="135"/>
      <c r="V8" s="120"/>
      <c r="W8" s="127" t="str">
        <f>Dec_Period_1_Tbl[[#This Row],[STAFF:]]</f>
        <v>Justin Stead</v>
      </c>
      <c r="X8" s="128">
        <f>IF(Dec_Period_1_Tbl[[#This Row],[$ Hourly WAGES]]="",Dec_Period_1_Tbl[[#This Row],[$ SALARY]],Dec_Period_1_Tbl[[#This Row],[$ Hourly WAGES]]+Dec_Period_1_Tbl[[#This Row],[$ SALARY]])</f>
        <v>0</v>
      </c>
      <c r="Y8" s="128">
        <f>Dec_Period_1_Tbl[[#This Row],[$ FREE PT]]+Dec_Period_1_Tbl[[#This Row],[$ PAID PT]]</f>
        <v>0</v>
      </c>
      <c r="Z8" s="128">
        <f>Dec_Period_1_Tbl[[#This Row],[$ CLASS PAY]]</f>
        <v>0</v>
      </c>
      <c r="AA8" s="128">
        <f>Dec_Period_1_Tbl[[#This Row],[$ EFT COMM]]</f>
        <v>0</v>
      </c>
      <c r="AB8" s="128">
        <f>Dec_Period_1_Tbl[[#This Row],[$ PT COMM]]</f>
        <v>0</v>
      </c>
      <c r="AC8" s="128">
        <f>Dec_Period_1_Tbl[[#This Row],[$ BONUS PAY]]</f>
        <v>0</v>
      </c>
      <c r="AD8" s="128">
        <f>Dec_Period_1_Tbl[[#This Row],[TOTAL PAY]]</f>
        <v>0</v>
      </c>
    </row>
    <row r="9" spans="1:30" x14ac:dyDescent="0.25">
      <c r="A9" s="96" t="s">
        <v>69</v>
      </c>
      <c r="B9" s="72"/>
      <c r="C9" s="73"/>
      <c r="D9" s="60"/>
      <c r="E9" s="85"/>
      <c r="F9" s="105"/>
      <c r="G9" s="106" t="str">
        <f>IF(OR(ISBLANK(Dec_Period_1_Tbl[[#This Row],['# HRS WORKED]]),ISBLANK(Dec_Period_1_Tbl[[#This Row],[$ Hourly RATE]])),"",Dec_Period_1_Tbl[[#This Row],['# HRS WORKED]]*Dec_Period_1_Tbl[[#This Row],[$ Hourly RATE]])</f>
        <v/>
      </c>
      <c r="H9" s="105"/>
      <c r="I9" s="105"/>
      <c r="J9" s="105"/>
      <c r="K9" s="105"/>
      <c r="L9" s="105"/>
      <c r="M9" s="107"/>
      <c r="N9" s="107"/>
      <c r="O9" s="108"/>
      <c r="P9" s="100">
        <f>IF(Dec_Period_1_Tbl[[#This Row],[$ Hourly WAGES]]="",SUM(Dec_Period_1_Tbl[[#This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PAY]]),SUM(Dec_Period_1_Tbl[[#This Row],[$ Hourly WAGES]]+Dec_Period_1_Tbl[[#This Row],[$ SALARY]]+Dec_Period_1_Tbl[[#This Row],[$ FREE PT]]+Dec_Period_1_Tbl[[#This Row],[$ PAID PT]]+Dec_Period_1_Tbl[[#This Row],[$ PT COMM]]+Dec_Period_1_Tbl[[#This Row],[$ EFT COMM]]+Dec_Period_1_Tbl[[#This Row],[$ CLASS PAY]]+Dec_Period_1_Tbl[[#This Row],[$ BONUS PAY]]))</f>
        <v>0</v>
      </c>
      <c r="Q9" s="115"/>
      <c r="R9" s="135"/>
      <c r="S9" s="135"/>
      <c r="T9" s="135"/>
      <c r="U9" s="135"/>
      <c r="V9" s="120"/>
      <c r="W9" s="127" t="str">
        <f>Dec_Period_1_Tbl[[#This Row],[STAFF:]]</f>
        <v>Georgine Diolamou</v>
      </c>
      <c r="X9" s="128">
        <f>IF(Dec_Period_1_Tbl[[#This Row],[$ Hourly WAGES]]="",Dec_Period_1_Tbl[[#This Row],[$ SALARY]],Dec_Period_1_Tbl[[#This Row],[$ Hourly WAGES]]+Dec_Period_1_Tbl[[#This Row],[$ SALARY]])</f>
        <v>0</v>
      </c>
      <c r="Y9" s="128">
        <f>Dec_Period_1_Tbl[[#This Row],[$ FREE PT]]+Dec_Period_1_Tbl[[#This Row],[$ PAID PT]]</f>
        <v>0</v>
      </c>
      <c r="Z9" s="128">
        <f>Dec_Period_1_Tbl[[#This Row],[$ CLASS PAY]]</f>
        <v>0</v>
      </c>
      <c r="AA9" s="128">
        <f>Dec_Period_1_Tbl[[#This Row],[$ EFT COMM]]</f>
        <v>0</v>
      </c>
      <c r="AB9" s="128">
        <f>Dec_Period_1_Tbl[[#This Row],[$ PT COMM]]</f>
        <v>0</v>
      </c>
      <c r="AC9" s="128">
        <f>Dec_Period_1_Tbl[[#This Row],[$ BONUS PAY]]</f>
        <v>0</v>
      </c>
      <c r="AD9" s="128">
        <f>Dec_Period_1_Tbl[[#This Row],[TOTAL PAY]]</f>
        <v>0</v>
      </c>
    </row>
    <row r="10" spans="1:30" ht="15.75" thickBot="1" x14ac:dyDescent="0.3">
      <c r="A10" s="21" t="s">
        <v>58</v>
      </c>
      <c r="B10" s="22"/>
      <c r="C10" s="79">
        <f>SUBTOTAL(109,Dec_Period_1_Tbl['# PTO USED])</f>
        <v>0</v>
      </c>
      <c r="D10" s="79">
        <f>SUBTOTAL(109,Dec_Period_1_Tbl['# PTO Holiday])</f>
        <v>0</v>
      </c>
      <c r="E10" s="80">
        <f>SUBTOTAL(109,Dec_Period_1_Tbl['# HRS WORKED])</f>
        <v>0</v>
      </c>
      <c r="F10" s="97">
        <f>SUBTOTAL(109,Dec_Period_1_Tbl[$ Hourly RATE])</f>
        <v>0</v>
      </c>
      <c r="G10" s="97">
        <f>SUBTOTAL(109,Dec_Period_1_Tbl[$ Hourly WAGES])</f>
        <v>0</v>
      </c>
      <c r="H10" s="97">
        <f>SUBTOTAL(109,Dec_Period_1_Tbl[$ SALARY])</f>
        <v>0</v>
      </c>
      <c r="I10" s="97">
        <f>SUBTOTAL(109,Dec_Period_1_Tbl[$ SALARY PT])</f>
        <v>0</v>
      </c>
      <c r="J10" s="97">
        <f>SUBTOTAL(109,Dec_Period_1_Tbl[$ FREE PT])</f>
        <v>0</v>
      </c>
      <c r="K10" s="97">
        <f>SUBTOTAL(109,Dec_Period_1_Tbl[$ PAID PT])</f>
        <v>0</v>
      </c>
      <c r="L10" s="97">
        <f>SUBTOTAL(109,Dec_Period_1_Tbl[$ PT COMM])</f>
        <v>0</v>
      </c>
      <c r="M10" s="98">
        <f>SUBTOTAL(109,Dec_Period_1_Tbl[$ EFT COMM])</f>
        <v>0</v>
      </c>
      <c r="N10" s="98">
        <f>SUBTOTAL(109,Dec_Period_1_Tbl[$ CLASS PAY])</f>
        <v>0</v>
      </c>
      <c r="O10" s="99">
        <f>SUBTOTAL(109,Dec_Period_1_Tbl[$ BONUS PAY])</f>
        <v>0</v>
      </c>
      <c r="P10" s="100">
        <f>SUBTOTAL(109,Dec_Period_1_Tbl[TOTAL PAY])</f>
        <v>0</v>
      </c>
      <c r="Q10" s="115"/>
      <c r="R10" s="120">
        <f>SUBTOTAL(109,Dec_Period_1_Tbl['# POINTS EARNED])</f>
        <v>0</v>
      </c>
      <c r="S10" s="120">
        <f>SUBTOTAL(109,Dec_Period_1_Tbl['# POINTS USED])</f>
        <v>0</v>
      </c>
      <c r="T10" s="120">
        <f>SUBTOTAL(109,Dec_Period_1_Tbl['# CLASSES LEAD])</f>
        <v>0</v>
      </c>
      <c r="U10" s="120">
        <f>SUBTOTAL(109,Dec_Period_1_Tbl['# CLASSES SHOW])</f>
        <v>0</v>
      </c>
      <c r="V10" s="123"/>
      <c r="W10" s="129" t="s">
        <v>105</v>
      </c>
      <c r="X10" s="128">
        <f>SUBTOTAL(109,Dec_Period_1_Tbl[$ REGULAR WAGES])</f>
        <v>0</v>
      </c>
      <c r="Y10" s="128">
        <f>SUBTOTAL(109,Dec_Period_1_Tbl[$ PERSONAL TRAINING])</f>
        <v>0</v>
      </c>
      <c r="Z10" s="128">
        <f>SUBTOTAL(109,Dec_Period_1_Tbl[$ CLASSES])</f>
        <v>0</v>
      </c>
      <c r="AA10" s="128">
        <f>SUBTOTAL(109,Dec_Period_1_Tbl[$ EFT COMMISSION])</f>
        <v>0</v>
      </c>
      <c r="AB10" s="128">
        <f>SUBTOTAL(109,Dec_Period_1_Tbl[$ PT COMMISSION])</f>
        <v>0</v>
      </c>
      <c r="AC10" s="128">
        <f>SUBTOTAL(109,Dec_Period_1_Tbl[BONUS])</f>
        <v>0</v>
      </c>
      <c r="AD10" s="128">
        <f>SUBTOTAL(109,Dec_Period_1_Tbl[TOTAL
PAY])</f>
        <v>0</v>
      </c>
    </row>
    <row r="11" spans="1:30" s="30" customFormat="1" ht="15.75" thickTop="1" x14ac:dyDescent="0.25">
      <c r="A11" s="61"/>
      <c r="B11" s="62"/>
      <c r="C11" s="63"/>
      <c r="D11" s="86"/>
      <c r="E11" s="65"/>
      <c r="F11" s="64"/>
      <c r="G11" s="64"/>
      <c r="H11" s="64"/>
      <c r="I11" s="78"/>
      <c r="J11" s="64"/>
      <c r="K11" s="65"/>
      <c r="L11" s="65"/>
      <c r="M11" s="64"/>
      <c r="N11" s="64"/>
      <c r="O11" s="66"/>
      <c r="Q11" s="114"/>
      <c r="W11" s="133" t="s">
        <v>106</v>
      </c>
      <c r="X11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WAGES]]+Aug_Period_2_Tbl[[#Totals],[$ REGULAR WAGES]]+Sep_Period_1_Tbl[[#Totals],[$ REGULAR WAGES]]+Sep_Period_2_Tbl[[#Totals],[$ REGULAR WAGES]]+Oct_Period_1_Tbl[[#Totals],[$ REGULAR WAGES]]+Oct_Period_2_Tbl[[#Totals],[$ REGULAR WAGES]]+Nov_Period_1_Tbl[[#Totals],[$ REGULAR WAGES]]+Nov_Period_2_Tbl[[#Totals],[$ REGULAR WAGES]]+Dec_Period_1_Tbl[[#Totals],[$ REGULAR WAGES]]</f>
        <v>8695</v>
      </c>
      <c r="Y11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TRAINING]]+Aug_Period_2_Tbl[[#Totals],[$ PERSONAL TRAINING]]+Sep_Period_1_Tbl[[#Totals],[$ PERSONAL TRAINING]]+Sep_Period_2_Tbl[[#Totals],[$ PERSONAL TRAINING]]+Oct_Period_1_Tbl[[#Totals],[$ PERSONAL TRAINING]]+Oct_Period_2_Tbl[[#Totals],[$ PERSONAL TRAINING]]+Nov_Period_1_Tbl[[#Totals],[$ PERSONAL TRAINING]]+Nov_Period_2_Tbl[[#Totals],[$ PERSONAL TRAINING]]+Dec_Period_1_Tbl[[#Totals],[$ PERSONAL TRAINING]]</f>
        <v>6640.2000000000007</v>
      </c>
      <c r="Z11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CLASSES]]+Aug_Period_2_Tbl[[#Totals],[$ CLASSES]]+Sep_Period_1_Tbl[[#Totals],[$ CLASSES]]+Sep_Period_2_Tbl[[#Totals],[$ CLASSES]]+Oct_Period_1_Tbl[[#Totals],[$ CLASSES]]+Oct_Period_2_Tbl[[#Totals],[$ CLASSES]]+Nov_Period_1_Tbl[[#Totals],[$ CLASSES]]+Nov_Period_2_Tbl[[#Totals],[$ CLASSES]]+Dec_Period_1_Tbl[[#Totals],[$ CLASSES]]</f>
        <v>675</v>
      </c>
      <c r="AA11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COMMISSION]]+Aug_Period_2_Tbl[[#Totals],[$ EFT COMMISSION]]+Sep_Period_1_Tbl[[#Totals],[$ EFT COMMISSION]]+Sep_Period_2_Tbl[[#Totals],[$ EFT COMMISSION]]+Oct_Period_1_Tbl[[#Totals],[$ EFT COMMISSION]]+Oct_Period_2_Tbl[[#Totals],[$ EFT COMMISSION]]+Nov_Period_1_Tbl[[#Totals],[$ EFT COMMISSION]]+Nov_Period_2_Tbl[[#Totals],[$ EFT COMMISSION]]+Dec_Period_1_Tbl[[#Totals],[$ EFT COMMISSION]]</f>
        <v>1319.24</v>
      </c>
      <c r="AB11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COMMISSION]]+Aug_Period_2_Tbl[[#Totals],[$ PT COMMISSION]]+Sep_Period_1_Tbl[[#Totals],[$ PT COMMISSION]]+Sep_Period_2_Tbl[[#Totals],[$ PT COMMISSION]]+Oct_Period_1_Tbl[[#Totals],[$ PT COMMISSION]]+Oct_Period_2_Tbl[[#Totals],[$ PT COMMISSION]]+Nov_Period_1_Tbl[[#Totals],[$ PT COMMISSION]]+Nov_Period_2_Tbl[[#Totals],[$ PT COMMISSION]]+Dec_Period_1_Tbl[[#Totals],[$ PT COMMISSION]]</f>
        <v>741.42</v>
      </c>
      <c r="AC11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+Aug_Period_2_Tbl[[#Totals],[BONUS]]+Sep_Period_1_Tbl[[#Totals],[BONUS]]+Sep_Period_2_Tbl[[#Totals],[BONUS]]+Oct_Period_1_Tbl[[#Totals],[BONUS]]+Oct_Period_2_Tbl[[#Totals],[BONUS]]+Nov_Period_1_Tbl[[#Totals],[BONUS]]+Nov_Period_2_Tbl[[#Totals],[BONUS]]+Dec_Period_1_Tbl[[#Totals],[BONUS]]</f>
        <v>300</v>
      </c>
      <c r="AD11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PAY]]+Aug_Period_2_Tbl[[#Totals],[TOTAL
PAY]]+Sep_Period_1_Tbl[[#Totals],[TOTAL
PAY]]+Sep_Period_2_Tbl[[#Totals],[TOTAL
PAY]]+Oct_Period_1_Tbl[[#Totals],[TOTAL
PAY]]+Oct_Period_2_Tbl[[#Totals],[TOTAL
PAY]]+Nov_Period_1_Tbl[[#Totals],[TOTAL
PAY]]+Nov_Period_2_Tbl[[#Totals],[TOTAL
PAY]]+Dec_Period_1_Tbl[[#Totals],[TOTAL
PAY]]</f>
        <v>18370.86</v>
      </c>
    </row>
    <row r="12" spans="1:30" s="30" customFormat="1" ht="12.75" x14ac:dyDescent="0.2">
      <c r="A12" s="88" t="s">
        <v>84</v>
      </c>
      <c r="B12" s="67">
        <f>Summary!D91</f>
        <v>43084</v>
      </c>
      <c r="C12" s="68"/>
      <c r="D12" s="87"/>
      <c r="E12" s="70"/>
      <c r="F12" s="69"/>
      <c r="G12" s="69"/>
      <c r="H12" s="69"/>
      <c r="I12" s="69"/>
      <c r="J12" s="69"/>
      <c r="K12" s="70"/>
      <c r="L12" s="70"/>
      <c r="M12" s="69"/>
      <c r="N12" s="69"/>
      <c r="O12" s="71"/>
      <c r="Q12" s="114"/>
    </row>
    <row r="13" spans="1:30" x14ac:dyDescent="0.25">
      <c r="A13" s="88" t="s">
        <v>5</v>
      </c>
      <c r="B13" s="67" t="s">
        <v>36</v>
      </c>
      <c r="C13" s="68"/>
      <c r="D13" s="87"/>
      <c r="E13" s="70"/>
      <c r="F13" s="69"/>
      <c r="G13" s="69"/>
      <c r="H13" s="69"/>
      <c r="I13" s="69"/>
      <c r="J13" s="69"/>
      <c r="K13" s="70"/>
      <c r="L13" s="70"/>
      <c r="M13" s="69"/>
      <c r="N13" s="69"/>
      <c r="O13" s="71"/>
      <c r="P13" s="32"/>
      <c r="Q13" s="116"/>
      <c r="R13" s="30" t="s">
        <v>95</v>
      </c>
      <c r="W13" s="30" t="s">
        <v>96</v>
      </c>
    </row>
    <row r="14" spans="1:30" s="31" customFormat="1" ht="32.25" customHeight="1" thickBot="1" x14ac:dyDescent="0.3">
      <c r="A14" s="55" t="s">
        <v>85</v>
      </c>
      <c r="B14" s="89" t="s">
        <v>0</v>
      </c>
      <c r="C14" s="58" t="s">
        <v>18</v>
      </c>
      <c r="D14" s="58" t="s">
        <v>87</v>
      </c>
      <c r="E14" s="90" t="s">
        <v>12</v>
      </c>
      <c r="F14" s="56" t="s">
        <v>88</v>
      </c>
      <c r="G14" s="56" t="s">
        <v>89</v>
      </c>
      <c r="H14" s="56" t="s">
        <v>90</v>
      </c>
      <c r="I14" s="91" t="s">
        <v>9</v>
      </c>
      <c r="J14" s="92" t="s">
        <v>7</v>
      </c>
      <c r="K14" s="91" t="s">
        <v>8</v>
      </c>
      <c r="L14" s="57" t="s">
        <v>14</v>
      </c>
      <c r="M14" s="58" t="s">
        <v>15</v>
      </c>
      <c r="N14" s="58" t="s">
        <v>13</v>
      </c>
      <c r="O14" s="93" t="s">
        <v>16</v>
      </c>
      <c r="P14" s="94" t="s">
        <v>17</v>
      </c>
      <c r="Q14" s="117" t="s">
        <v>86</v>
      </c>
      <c r="R14" s="175" t="s">
        <v>94</v>
      </c>
      <c r="S14" s="175" t="s">
        <v>93</v>
      </c>
      <c r="T14" s="175" t="s">
        <v>91</v>
      </c>
      <c r="U14" s="175" t="s">
        <v>92</v>
      </c>
      <c r="V14" s="117" t="s">
        <v>97</v>
      </c>
      <c r="W14" s="172" t="s">
        <v>98</v>
      </c>
      <c r="X14" s="131" t="s">
        <v>99</v>
      </c>
      <c r="Y14" s="131" t="s">
        <v>100</v>
      </c>
      <c r="Z14" s="131" t="s">
        <v>101</v>
      </c>
      <c r="AA14" s="131" t="s">
        <v>102</v>
      </c>
      <c r="AB14" s="131" t="s">
        <v>103</v>
      </c>
      <c r="AC14" s="131" t="s">
        <v>104</v>
      </c>
      <c r="AD14" s="131" t="s">
        <v>107</v>
      </c>
    </row>
    <row r="15" spans="1:30" x14ac:dyDescent="0.25">
      <c r="A15" s="95" t="s">
        <v>1</v>
      </c>
      <c r="B15" s="59"/>
      <c r="C15" s="60"/>
      <c r="D15" s="60"/>
      <c r="E15" s="84"/>
      <c r="F15" s="102"/>
      <c r="G15" s="97" t="str">
        <f>IF(OR(ISBLANK(Dec_Period_2_Tbl[[#This Row],['# HRS WORKED]]),ISBLANK(Dec_Period_2_Tbl[[#This Row],[$ Hourly RATE]])),"",Dec_Period_2_Tbl[[#This Row],['# HRS WORKED]]*Dec_Period_2_Tbl[[#This Row],[$ Hourly RATE]])</f>
        <v/>
      </c>
      <c r="H15" s="102"/>
      <c r="I15" s="102"/>
      <c r="J15" s="102"/>
      <c r="K15" s="102"/>
      <c r="L15" s="102"/>
      <c r="M15" s="103"/>
      <c r="N15" s="103"/>
      <c r="O15" s="104"/>
      <c r="P15" s="100">
        <f>IF(Dec_Period_2_Tbl[[#This Row],[$ Hourly WAGES]]="",SUM(Dec_Period_2_Tbl[[#This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PAY]]),SUM(Dec_Period_2_Tbl[[#This Row],[$ Hourly WAGES]]+Dec_Period_2_Tbl[[#This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PAY]]))</f>
        <v>0</v>
      </c>
      <c r="Q15" s="115"/>
      <c r="R15" s="135"/>
      <c r="S15" s="135"/>
      <c r="T15" s="135"/>
      <c r="U15" s="135"/>
      <c r="V15" s="120"/>
      <c r="W15" s="127" t="str">
        <f>Dec_Period_2_Tbl[[#This Row],[STAFF:]]</f>
        <v>Roxy Ayala</v>
      </c>
      <c r="X15" s="128">
        <f>IF(Dec_Period_2_Tbl[[#This Row],[$ Hourly WAGES]]="",Dec_Period_2_Tbl[[#This Row],[$ SALARY]],Dec_Period_2_Tbl[[#This Row],[$ Hourly WAGES]]+Dec_Period_2_Tbl[[#This Row],[$ SALARY]])</f>
        <v>0</v>
      </c>
      <c r="Y15" s="128">
        <f>Dec_Period_2_Tbl[[#This Row],[$ FREE PT]]+Dec_Period_2_Tbl[[#This Row],[$ PAID PT]]</f>
        <v>0</v>
      </c>
      <c r="Z15" s="128">
        <f>Dec_Period_2_Tbl[[#This Row],[$ CLASS PAY]]</f>
        <v>0</v>
      </c>
      <c r="AA15" s="128">
        <f>Dec_Period_2_Tbl[[#This Row],[$ EFT COMM]]</f>
        <v>0</v>
      </c>
      <c r="AB15" s="128">
        <f>Dec_Period_2_Tbl[[#This Row],[$ PT COMM]]</f>
        <v>0</v>
      </c>
      <c r="AC15" s="128">
        <f>Dec_Period_2_Tbl[[#This Row],[$ BONUS PAY]]</f>
        <v>0</v>
      </c>
      <c r="AD15" s="128">
        <f>Dec_Period_2_Tbl[[#This Row],[TOTAL PAY]]</f>
        <v>0</v>
      </c>
    </row>
    <row r="16" spans="1:30" x14ac:dyDescent="0.25">
      <c r="A16" s="95" t="s">
        <v>2</v>
      </c>
      <c r="B16" s="59"/>
      <c r="C16" s="60"/>
      <c r="D16" s="60"/>
      <c r="E16" s="84"/>
      <c r="F16" s="102"/>
      <c r="G16" s="97" t="str">
        <f>IF(OR(ISBLANK(Dec_Period_2_Tbl[[#This Row],['# HRS WORKED]]),ISBLANK(Dec_Period_2_Tbl[[#This Row],[$ Hourly RATE]])),"",Dec_Period_2_Tbl[[#This Row],['# HRS WORKED]]*Dec_Period_2_Tbl[[#This Row],[$ Hourly RATE]])</f>
        <v/>
      </c>
      <c r="H16" s="102"/>
      <c r="I16" s="102"/>
      <c r="J16" s="102"/>
      <c r="K16" s="102"/>
      <c r="L16" s="102"/>
      <c r="M16" s="103"/>
      <c r="N16" s="103"/>
      <c r="O16" s="104"/>
      <c r="P16" s="100">
        <f>IF(Dec_Period_2_Tbl[[#This Row],[$ Hourly WAGES]]="",SUM(Dec_Period_2_Tbl[[#This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PAY]]),SUM(Dec_Period_2_Tbl[[#This Row],[$ Hourly WAGES]]+Dec_Period_2_Tbl[[#This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PAY]]))</f>
        <v>0</v>
      </c>
      <c r="Q16" s="115"/>
      <c r="R16" s="135"/>
      <c r="S16" s="135"/>
      <c r="T16" s="135"/>
      <c r="U16" s="135"/>
      <c r="V16" s="120"/>
      <c r="W16" s="127" t="str">
        <f>Dec_Period_2_Tbl[[#This Row],[STAFF:]]</f>
        <v>David Pecinovsky</v>
      </c>
      <c r="X16" s="128">
        <f>IF(Dec_Period_2_Tbl[[#This Row],[$ Hourly WAGES]]="",Dec_Period_2_Tbl[[#This Row],[$ SALARY]],Dec_Period_2_Tbl[[#This Row],[$ Hourly WAGES]]+Dec_Period_2_Tbl[[#This Row],[$ SALARY]])</f>
        <v>0</v>
      </c>
      <c r="Y16" s="128">
        <f>Dec_Period_2_Tbl[[#This Row],[$ FREE PT]]+Dec_Period_2_Tbl[[#This Row],[$ PAID PT]]</f>
        <v>0</v>
      </c>
      <c r="Z16" s="128">
        <f>Dec_Period_2_Tbl[[#This Row],[$ CLASS PAY]]</f>
        <v>0</v>
      </c>
      <c r="AA16" s="128">
        <f>Dec_Period_2_Tbl[[#This Row],[$ EFT COMM]]</f>
        <v>0</v>
      </c>
      <c r="AB16" s="128">
        <f>Dec_Period_2_Tbl[[#This Row],[$ PT COMM]]</f>
        <v>0</v>
      </c>
      <c r="AC16" s="128">
        <f>Dec_Period_2_Tbl[[#This Row],[$ BONUS PAY]]</f>
        <v>0</v>
      </c>
      <c r="AD16" s="128">
        <f>Dec_Period_2_Tbl[[#This Row],[TOTAL PAY]]</f>
        <v>0</v>
      </c>
    </row>
    <row r="17" spans="1:30" x14ac:dyDescent="0.25">
      <c r="A17" s="95" t="s">
        <v>3</v>
      </c>
      <c r="B17" s="59"/>
      <c r="C17" s="60"/>
      <c r="D17" s="60"/>
      <c r="E17" s="84"/>
      <c r="F17" s="102"/>
      <c r="G17" s="97" t="str">
        <f>IF(OR(ISBLANK(Dec_Period_2_Tbl[[#This Row],['# HRS WORKED]]),ISBLANK(Dec_Period_2_Tbl[[#This Row],[$ Hourly RATE]])),"",Dec_Period_2_Tbl[[#This Row],['# HRS WORKED]]*Dec_Period_2_Tbl[[#This Row],[$ Hourly RATE]])</f>
        <v/>
      </c>
      <c r="H17" s="102"/>
      <c r="I17" s="102"/>
      <c r="J17" s="102"/>
      <c r="K17" s="102"/>
      <c r="L17" s="102"/>
      <c r="M17" s="103"/>
      <c r="N17" s="103"/>
      <c r="O17" s="104"/>
      <c r="P17" s="100">
        <f>IF(Dec_Period_2_Tbl[[#This Row],[$ Hourly WAGES]]="",SUM(Dec_Period_2_Tbl[[#This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PAY]]),SUM(Dec_Period_2_Tbl[[#This Row],[$ Hourly WAGES]]+Dec_Period_2_Tbl[[#This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PAY]]))</f>
        <v>0</v>
      </c>
      <c r="Q17" s="115"/>
      <c r="R17" s="135"/>
      <c r="S17" s="135"/>
      <c r="T17" s="135"/>
      <c r="U17" s="135"/>
      <c r="V17" s="120"/>
      <c r="W17" s="127" t="str">
        <f>Dec_Period_2_Tbl[[#This Row],[STAFF:]]</f>
        <v>Justin Stead</v>
      </c>
      <c r="X17" s="128">
        <f>IF(Dec_Period_2_Tbl[[#This Row],[$ Hourly WAGES]]="",Dec_Period_2_Tbl[[#This Row],[$ SALARY]],Dec_Period_2_Tbl[[#This Row],[$ Hourly WAGES]]+Dec_Period_2_Tbl[[#This Row],[$ SALARY]])</f>
        <v>0</v>
      </c>
      <c r="Y17" s="128">
        <f>Dec_Period_2_Tbl[[#This Row],[$ FREE PT]]+Dec_Period_2_Tbl[[#This Row],[$ PAID PT]]</f>
        <v>0</v>
      </c>
      <c r="Z17" s="128">
        <f>Dec_Period_2_Tbl[[#This Row],[$ CLASS PAY]]</f>
        <v>0</v>
      </c>
      <c r="AA17" s="128">
        <f>Dec_Period_2_Tbl[[#This Row],[$ EFT COMM]]</f>
        <v>0</v>
      </c>
      <c r="AB17" s="128">
        <f>Dec_Period_2_Tbl[[#This Row],[$ PT COMM]]</f>
        <v>0</v>
      </c>
      <c r="AC17" s="128">
        <f>Dec_Period_2_Tbl[[#This Row],[$ BONUS PAY]]</f>
        <v>0</v>
      </c>
      <c r="AD17" s="128">
        <f>Dec_Period_2_Tbl[[#This Row],[TOTAL PAY]]</f>
        <v>0</v>
      </c>
    </row>
    <row r="18" spans="1:30" x14ac:dyDescent="0.25">
      <c r="A18" s="96" t="s">
        <v>69</v>
      </c>
      <c r="B18" s="72"/>
      <c r="C18" s="73"/>
      <c r="D18" s="60"/>
      <c r="E18" s="85"/>
      <c r="F18" s="105"/>
      <c r="G18" s="106" t="str">
        <f>IF(OR(ISBLANK(Dec_Period_2_Tbl[[#This Row],['# HRS WORKED]]),ISBLANK(Dec_Period_2_Tbl[[#This Row],[$ Hourly RATE]])),"",Dec_Period_2_Tbl[[#This Row],['# HRS WORKED]]*Dec_Period_2_Tbl[[#This Row],[$ Hourly RATE]])</f>
        <v/>
      </c>
      <c r="H18" s="105"/>
      <c r="I18" s="105"/>
      <c r="J18" s="105"/>
      <c r="K18" s="105"/>
      <c r="L18" s="105"/>
      <c r="M18" s="107"/>
      <c r="N18" s="107"/>
      <c r="O18" s="108"/>
      <c r="P18" s="100">
        <f>IF(Dec_Period_2_Tbl[[#This Row],[$ Hourly WAGES]]="",SUM(Dec_Period_2_Tbl[[#This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PAY]]),SUM(Dec_Period_2_Tbl[[#This Row],[$ Hourly WAGES]]+Dec_Period_2_Tbl[[#This Row],[$ SALARY]]+Dec_Period_2_Tbl[[#This Row],[$ FREE PT]]+Dec_Period_2_Tbl[[#This Row],[$ PAID PT]]+Dec_Period_2_Tbl[[#This Row],[$ PT COMM]]+Dec_Period_2_Tbl[[#This Row],[$ EFT COMM]]+Dec_Period_2_Tbl[[#This Row],[$ CLASS PAY]]+Dec_Period_2_Tbl[[#This Row],[$ BONUS PAY]]))</f>
        <v>0</v>
      </c>
      <c r="Q18" s="115"/>
      <c r="R18" s="135"/>
      <c r="S18" s="135"/>
      <c r="T18" s="135"/>
      <c r="U18" s="135"/>
      <c r="V18" s="120"/>
      <c r="W18" s="127" t="str">
        <f>Dec_Period_2_Tbl[[#This Row],[STAFF:]]</f>
        <v>Georgine Diolamou</v>
      </c>
      <c r="X18" s="128">
        <f>IF(Dec_Period_2_Tbl[[#This Row],[$ Hourly WAGES]]="",Dec_Period_2_Tbl[[#This Row],[$ SALARY]],Dec_Period_2_Tbl[[#This Row],[$ Hourly WAGES]]+Dec_Period_2_Tbl[[#This Row],[$ SALARY]])</f>
        <v>0</v>
      </c>
      <c r="Y18" s="128">
        <f>Dec_Period_2_Tbl[[#This Row],[$ FREE PT]]+Dec_Period_2_Tbl[[#This Row],[$ PAID PT]]</f>
        <v>0</v>
      </c>
      <c r="Z18" s="128">
        <f>Dec_Period_2_Tbl[[#This Row],[$ CLASS PAY]]</f>
        <v>0</v>
      </c>
      <c r="AA18" s="128">
        <f>Dec_Period_2_Tbl[[#This Row],[$ EFT COMM]]</f>
        <v>0</v>
      </c>
      <c r="AB18" s="128">
        <f>Dec_Period_2_Tbl[[#This Row],[$ PT COMM]]</f>
        <v>0</v>
      </c>
      <c r="AC18" s="128">
        <f>Dec_Period_2_Tbl[[#This Row],[$ BONUS PAY]]</f>
        <v>0</v>
      </c>
      <c r="AD18" s="128">
        <f>Dec_Period_2_Tbl[[#This Row],[TOTAL PAY]]</f>
        <v>0</v>
      </c>
    </row>
    <row r="19" spans="1:30" ht="15.75" thickBot="1" x14ac:dyDescent="0.3">
      <c r="A19" s="21" t="s">
        <v>58</v>
      </c>
      <c r="B19" s="22"/>
      <c r="C19" s="79">
        <f>SUBTOTAL(109,Dec_Period_2_Tbl['# PTO USED])</f>
        <v>0</v>
      </c>
      <c r="D19" s="79">
        <f>SUBTOTAL(109,Dec_Period_2_Tbl['# PTO Holiday])</f>
        <v>0</v>
      </c>
      <c r="E19" s="80">
        <f>SUBTOTAL(109,Dec_Period_2_Tbl['# HRS WORKED])</f>
        <v>0</v>
      </c>
      <c r="F19" s="97">
        <f>SUBTOTAL(109,Dec_Period_2_Tbl[$ Hourly RATE])</f>
        <v>0</v>
      </c>
      <c r="G19" s="97">
        <f>SUBTOTAL(109,Dec_Period_2_Tbl[$ Hourly WAGES])</f>
        <v>0</v>
      </c>
      <c r="H19" s="97">
        <f>SUBTOTAL(109,Dec_Period_2_Tbl[$ SALARY])</f>
        <v>0</v>
      </c>
      <c r="I19" s="97">
        <f>SUBTOTAL(109,Dec_Period_2_Tbl[$ SALARY PT])</f>
        <v>0</v>
      </c>
      <c r="J19" s="97">
        <f>SUBTOTAL(109,Dec_Period_2_Tbl[$ FREE PT])</f>
        <v>0</v>
      </c>
      <c r="K19" s="97">
        <f>SUBTOTAL(109,Dec_Period_2_Tbl[$ PAID PT])</f>
        <v>0</v>
      </c>
      <c r="L19" s="97">
        <f>SUBTOTAL(109,Dec_Period_2_Tbl[$ PT COMM])</f>
        <v>0</v>
      </c>
      <c r="M19" s="97">
        <f>SUBTOTAL(109,Dec_Period_2_Tbl[$ EFT COMM])</f>
        <v>0</v>
      </c>
      <c r="N19" s="97">
        <f>SUBTOTAL(109,Dec_Period_2_Tbl[$ CLASS PAY])</f>
        <v>0</v>
      </c>
      <c r="O19" s="97">
        <f>SUBTOTAL(109,Dec_Period_2_Tbl[$ BONUS PAY])</f>
        <v>0</v>
      </c>
      <c r="P19" s="100">
        <f>SUBTOTAL(109,Dec_Period_2_Tbl[TOTAL PAY])</f>
        <v>0</v>
      </c>
      <c r="Q19" s="109"/>
      <c r="R19" s="124">
        <f>SUBTOTAL(109,Dec_Period_2_Tbl['# POINTS EARNED])</f>
        <v>0</v>
      </c>
      <c r="S19" s="124">
        <f>SUBTOTAL(109,Dec_Period_2_Tbl['# POINTS USED])</f>
        <v>0</v>
      </c>
      <c r="T19" s="124">
        <f>SUBTOTAL(109,Dec_Period_2_Tbl['# CLASSES LEAD])</f>
        <v>0</v>
      </c>
      <c r="U19" s="124">
        <f>SUBTOTAL(109,Dec_Period_2_Tbl['# CLASSES SHOW])</f>
        <v>0</v>
      </c>
      <c r="V19" s="123"/>
      <c r="W19" s="129" t="s">
        <v>105</v>
      </c>
      <c r="X19" s="128">
        <f>SUBTOTAL(109,Dec_Period_2_Tbl[$ REGULAR WAGES])</f>
        <v>0</v>
      </c>
      <c r="Y19" s="128">
        <f>SUBTOTAL(109,Dec_Period_2_Tbl[$ PERSONAL TRAINING])</f>
        <v>0</v>
      </c>
      <c r="Z19" s="128">
        <f>SUBTOTAL(109,Dec_Period_2_Tbl[$ CLASSES])</f>
        <v>0</v>
      </c>
      <c r="AA19" s="128">
        <f>SUBTOTAL(109,Dec_Period_2_Tbl[$ EFT COMMISSION])</f>
        <v>0</v>
      </c>
      <c r="AB19" s="128">
        <f>SUBTOTAL(109,Dec_Period_2_Tbl[$ PT COMMISSION])</f>
        <v>0</v>
      </c>
      <c r="AC19" s="128">
        <f>SUBTOTAL(109,Dec_Period_2_Tbl[BONUS])</f>
        <v>0</v>
      </c>
      <c r="AD19" s="128">
        <f>SUBTOTAL(109,Dec_Period_2_Tbl[TOTAL
PAY])</f>
        <v>0</v>
      </c>
    </row>
    <row r="20" spans="1:30" ht="15.75" thickTop="1" x14ac:dyDescent="0.25">
      <c r="W20" s="133" t="s">
        <v>106</v>
      </c>
      <c r="X20" s="134">
        <f>Jan_Period_1_Tbl[[#Totals],[$ REGULAR WAGES]]+Jan_Period_2_Tbl[[#Totals],[$ REGULAR WAGES]]+Feb_Period_1_Tbl[[#Totals],[$ REGULAR WAGES]]+Feb_Period_2_Tbl[[#Totals],[$ REGULAR WAGES]]+Mar_Period_1_Tbl[[#Totals],[$ REGULAR WAGES]]+Mar_Period_2_Tbl[[#Totals],[$ REGULAR WAGES]]+Apr_Period_1_Tbl[[#Totals],[$ REGULAR WAGES]]+Apr_Period_2_Tbl[[#Totals],[$ REGULAR WAGES]]+May_Period_1_Tbl[[#Totals],[$ REGULAR WAGES]]+May_Period_2_Tbl[[#Totals],[$ REGULAR WAGES]]+Jun_Period_1_Tbl[[#Totals],[$ REGULAR WAGES]]+Jun_Period_2_Tbl[[#Totals],[$ REGULAR WAGES]]+Jul_Period_1_Tbl[[#Totals],[$ REGULAR WAGES]]+Jul_Period_2_Tbl[[#Totals],[$ REGULAR WAGES]]+Aug_Period_1_Tbl[[#Totals],[$ REGULAR WAGES]]+Aug_Period_2_Tbl[[#Totals],[$ REGULAR WAGES]]+Sep_Period_1_Tbl[[#Totals],[$ REGULAR WAGES]]+Sep_Period_2_Tbl[[#Totals],[$ REGULAR WAGES]]+Oct_Period_1_Tbl[[#Totals],[$ REGULAR WAGES]]+Oct_Period_2_Tbl[[#Totals],[$ REGULAR WAGES]]+Nov_Period_1_Tbl[[#Totals],[$ REGULAR WAGES]]+Nov_Period_2_Tbl[[#Totals],[$ REGULAR WAGES]]+Dec_Period_1_Tbl[[#Totals],[$ REGULAR WAGES]]+Dec_Period_2_Tbl[[#Totals],[$ REGULAR WAGES]]</f>
        <v>8695</v>
      </c>
      <c r="Y20" s="134">
        <f>Jan_Period_1_Tbl[[#Totals],[$ PERSONAL TRAINING]]+Jan_Period_2_Tbl[[#Totals],[$ PERSONAL TRAINING]]+Feb_Period_1_Tbl[[#Totals],[$ PERSONAL TRAINING]]+Feb_Period_2_Tbl[[#Totals],[$ PERSONAL TRAINING]]+Mar_Period_1_Tbl[[#Totals],[$ PERSONAL TRAINING]]+Mar_Period_2_Tbl[[#Totals],[$ PERSONAL TRAINING]]+Apr_Period_1_Tbl[[#Totals],[$ PERSONAL TRAINING]]+Apr_Period_2_Tbl[[#Totals],[$ PERSONAL TRAINING]]+May_Period_1_Tbl[[#Totals],[$ PERSONAL TRAINING]]+May_Period_2_Tbl[[#Totals],[$ PERSONAL TRAINING]]+Jun_Period_1_Tbl[[#Totals],[$ PERSONAL TRAINING]]+Jun_Period_2_Tbl[[#Totals],[$ PERSONAL TRAINING]]+Jul_Period_1_Tbl[[#Totals],[$ PERSONAL TRAINING]]+Jul_Period_2_Tbl[[#Totals],[$ PERSONAL TRAINING]]+Aug_Period_1_Tbl[[#Totals],[$ PERSONAL TRAINING]]+Aug_Period_2_Tbl[[#Totals],[$ PERSONAL TRAINING]]+Sep_Period_1_Tbl[[#Totals],[$ PERSONAL TRAINING]]+Sep_Period_2_Tbl[[#Totals],[$ PERSONAL TRAINING]]+Oct_Period_1_Tbl[[#Totals],[$ PERSONAL TRAINING]]+Oct_Period_2_Tbl[[#Totals],[$ PERSONAL TRAINING]]+Nov_Period_1_Tbl[[#Totals],[$ PERSONAL TRAINING]]+Nov_Period_2_Tbl[[#Totals],[$ PERSONAL TRAINING]]+Dec_Period_1_Tbl[[#Totals],[$ PERSONAL TRAINING]]+Dec_Period_2_Tbl[[#Totals],[$ PERSONAL TRAINING]]</f>
        <v>6640.2000000000007</v>
      </c>
      <c r="Z20" s="134">
        <f>Jan_Period_1_Tbl[[#Totals],[$ CLASSES]]+Jan_Period_2_Tbl[[#Totals],[$ CLASSES]]+Feb_Period_1_Tbl[[#Totals],[$ CLASSES]]+Feb_Period_2_Tbl[[#Totals],[$ CLASSES]]+Mar_Period_2_Tbl[[#Totals],[$ CLASSES]]+Apr_Period_1_Tbl[[#Totals],[$ CLASSES]]+Apr_Period_2_Tbl[[#Totals],[$ CLASSES]]+May_Period_1_Tbl[[#Totals],[$ CLASSES]]+May_Period_2_Tbl[[#Totals],[$ CLASSES]]+Jun_Period_1_Tbl[[#Totals],[$ CLASSES]]+Jun_Period_2_Tbl[[#Totals],[$ CLASSES]]+Jul_Period_1_Tbl[[#Totals],[$ CLASSES]]+Jul_Period_2_Tbl[[#Totals],[$ CLASSES]]+Aug_Period_1_Tbl[[#Totals],[$ CLASSES]]+Aug_Period_2_Tbl[[#Totals],[$ CLASSES]]+Sep_Period_1_Tbl[[#Totals],[$ CLASSES]]+Sep_Period_2_Tbl[[#Totals],[$ CLASSES]]+Oct_Period_1_Tbl[[#Totals],[$ CLASSES]]+Oct_Period_2_Tbl[[#Totals],[$ CLASSES]]+Nov_Period_1_Tbl[[#Totals],[$ CLASSES]]+Nov_Period_2_Tbl[[#Totals],[$ CLASSES]]+Dec_Period_1_Tbl[[#Totals],[$ CLASSES]]+Dec_Period_2_Tbl[[#Totals],[$ CLASSES]]</f>
        <v>675</v>
      </c>
      <c r="AA20" s="134">
        <f>Jan_Period_1_Tbl[[#Totals],[$ EFT COMMISSION]]+Jan_Period_2_Tbl[[#Totals],[$ EFT COMMISSION]]+Feb_Period_1_Tbl[[#Totals],[$ EFT COMMISSION]]+Feb_Period_2_Tbl[[#Totals],[$ EFT COMMISSION]]+Mar_Period_1_Tbl[[#Totals],[$ EFT COMMISSION]]+Mar_Period_2_Tbl[[#Totals],[$ EFT COMMISSION]]+Apr_Period_1_Tbl[[#Totals],[$ EFT COMMISSION]]+Apr_Period_2_Tbl[[#Totals],[$ EFT COMMISSION]]+May_Period_1_Tbl[[#Totals],[$ EFT COMMISSION]]+May_Period_2_Tbl[[#Totals],[$ EFT COMMISSION]]+Jun_Period_1_Tbl[[#Totals],[$ EFT COMMISSION]]+Jun_Period_2_Tbl[[#Totals],[$ EFT COMMISSION]]+Jul_Period_1_Tbl[[#Totals],[$ EFT COMMISSION]]+Jul_Period_2_Tbl[[#Totals],[$ EFT COMMISSION]]+Aug_Period_1_Tbl[[#Totals],[$ EFT COMMISSION]]+Aug_Period_2_Tbl[[#Totals],[$ EFT COMMISSION]]+Sep_Period_1_Tbl[[#Totals],[$ EFT COMMISSION]]+Sep_Period_2_Tbl[[#Totals],[$ EFT COMMISSION]]+Oct_Period_1_Tbl[[#Totals],[$ EFT COMMISSION]]+Oct_Period_2_Tbl[[#Totals],[$ EFT COMMISSION]]+Nov_Period_1_Tbl[[#Totals],[$ EFT COMMISSION]]+Nov_Period_2_Tbl[[#Totals],[$ EFT COMMISSION]]+Dec_Period_1_Tbl[[#Totals],[$ EFT COMMISSION]]+Dec_Period_2_Tbl[[#Totals],[$ EFT COMMISSION]]</f>
        <v>1319.24</v>
      </c>
      <c r="AB20" s="134">
        <f>Jan_Period_1_Tbl[[#Totals],[$ PT COMMISSION]]+Jan_Period_2_Tbl[[#Totals],[$ PT COMMISSION]]+Feb_Period_1_Tbl[[#Totals],[$ PT COMMISSION]]+Feb_Period_2_Tbl[[#Totals],[$ PT COMMISSION]]+Mar_Period_1_Tbl[[#Totals],[$ PT COMMISSION]]+Mar_Period_2_Tbl[[#Totals],[$ PT COMMISSION]]+Apr_Period_1_Tbl[[#Totals],[$ PT COMMISSION]]+Apr_Period_2_Tbl[[#Totals],[$ PT COMMISSION]]+May_Period_1_Tbl[[#Totals],[$ PT COMMISSION]]+May_Period_2_Tbl[[#Totals],[$ PT COMMISSION]]+Jun_Period_1_Tbl[[#Totals],[$ PT COMMISSION]]+Jun_Period_2_Tbl[[#Totals],[$ PT COMMISSION]]+Jul_Period_1_Tbl[[#Totals],[$ PT COMMISSION]]+Jul_Period_2_Tbl[[#Totals],[$ PT COMMISSION]]+Aug_Period_1_Tbl[[#Totals],[$ PT COMMISSION]]+Aug_Period_2_Tbl[[#Totals],[$ PT COMMISSION]]+Sep_Period_1_Tbl[[#Totals],[$ PT COMMISSION]]+Sep_Period_2_Tbl[[#Totals],[$ PT COMMISSION]]+Oct_Period_1_Tbl[[#Totals],[$ PT COMMISSION]]+Oct_Period_2_Tbl[[#Totals],[$ PT COMMISSION]]+Nov_Period_1_Tbl[[#Totals],[$ PT COMMISSION]]+Nov_Period_2_Tbl[[#Totals],[$ PT COMMISSION]]+Dec_Period_1_Tbl[[#Totals],[$ PT COMMISSION]]+Dec_Period_2_Tbl[[#Totals],[$ PT COMMISSION]]</f>
        <v>741.42</v>
      </c>
      <c r="AC20" s="134">
        <f>Jan_Period_1_Tbl[[#Totals],[BONUS]]+Jan_Period_2_Tbl[[#Totals],[BONUS]]+Feb_Period_1_Tbl[[#Totals],[BONUS]]+Feb_Period_2_Tbl[[#Totals],[BONUS]]+Mar_Period_1_Tbl[[#Totals],[BONUS]]+Mar_Period_2_Tbl[[#Totals],[BONUS]]+Apr_Period_1_Tbl[[#Totals],[BONUS]]+Apr_Period_2_Tbl[[#Totals],[BONUS]]+May_Period_1_Tbl[[#Totals],[BONUS]]+May_Period_2_Tbl[[#Totals],[BONUS]]+Jun_Period_1_Tbl[[#Totals],[BONUS]]+Jun_Period_2_Tbl[[#Totals],[BONUS]]+Jul_Period_1_Tbl[[#Totals],[BONUS]]+Jul_Period_2_Tbl[[#Totals],[BONUS]]+Aug_Period_1_Tbl[[#Totals],[BONUS]]+Aug_Period_2_Tbl[[#Totals],[BONUS]]+Sep_Period_1_Tbl[[#Totals],[BONUS]]+Sep_Period_2_Tbl[[#Totals],[BONUS]]+Oct_Period_1_Tbl[[#Totals],[BONUS]]+Oct_Period_2_Tbl[[#Totals],[BONUS]]+Nov_Period_1_Tbl[[#Totals],[BONUS]]+Nov_Period_2_Tbl[[#Totals],[BONUS]]+Dec_Period_1_Tbl[[#Totals],[BONUS]]+Dec_Period_2_Tbl[[#Totals],[BONUS]]</f>
        <v>300</v>
      </c>
      <c r="AD20" s="134">
        <f>Jan_Period_1_Tbl[[#Totals],[TOTAL
PAY]]+Jan_Period_2_Tbl[[#Totals],[TOTAL
PAY]]+Feb_Period_1_Tbl[[#Totals],[TOTAL
PAY]]+Feb_Period_2_Tbl[[#Totals],[TOTAL
PAY]]+Mar_Period_1_Tbl[[#Totals],[TOTAL
PAY]]+Mar_Period_2_Tbl[[#Totals],[TOTAL
PAY]]+Apr_Period_1_Tbl[[#Totals],[TOTAL
PAY]]+Apr_Period_2_Tbl[[#Totals],[TOTAL
PAY]]+May_Period_1_Tbl[[#Totals],[TOTAL
PAY]]+May_Period_2_Tbl[[#Totals],[TOTAL
PAY]]+Jun_Period_1_Tbl[[#Totals],[TOTAL
PAY]]+Jun_Period_2_Tbl[[#Totals],[TOTAL
PAY]]+Jul_Period_1_Tbl[[#Totals],[TOTAL
PAY]]+Jul_Period_2_Tbl[[#Totals],[TOTAL
PAY]]+Aug_Period_1_Tbl[[#Totals],[TOTAL
PAY]]+Aug_Period_2_Tbl[[#Totals],[TOTAL
PAY]]+Sep_Period_1_Tbl[[#Totals],[TOTAL
PAY]]+Sep_Period_2_Tbl[[#Totals],[TOTAL
PAY]]+Oct_Period_1_Tbl[[#Totals],[TOTAL
PAY]]+Oct_Period_2_Tbl[[#Totals],[TOTAL
PAY]]+Nov_Period_1_Tbl[[#Totals],[TOTAL
PAY]]+Nov_Period_2_Tbl[[#Totals],[TOTAL
PAY]]+Dec_Period_1_Tbl[[#Totals],[TOTAL
PAY]]+Dec_Period_2_Tbl[[#Totals],[TOTAL
PAY]]</f>
        <v>18370.86</v>
      </c>
    </row>
  </sheetData>
  <sheetProtection algorithmName="SHA-512" hashValue="cS61CsaY4P0XvSdib6If7f50er3nbujBErsHAMuofoLmXpeuF/TfxmhlozDQviIfkRWxUC4lOz/6jg8PpjOqrg==" saltValue="2zorm4QcHblPNH8q+RMTkA==" spinCount="100000" sheet="1" objects="1" scenarios="1"/>
  <mergeCells count="1">
    <mergeCell ref="A1:P1"/>
  </mergeCells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130</vt:i4>
      </vt:variant>
    </vt:vector>
  </HeadingPairs>
  <TitlesOfParts>
    <vt:vector size="144" baseType="lpstr">
      <vt:lpstr>Login</vt:lpstr>
      <vt:lpstr>Summary</vt:lpstr>
      <vt:lpstr>Jan.17</vt:lpstr>
      <vt:lpstr>Feb.17</vt:lpstr>
      <vt:lpstr>Mar.17</vt:lpstr>
      <vt:lpstr>Apr.17</vt:lpstr>
      <vt:lpstr>May.17</vt:lpstr>
      <vt:lpstr>Jun.17</vt:lpstr>
      <vt:lpstr>Jul.17</vt:lpstr>
      <vt:lpstr>Aug.17</vt:lpstr>
      <vt:lpstr>Sep.17</vt:lpstr>
      <vt:lpstr>Oct.17</vt:lpstr>
      <vt:lpstr>Nov.17</vt:lpstr>
      <vt:lpstr>Dec.17</vt:lpstr>
      <vt:lpstr>Edit_Employee_Name</vt:lpstr>
      <vt:lpstr>NR_Admin_Password</vt:lpstr>
      <vt:lpstr>NR_Apr_2017_Archive_Status</vt:lpstr>
      <vt:lpstr>NR_Aug_2017_Archive_Status</vt:lpstr>
      <vt:lpstr>NR_Dec_2017_Archive_Status</vt:lpstr>
      <vt:lpstr>NR_Edit_Apr_Period_1</vt:lpstr>
      <vt:lpstr>NR_Edit_Apr_Period_2</vt:lpstr>
      <vt:lpstr>NR_Edit_Aug_Period_1</vt:lpstr>
      <vt:lpstr>NR_Edit_Aug_Period_2</vt:lpstr>
      <vt:lpstr>NR_Edit_Dec_Period_1</vt:lpstr>
      <vt:lpstr>NR_Edit_Dec_Period_2</vt:lpstr>
      <vt:lpstr>NR_Edit_Feb_Period_1</vt:lpstr>
      <vt:lpstr>NR_Edit_Feb_Period_2</vt:lpstr>
      <vt:lpstr>NR_Edit_Jan_Period_1</vt:lpstr>
      <vt:lpstr>NR_Edit_Jan_Period_2</vt:lpstr>
      <vt:lpstr>NR_Edit_Jul_Period_1</vt:lpstr>
      <vt:lpstr>NR_Edit_Jul_Period_2</vt:lpstr>
      <vt:lpstr>NR_Edit_Jun_Period_1</vt:lpstr>
      <vt:lpstr>NR_Edit_Jun_Period_2</vt:lpstr>
      <vt:lpstr>NR_Edit_Mar_Period_1</vt:lpstr>
      <vt:lpstr>NR_Edit_Mar_Period_2</vt:lpstr>
      <vt:lpstr>NR_Edit_May_Period_1</vt:lpstr>
      <vt:lpstr>NR_Edit_May_Period_2</vt:lpstr>
      <vt:lpstr>NR_Edit_Nov_Period_1</vt:lpstr>
      <vt:lpstr>NR_Edit_Nov_Period_2</vt:lpstr>
      <vt:lpstr>NR_Edit_Oct_Period_1</vt:lpstr>
      <vt:lpstr>NR_Edit_Oct_Period_2</vt:lpstr>
      <vt:lpstr>NR_Edit_Sep_Period_1</vt:lpstr>
      <vt:lpstr>NR_Edit_Sep_Period_2</vt:lpstr>
      <vt:lpstr>NR_edit10</vt:lpstr>
      <vt:lpstr>NR_edit11</vt:lpstr>
      <vt:lpstr>NR_edit12</vt:lpstr>
      <vt:lpstr>NR_edit13</vt:lpstr>
      <vt:lpstr>NR_edit14</vt:lpstr>
      <vt:lpstr>NR_edit15</vt:lpstr>
      <vt:lpstr>NR_edit16</vt:lpstr>
      <vt:lpstr>NR_edit17</vt:lpstr>
      <vt:lpstr>NR_edit18</vt:lpstr>
      <vt:lpstr>NR_edit19</vt:lpstr>
      <vt:lpstr>NR_edit20</vt:lpstr>
      <vt:lpstr>NR_edit21</vt:lpstr>
      <vt:lpstr>NR_edit22</vt:lpstr>
      <vt:lpstr>NR_edit23</vt:lpstr>
      <vt:lpstr>NR_edit24</vt:lpstr>
      <vt:lpstr>NR_edit25</vt:lpstr>
      <vt:lpstr>NR_edit26</vt:lpstr>
      <vt:lpstr>NR_edit27</vt:lpstr>
      <vt:lpstr>NR_edit28</vt:lpstr>
      <vt:lpstr>NR_edit29</vt:lpstr>
      <vt:lpstr>NR_edit30</vt:lpstr>
      <vt:lpstr>NR_edit31</vt:lpstr>
      <vt:lpstr>NR_edit32</vt:lpstr>
      <vt:lpstr>NR_edit33</vt:lpstr>
      <vt:lpstr>NR_edit34</vt:lpstr>
      <vt:lpstr>NR_edit35</vt:lpstr>
      <vt:lpstr>NR_edit36</vt:lpstr>
      <vt:lpstr>NR_edit37</vt:lpstr>
      <vt:lpstr>NR_edit38</vt:lpstr>
      <vt:lpstr>NR_edit39</vt:lpstr>
      <vt:lpstr>NR_edit4</vt:lpstr>
      <vt:lpstr>NR_edit40</vt:lpstr>
      <vt:lpstr>NR_edit41</vt:lpstr>
      <vt:lpstr>NR_edit42</vt:lpstr>
      <vt:lpstr>NR_edit43</vt:lpstr>
      <vt:lpstr>NR_edit44</vt:lpstr>
      <vt:lpstr>NR_edit45</vt:lpstr>
      <vt:lpstr>NR_edit46</vt:lpstr>
      <vt:lpstr>NR_edit47</vt:lpstr>
      <vt:lpstr>NR_edit48</vt:lpstr>
      <vt:lpstr>NR_edit49</vt:lpstr>
      <vt:lpstr>NR_edit5</vt:lpstr>
      <vt:lpstr>NR_edit50</vt:lpstr>
      <vt:lpstr>NR_edit51</vt:lpstr>
      <vt:lpstr>NR_edit52</vt:lpstr>
      <vt:lpstr>NR_edit53</vt:lpstr>
      <vt:lpstr>NR_edit54</vt:lpstr>
      <vt:lpstr>NR_edit55</vt:lpstr>
      <vt:lpstr>NR_edit56</vt:lpstr>
      <vt:lpstr>NR_edit57</vt:lpstr>
      <vt:lpstr>NR_edit58</vt:lpstr>
      <vt:lpstr>NR_edit59</vt:lpstr>
      <vt:lpstr>NR_edit6</vt:lpstr>
      <vt:lpstr>NR_edit60</vt:lpstr>
      <vt:lpstr>NR_edit61</vt:lpstr>
      <vt:lpstr>NR_edit62</vt:lpstr>
      <vt:lpstr>NR_edit63</vt:lpstr>
      <vt:lpstr>NR_edit7</vt:lpstr>
      <vt:lpstr>NR_edit8</vt:lpstr>
      <vt:lpstr>NR_edit9</vt:lpstr>
      <vt:lpstr>NR_Feb_2017_Archive_Status</vt:lpstr>
      <vt:lpstr>NR_Jan_2017_Archive_Status</vt:lpstr>
      <vt:lpstr>NR_Jan_P1_BONUS_YTD</vt:lpstr>
      <vt:lpstr>NR_Jan_P1_CLASSES_YTD</vt:lpstr>
      <vt:lpstr>NR_Jan_P1_EFT_COMMISSION_YTD</vt:lpstr>
      <vt:lpstr>NR_Jan_P1_PERSONAL_TRAINING_YTD</vt:lpstr>
      <vt:lpstr>NR_Jan_P1_PT_COMMISSION_YTD</vt:lpstr>
      <vt:lpstr>NR_Jan_P1_REGULAR_WAGES_YTD</vt:lpstr>
      <vt:lpstr>NR_Jan_P1_TOTAL_PAY_YTD</vt:lpstr>
      <vt:lpstr>NR_Jan_P2_BONUS_YTD</vt:lpstr>
      <vt:lpstr>NR_Jan_P2_CLASSES_YTD</vt:lpstr>
      <vt:lpstr>NR_Jan_P2_EFT_COMMISSION_YTD</vt:lpstr>
      <vt:lpstr>NR_Jan_P2_PERSONAL_TRAINING_YTD</vt:lpstr>
      <vt:lpstr>NR_Jan_P2_PT_COMMISSION_YTD</vt:lpstr>
      <vt:lpstr>NR_Jan_P2_REGULAR_WAGES_YTD</vt:lpstr>
      <vt:lpstr>NR_Jan_P2_TOTAL_PAY_YTD</vt:lpstr>
      <vt:lpstr>NR_Jul_2017_Archive_Status</vt:lpstr>
      <vt:lpstr>NR_Jun_2017_Archive_Status</vt:lpstr>
      <vt:lpstr>NR_Login_Type</vt:lpstr>
      <vt:lpstr>NR_Mar_2017_Archive_Status</vt:lpstr>
      <vt:lpstr>NR_Master_Password</vt:lpstr>
      <vt:lpstr>NR_May_2017_Archive_Status</vt:lpstr>
      <vt:lpstr>NR_Nov_2017_Archive_Status</vt:lpstr>
      <vt:lpstr>NR_Oct_2017_Archive_Status</vt:lpstr>
      <vt:lpstr>NR_Sep_2017_Archive_Status</vt:lpstr>
      <vt:lpstr>NR_Summary_E_Column_Formula</vt:lpstr>
      <vt:lpstr>NR_Summary_F_Column_Formula</vt:lpstr>
      <vt:lpstr>NR_Summary_G_Column_Formula</vt:lpstr>
      <vt:lpstr>NR_Summary_H_Column_Formula</vt:lpstr>
      <vt:lpstr>NR_Summary_I_Column_Formula</vt:lpstr>
      <vt:lpstr>NR_Summary_J_Column_Formula</vt:lpstr>
      <vt:lpstr>NR_Summary_K_Column_Formula</vt:lpstr>
      <vt:lpstr>NR_Summary_L_Column_Formula</vt:lpstr>
      <vt:lpstr>NR_Summary_M_Column_Formula</vt:lpstr>
      <vt:lpstr>NR_Summary_N_Column_Formula</vt:lpstr>
      <vt:lpstr>NR_Summary_O_Column_Formula</vt:lpstr>
      <vt:lpstr>NR_Summary_R_Column_Formula</vt:lpstr>
      <vt:lpstr>NR_Summary_S_Column_Formula</vt:lpstr>
      <vt:lpstr>NR_Summary_T_Column_Formula</vt:lpstr>
      <vt:lpstr>NR_Summary_U_Column_Formula</vt:lpstr>
      <vt:lpstr>NR_User_Password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ry-01</dc:creator>
  <cp:lastModifiedBy>ry-01</cp:lastModifiedBy>
  <dcterms:created xsi:type="dcterms:W3CDTF">2016-11-11T15:52:10Z</dcterms:created>
  <dcterms:modified xsi:type="dcterms:W3CDTF">2017-02-13T16:21:03Z</dcterms:modified>
</cp:coreProperties>
</file>